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SXBH\Downloads\"/>
    </mc:Choice>
  </mc:AlternateContent>
  <xr:revisionPtr revIDLastSave="0" documentId="13_ncr:1_{7F350C41-3D51-4054-A607-442B94725D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TongHopXLBH_2503" sheetId="3" r:id="rId2"/>
  </sheets>
  <definedNames>
    <definedName name="_xlnm._FilterDatabase" localSheetId="0" hidden="1">Sheet1!$A$4:$Q$270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9" i="3" l="1"/>
  <c r="D4" i="3"/>
  <c r="D5" i="3"/>
  <c r="I6" i="3"/>
  <c r="I5" i="3"/>
  <c r="I4" i="3"/>
  <c r="E21" i="3" l="1"/>
  <c r="E18" i="3"/>
  <c r="E20" i="3"/>
  <c r="E8" i="3"/>
  <c r="E9" i="3"/>
  <c r="D18" i="3"/>
  <c r="D8" i="3"/>
  <c r="D9" i="3"/>
  <c r="D10" i="3"/>
  <c r="D6" i="3"/>
  <c r="E7" i="3"/>
  <c r="D7" i="3"/>
  <c r="D20" i="3"/>
  <c r="D21" i="3" l="1"/>
  <c r="E4" i="3"/>
  <c r="E5" i="3"/>
  <c r="E6" i="3"/>
  <c r="E10" i="3"/>
  <c r="E11" i="3"/>
  <c r="E12" i="3"/>
  <c r="E13" i="3"/>
  <c r="E14" i="3"/>
  <c r="E15" i="3"/>
  <c r="E16" i="3"/>
  <c r="E17" i="3"/>
  <c r="D11" i="3"/>
  <c r="D12" i="3"/>
  <c r="D13" i="3"/>
  <c r="D14" i="3"/>
  <c r="D15" i="3"/>
  <c r="D16" i="3"/>
  <c r="D17" i="3"/>
  <c r="D22" i="3" l="1"/>
  <c r="E22" i="3"/>
</calcChain>
</file>

<file path=xl/sharedStrings.xml><?xml version="1.0" encoding="utf-8"?>
<sst xmlns="http://schemas.openxmlformats.org/spreadsheetml/2006/main" count="1631" uniqueCount="642">
  <si>
    <t>H</t>
  </si>
  <si>
    <t>Tùng</t>
  </si>
  <si>
    <t>Còn BH</t>
  </si>
  <si>
    <t>Thiết bị hoạt động bình thường</t>
  </si>
  <si>
    <t>VNSH02</t>
  </si>
  <si>
    <t>V3.3.21.6_R23041202 / C43-M01-GD32-MCU-T23060699</t>
  </si>
  <si>
    <t>Nâng cấp FW</t>
  </si>
  <si>
    <t>V3.3.21.6_R23041202 / C43-M01-GD32-MCU-T23030101</t>
  </si>
  <si>
    <t>Card Reader</t>
  </si>
  <si>
    <t>Không xác định</t>
  </si>
  <si>
    <t>Lỗi nguồn</t>
  </si>
  <si>
    <t>Nhật Quang</t>
  </si>
  <si>
    <t>Le4.1.05.AOO55.210624</t>
  </si>
  <si>
    <t>Lỗi GPS</t>
  </si>
  <si>
    <t>Model</t>
  </si>
  <si>
    <t>Số lượng</t>
  </si>
  <si>
    <t>Tồn BH</t>
  </si>
  <si>
    <t>Số lượng thiết bị xử lý của nhân viên</t>
  </si>
  <si>
    <t>Nguyễn Minh Tùng</t>
  </si>
  <si>
    <t>Trần Văn Hậu</t>
  </si>
  <si>
    <t>VNSH01</t>
  </si>
  <si>
    <t>ACT-01</t>
  </si>
  <si>
    <t>Phụ kiện</t>
  </si>
  <si>
    <t>Tổng</t>
  </si>
  <si>
    <t>Nạp lại FW</t>
  </si>
  <si>
    <t>Lắp Đặt</t>
  </si>
  <si>
    <t>Hết hạn DV</t>
  </si>
  <si>
    <t>Thiết bị treo</t>
  </si>
  <si>
    <t>SIM</t>
  </si>
  <si>
    <t>Hay Huế</t>
  </si>
  <si>
    <t>Sao Việt</t>
  </si>
  <si>
    <t>Không nhận sim</t>
  </si>
  <si>
    <t>Maxconnect</t>
  </si>
  <si>
    <t>HUB_H2</t>
  </si>
  <si>
    <t>AT Việt Nam</t>
  </si>
  <si>
    <t>HUB_H1</t>
  </si>
  <si>
    <t>56_TG102LE</t>
  </si>
  <si>
    <t>LEd.1.0-241115</t>
  </si>
  <si>
    <t>EV04</t>
  </si>
  <si>
    <t>Nâng cấp FW MCU</t>
  </si>
  <si>
    <t>125.212.203.39:16767</t>
  </si>
  <si>
    <t>Hạn BH</t>
  </si>
  <si>
    <t>Ghi chú</t>
  </si>
  <si>
    <t>Mất ID</t>
  </si>
  <si>
    <t>Test lại thiết bị</t>
  </si>
  <si>
    <t>Dây nguồn</t>
  </si>
  <si>
    <t>125.212.203.251:15757</t>
  </si>
  <si>
    <t>LEc.2.3-250327</t>
  </si>
  <si>
    <t>Đổi bảo hành</t>
  </si>
  <si>
    <t>Anh Trực</t>
  </si>
  <si>
    <t>Thay module GPS</t>
  </si>
  <si>
    <t>Không chốt GPS</t>
  </si>
  <si>
    <t>Tuyên Hằng</t>
  </si>
  <si>
    <t>Le4.3.4-250402</t>
  </si>
  <si>
    <t>LEc.2.0-240827</t>
  </si>
  <si>
    <t>LEc.2.3.250327</t>
  </si>
  <si>
    <t>Victory</t>
  </si>
  <si>
    <t>Kim Long</t>
  </si>
  <si>
    <t>Thay IC giao tiếp</t>
  </si>
  <si>
    <t>SL: 1</t>
  </si>
  <si>
    <t>LE4.2.3-241115</t>
  </si>
  <si>
    <t>Le4.3.4.250402</t>
  </si>
  <si>
    <t>Qmaps</t>
  </si>
  <si>
    <t>Gia Thành</t>
  </si>
  <si>
    <t>Le4.2.9.240628</t>
  </si>
  <si>
    <t>Thay khay SIM, nâng cấp FW</t>
  </si>
  <si>
    <t>005185070124279</t>
  </si>
  <si>
    <t>Số lượng thiết bị 
nhận bảo hành</t>
  </si>
  <si>
    <t>VNSH03</t>
  </si>
  <si>
    <t>PK_Mắt camera</t>
  </si>
  <si>
    <t>Đặng Văn Quang</t>
  </si>
  <si>
    <t>Thông Tin Thiết Bị</t>
  </si>
  <si>
    <t>Ngày Nhận</t>
  </si>
  <si>
    <t>Ngày Trả</t>
  </si>
  <si>
    <t>IMEI hoặc S/L</t>
  </si>
  <si>
    <t>Phụ Kiện</t>
  </si>
  <si>
    <t>Chị Hà Note</t>
  </si>
  <si>
    <t>Chị Phí Linh Kiện Thay Thế</t>
  </si>
  <si>
    <t>Ghi Chú</t>
  </si>
  <si>
    <t>Cấu Hình IP, PORT</t>
  </si>
  <si>
    <t>FW
Ver. Cũ</t>
  </si>
  <si>
    <t>FW
Ver. Mới</t>
  </si>
  <si>
    <t>Xác Định Lỗi</t>
  </si>
  <si>
    <t>Xử Lý Lỗi</t>
  </si>
  <si>
    <t>Nhân Viên BH</t>
  </si>
  <si>
    <t>ĐL. Ngọc Hoàn</t>
  </si>
  <si>
    <t>0032002AD9</t>
  </si>
  <si>
    <t>SIM + thẻ nhớ</t>
  </si>
  <si>
    <t>SIM nhận chập chờn, mất nguồn ra RS232</t>
  </si>
  <si>
    <t>Xử lý lại khay SIM, xử lý lại nguồn ra RS232</t>
  </si>
  <si>
    <t>VNET861385071456282</t>
  </si>
  <si>
    <t>ID mới: VNET861385070647584</t>
  </si>
  <si>
    <t>VNSH03.1.0.20260805</t>
  </si>
  <si>
    <t>LED trạng thái không hiển thị</t>
  </si>
  <si>
    <t>Đổi bảo hành, thiết bị lỗi BH giữ lại gửi qua Aithings bảo hành</t>
  </si>
  <si>
    <t>0032001EFD</t>
  </si>
  <si>
    <t>Thẻ nhớ lỗi lắp vào lúc có nguồn lúc không</t>
  </si>
  <si>
    <t>Thay thẻ nhớ khác test lại hoạt động bình thường</t>
  </si>
  <si>
    <t>51_TG102LE(upg)</t>
  </si>
  <si>
    <t>125.212.203.50:13579</t>
  </si>
  <si>
    <t>LEu.2.0-251205</t>
  </si>
  <si>
    <t>Mất giao tiếp MCU-Module SIM, không nhận SIM Viettel</t>
  </si>
  <si>
    <t>Xử lý lại giao tiếp MCU-Module SIM, hạ FW về FW cũ update lại</t>
  </si>
  <si>
    <t>Xử lý lại giao tiếp MCU-Module SIM, hạ về FW cũ nâng cấp lại FW mới</t>
  </si>
  <si>
    <t>Mất giao tiếp</t>
  </si>
  <si>
    <t>Lỗi connector, SIM Viettel không kết nối chạm BTS, khay SIM chập chờn</t>
  </si>
  <si>
    <t>Thay connector, hạ FW nâng cấp lại, thay khay SIM</t>
  </si>
  <si>
    <t>55_TG102LE</t>
  </si>
  <si>
    <t>Mất giao tiếp, không nhận IC chuyển động</t>
  </si>
  <si>
    <t>Nạp lại FW, xử lý lại kết nối IC chuyển động với MCU</t>
  </si>
  <si>
    <t>Không nhận SIM,(nhận SIM Viettel không kết nối tới trạm BTS)</t>
  </si>
  <si>
    <t>Xử lý lại VCC khay SIM, hạ về FW cũ nâng cấp lại FW mới</t>
  </si>
  <si>
    <t>ID mới: 005185070008167</t>
  </si>
  <si>
    <t>Không nhận SIM</t>
  </si>
  <si>
    <t>Thay module SIM</t>
  </si>
  <si>
    <t>SIM lỗi</t>
  </si>
  <si>
    <t>Mất giao tiếp Module SIM-MCU, khay SIM chập chờn</t>
  </si>
  <si>
    <t>Xử lý lại giao tiếp Module SIM MCU, thay khay SIM</t>
  </si>
  <si>
    <t>51_TG102LE(upd)</t>
  </si>
  <si>
    <t>ID mới: 005105051196303, SIM lỗi, hết hạn DV</t>
  </si>
  <si>
    <t>Mất giao tiếp MCU-Module SIM</t>
  </si>
  <si>
    <t>Nâng cấp FW thiết bị + module SIM</t>
  </si>
  <si>
    <t>ID mới: 005505051205252, hết hạn DV</t>
  </si>
  <si>
    <t>Không xác định được lỗi</t>
  </si>
  <si>
    <t>Xoá bộ nhớ cấu hình lại thiết bị</t>
  </si>
  <si>
    <t>ID mới: 005505051227322</t>
  </si>
  <si>
    <t>Le4.2.3.09230922</t>
  </si>
  <si>
    <t>60_TG102LE</t>
  </si>
  <si>
    <t>ID mới: 007785070692614</t>
  </si>
  <si>
    <t>125.212.203.115:13030</t>
  </si>
  <si>
    <t>Thay module SIM A7677S</t>
  </si>
  <si>
    <t>Nhận SIM chập chờn</t>
  </si>
  <si>
    <t>Xử lý lại giao tiếp khay SIM - Module SIM</t>
  </si>
  <si>
    <t>Xử lý lại giao tiếp Module SIM - khay SIM</t>
  </si>
  <si>
    <t>Xử lý lại giao tiếp Module - khay SIM</t>
  </si>
  <si>
    <t>Chập nguồn</t>
  </si>
  <si>
    <t>Thay diode quá áp</t>
  </si>
  <si>
    <t>ID mới: 005185070007722</t>
  </si>
  <si>
    <t>125.212.203.50,13579</t>
  </si>
  <si>
    <t>LEd.1.2.250416</t>
  </si>
  <si>
    <t>Thiết bị xuất bán VIETCOM,ID mới: 005105051198481, SIM lỗi</t>
  </si>
  <si>
    <t>Bo mạch oxi hoá</t>
  </si>
  <si>
    <t>Thay MCU, IC giao tiếp tụ trở connector, cổng DB09, nâng cấp FW thiết bị + mdodule SIM</t>
  </si>
  <si>
    <t>ID mới: 005505051224725</t>
  </si>
  <si>
    <t>ID mới: 007785070647717</t>
  </si>
  <si>
    <t>WP22050219S03573 / 0032004D81</t>
  </si>
  <si>
    <t>Thẻ nhớ</t>
  </si>
  <si>
    <t>Lỗi microphone</t>
  </si>
  <si>
    <t>Thay microphone</t>
  </si>
  <si>
    <t>WP21120135S02289 / 0032002422</t>
  </si>
  <si>
    <t>Chập nguồn 5V</t>
  </si>
  <si>
    <t>Tách chập nguồn thay tụ lọc</t>
  </si>
  <si>
    <t>Chập nguồn 3v3</t>
  </si>
  <si>
    <t>Tách chập nguồn thay tụ lọc, thay IC nguồn, nâng cấp FW MCU</t>
  </si>
  <si>
    <t>WP21110052S00947 / 0032000C17</t>
  </si>
  <si>
    <t>Khách phản hồi lại SIM nhận chập chờn</t>
  </si>
  <si>
    <t>125.212.203.91,21083</t>
  </si>
  <si>
    <t>Khay SIM lỏng</t>
  </si>
  <si>
    <t>Gửi thêm miếng dán chèn SIM cho khách</t>
  </si>
  <si>
    <t>Dùng cho TG102LE</t>
  </si>
  <si>
    <t>Không dò được nhiệt ACT2</t>
  </si>
  <si>
    <t>Không dò được nhiệt</t>
  </si>
  <si>
    <t>Thường xuyên mất giao tiếp MCU-Module SIM</t>
  </si>
  <si>
    <t>WP22050219S00296 / 0032004243</t>
  </si>
  <si>
    <t>Chập nguồn đầu vào</t>
  </si>
  <si>
    <t>Anh Tuấn BG</t>
  </si>
  <si>
    <t>003200D967</t>
  </si>
  <si>
    <t>003200DA83</t>
  </si>
  <si>
    <t>003200AA72</t>
  </si>
  <si>
    <t>Thiết bị không do VNET xuất bán</t>
  </si>
  <si>
    <t>Không đăng nhập cấu hình được</t>
  </si>
  <si>
    <t>Anh Thông báo giữ lại</t>
  </si>
  <si>
    <t>WP21120049S01597 / 0032001DD5</t>
  </si>
  <si>
    <t>0032000A76</t>
  </si>
  <si>
    <t>00320091DE</t>
  </si>
  <si>
    <t>V3.3.21.5_R22121502 / C43-M01-GD32-MCU-T22072001</t>
  </si>
  <si>
    <t>Tách thay tụ lọc nguồn chập, nâng cấp FW thiết bị</t>
  </si>
  <si>
    <t>003200B0B1</t>
  </si>
  <si>
    <t>WP21110069S00661 / 00320014DA</t>
  </si>
  <si>
    <t>Sụt áp nguồn RS232</t>
  </si>
  <si>
    <t>Thay IC điều khiển nguồn (chưa báo giá)</t>
  </si>
  <si>
    <t>00320092FD</t>
  </si>
  <si>
    <t>WM21051100S0492 / 00BD0004D8</t>
  </si>
  <si>
    <t>Anten GSM(x3), dây mở rộng, đế gắn chân (x2 cặp), dây nguồn, SIM, thẻ nhớ</t>
  </si>
  <si>
    <t>VNET861385071448313</t>
  </si>
  <si>
    <t>Xuất kho: 17/09/2026</t>
  </si>
  <si>
    <t>VNET861385071531415</t>
  </si>
  <si>
    <t>VNET861385071461407</t>
  </si>
  <si>
    <t>VNET861385071530888</t>
  </si>
  <si>
    <t>SL: 4</t>
  </si>
  <si>
    <t>0032001EE4</t>
  </si>
  <si>
    <t>Không đăng nhập được vào easy check</t>
  </si>
  <si>
    <t>Chập nguồn 3V, vỡ len cam trước, mất dây connector GPS</t>
  </si>
  <si>
    <t>Xử lý khối nguồn , thay len cam trước, câu dây connector GPS</t>
  </si>
  <si>
    <t>Hậu</t>
  </si>
  <si>
    <t>003200ACEF</t>
  </si>
  <si>
    <t>TB hoạt động bình thường</t>
  </si>
  <si>
    <t>Test lại tb, nâng cấp FW MCU</t>
  </si>
  <si>
    <t>0032009B15</t>
  </si>
  <si>
    <t>Xử lý khối nguồn 5V</t>
  </si>
  <si>
    <t>00320046A0</t>
  </si>
  <si>
    <t>Hay mất tín hiệu GSM, gãy chân ăngten</t>
  </si>
  <si>
    <t>Nạp lại FW module SIM</t>
  </si>
  <si>
    <t>SIM 95684</t>
  </si>
  <si>
    <t>Mất giao tiếp, chốt SIM chậm</t>
  </si>
  <si>
    <t>Nạp lại IAP+FW thiết bị</t>
  </si>
  <si>
    <t>Reset liên tục</t>
  </si>
  <si>
    <t>Test lại tb</t>
  </si>
  <si>
    <t>003200A720</t>
  </si>
  <si>
    <t>003200A207</t>
  </si>
  <si>
    <t>Lỗi mic</t>
  </si>
  <si>
    <t>Thay mic, nâng cấp FW MCU</t>
  </si>
  <si>
    <t>0032004A48</t>
  </si>
  <si>
    <t>00BD000A87</t>
  </si>
  <si>
    <t>Bung via connector nguồn</t>
  </si>
  <si>
    <t>Xử lý lại connnector nguồn</t>
  </si>
  <si>
    <t>Nạp lại FW thiết bị + FW Module SIM</t>
  </si>
  <si>
    <t>Gán lại ID</t>
  </si>
  <si>
    <t>Dây nguồn+ thẻ lái xe (x2)</t>
  </si>
  <si>
    <t>Thiết bị hoạt động bình thường, thẻ lái xe quẹt lúc nhận lúc không</t>
  </si>
  <si>
    <t>Gán lại thông tin thẻ lái xe, test lai thiết bị</t>
  </si>
  <si>
    <t>003200A217</t>
  </si>
  <si>
    <t>Xử lý lai khay SIM</t>
  </si>
  <si>
    <t>GPS Global</t>
  </si>
  <si>
    <t>WP21120135S01425 / 00320023AB</t>
  </si>
  <si>
    <t>003200D9FD</t>
  </si>
  <si>
    <t>C43_V357_T250530.60/ C43-M01-GD32-MCU-T25011301</t>
  </si>
  <si>
    <t>Lỗi Module SIM</t>
  </si>
  <si>
    <t>ĐL SEA</t>
  </si>
  <si>
    <t>Xử lý khay sim</t>
  </si>
  <si>
    <t>Sim không có dịch vụ, hết hạn DV</t>
  </si>
  <si>
    <t>86_TG102LE</t>
  </si>
  <si>
    <t>ESIM: 01388780947</t>
  </si>
  <si>
    <t>Mất nguồn</t>
  </si>
  <si>
    <t>Thay IC nguồn</t>
  </si>
  <si>
    <t>Le4.2.3.05220828</t>
  </si>
  <si>
    <t>Sim không có dịch vụ, tb hết hạn DV</t>
  </si>
  <si>
    <t>Sim không có dịch vụ</t>
  </si>
  <si>
    <t>Mất cấu hình</t>
  </si>
  <si>
    <t>Mất cấu hình IP</t>
  </si>
  <si>
    <t>Cấu hình lại IP</t>
  </si>
  <si>
    <t>Lỗi motion</t>
  </si>
  <si>
    <t>Thay IC motion</t>
  </si>
  <si>
    <t>Nâng cấp FW MCU, test lại thiết bị</t>
  </si>
  <si>
    <t>VNET861385071486560</t>
  </si>
  <si>
    <t>Full bộ</t>
  </si>
  <si>
    <t>VNET861385071455938</t>
  </si>
  <si>
    <t>ID mới: 005505051166082</t>
  </si>
  <si>
    <t>gpsnhatquang.com.vn:16840</t>
  </si>
  <si>
    <t>003200A1D1</t>
  </si>
  <si>
    <t>SIM+thẻ nhớ</t>
  </si>
  <si>
    <t>Thẻ nhớ lỗi</t>
  </si>
  <si>
    <t>Mất cấu hình, không sáng led hồng ngoại</t>
  </si>
  <si>
    <t>Cấu hình lại thiết bị, tách led lỗi, nâng cấp FW</t>
  </si>
  <si>
    <t>ĐL. Nam Anh</t>
  </si>
  <si>
    <t>003200D9CA</t>
  </si>
  <si>
    <t>Nắp vỏ vỡ ốc cố định, bug via dây nguồn do tác động mạnh, lỗi cảm biến ánh sáng</t>
  </si>
  <si>
    <t>Thay vỏ mặt trước, xử lý lại connector nguồn, thay cảm biến ánh sáng</t>
  </si>
  <si>
    <t>WP2250219S00443/ 0032003CEC</t>
  </si>
  <si>
    <t>Khách note hoạt động một thời gian không nhận SIM</t>
  </si>
  <si>
    <t>SIM nhận chập chờn</t>
  </si>
  <si>
    <t>WM21051100S0627/ 00BD0009AC</t>
  </si>
  <si>
    <t>ổ cứng</t>
  </si>
  <si>
    <t>Mạch oxi hoá, lỗi khay thẻ nhớ, mất nguồn cấp module GPS</t>
  </si>
  <si>
    <t>Vệ sinh lại mạch, thay thế tụ trở oxi hoá + IC nguồn, thay khay thẻ nhớ</t>
  </si>
  <si>
    <t>Phúc Hưng</t>
  </si>
  <si>
    <t>00BD000BBD</t>
  </si>
  <si>
    <t>Nước vào thiết bị oxi hoá vỏ bo mạch nặng</t>
  </si>
  <si>
    <t>Không sửa được, trả lại khách</t>
  </si>
  <si>
    <t>Mất giao tiếp giữa MCU và module sim</t>
  </si>
  <si>
    <t>Xử lý lại module sim</t>
  </si>
  <si>
    <t>Mất chân nguồn, lỗi led sim</t>
  </si>
  <si>
    <t>Thay chân nguồn + led sim</t>
  </si>
  <si>
    <t>0032002A85</t>
  </si>
  <si>
    <t>Vỏ 0032002A85, ruột 0032005740</t>
  </si>
  <si>
    <t>Gãy len cam cabin</t>
  </si>
  <si>
    <t>Xử lý gắn lại len cam</t>
  </si>
  <si>
    <t>DPLĐ</t>
  </si>
  <si>
    <t>Không nhận thẻ, gãy chân nguồn, mất giao tiếp</t>
  </si>
  <si>
    <t>77_TG102LE</t>
  </si>
  <si>
    <t>ESIM: 0842462072</t>
  </si>
  <si>
    <t>Esim bị hủy</t>
  </si>
  <si>
    <t>Thay khay sim vật lý</t>
  </si>
  <si>
    <t>Gãy chân nguồn</t>
  </si>
  <si>
    <t>003200DCF4</t>
  </si>
  <si>
    <t>Nhận A. Cường LĐ, xuất kho cho đại lý anh San LS</t>
  </si>
  <si>
    <t>Nước vào oxi hoá bo mạch nguồn chập nguồn 3v3, lỗi micro phone</t>
  </si>
  <si>
    <t>Tách chập 3v3 thay tụ mới, thay micro phone</t>
  </si>
  <si>
    <t>0032002D62</t>
  </si>
  <si>
    <t>Anh Thông báo thay khay SIM</t>
  </si>
  <si>
    <t>Thay khay SIM</t>
  </si>
  <si>
    <t>003200DAF8</t>
  </si>
  <si>
    <t>Nhận từ A. Bảo, xuất kho cho đại lý SEA</t>
  </si>
  <si>
    <t>Tách chập 3v3 thay tụ mới</t>
  </si>
  <si>
    <t>003200B1A2</t>
  </si>
  <si>
    <t>Nhận từ A.Bảo thiết bị xuất cho SEA</t>
  </si>
  <si>
    <t>003200D97B</t>
  </si>
  <si>
    <t>Thiết bị xuất cho đại lý A. Tuấn BG, nhận từ A. Cường LĐ</t>
  </si>
  <si>
    <t>Thay khay SIM (yêu cầu từ A. Thông)</t>
  </si>
  <si>
    <t xml:space="preserve">ĐL. Nam Định
</t>
  </si>
  <si>
    <t>Thiết bị không truyền dữ liệu lên máy chủ</t>
  </si>
  <si>
    <t>Cấu hình lại thiết bị</t>
  </si>
  <si>
    <t>ID mới: 005585070126977</t>
  </si>
  <si>
    <t>Không nhận SIM Viettel</t>
  </si>
  <si>
    <t>Thay Module SIM A7677S</t>
  </si>
  <si>
    <t>WP21110052S00410 / 0032000F69</t>
  </si>
  <si>
    <t>Mất nguồn đầu đọc thẻ lái xe</t>
  </si>
  <si>
    <t>Thay IC chuyển nguồn 5V</t>
  </si>
  <si>
    <t>GPS Tây Ninh</t>
  </si>
  <si>
    <t>Báo giá thay module sim(GPS)</t>
  </si>
  <si>
    <t>ID mới: 005505051225359</t>
  </si>
  <si>
    <t>Le4.3.0-250908</t>
  </si>
  <si>
    <t>Cấu hình lại thiết bị, nâng cấp FW</t>
  </si>
  <si>
    <t>ID mới: 005105051178640</t>
  </si>
  <si>
    <t>Nạp lại FW thiết bị</t>
  </si>
  <si>
    <t>LEu.2.0-250820</t>
  </si>
  <si>
    <t>Lỗi còi</t>
  </si>
  <si>
    <t>Thay còi, nâng cấp FW</t>
  </si>
  <si>
    <t>S/L: 1</t>
  </si>
  <si>
    <t>Mắt cam mờ</t>
  </si>
  <si>
    <t>Vệ sinh lại mắt cam</t>
  </si>
  <si>
    <t>VNET861385071545175</t>
  </si>
  <si>
    <t>Xuất kho 03/07/2026</t>
  </si>
  <si>
    <t>Mất nguồn 3V3</t>
  </si>
  <si>
    <t>ID mới: 005105051178061</t>
  </si>
  <si>
    <t>Thiết bị treo, mất cấu hình</t>
  </si>
  <si>
    <t>ID mới: 005505051228809</t>
  </si>
  <si>
    <t>Lỗi IC flat</t>
  </si>
  <si>
    <t>Thay IC flat</t>
  </si>
  <si>
    <t>VNET861385071448487</t>
  </si>
  <si>
    <t>Lỗi FW</t>
  </si>
  <si>
    <t>Mất led sim</t>
  </si>
  <si>
    <t>Thay led sim</t>
  </si>
  <si>
    <t>Mạch bị oxi hóa do nước vào</t>
  </si>
  <si>
    <t>Không sửa được</t>
  </si>
  <si>
    <t>Tb hoạt động bình thường</t>
  </si>
  <si>
    <t>ID mới: 868694061008418</t>
  </si>
  <si>
    <t>Thay module sim</t>
  </si>
  <si>
    <t>Lỗi GPS, mất ID</t>
  </si>
  <si>
    <t>Nạp lại FW, xử lý lại khối GPS</t>
  </si>
  <si>
    <t>Báo giá thay module sim</t>
  </si>
  <si>
    <t>Xử lý khối GPS</t>
  </si>
  <si>
    <t>Chập module sim</t>
  </si>
  <si>
    <t>TB hết hạn dịch vụ</t>
  </si>
  <si>
    <t>Nâng cấp FW module sim</t>
  </si>
  <si>
    <t>Mất giao tiếp, lỗi motion</t>
  </si>
  <si>
    <t xml:space="preserve">Nạp lại FW, nâng cấp FW module sim 
</t>
  </si>
  <si>
    <t>Mạch bị oxi hóa nặng</t>
  </si>
  <si>
    <t>không sửa được</t>
  </si>
  <si>
    <t>ID mới: 005105051191940</t>
  </si>
  <si>
    <t>ID mới: 005505051225813</t>
  </si>
  <si>
    <t>ID mới: 005105051187831, hết hạn DV</t>
  </si>
  <si>
    <t>ID mới: 005105051190785, hết hạn DV</t>
  </si>
  <si>
    <t>ID mới: 005505051236984, Hết hạn DV</t>
  </si>
  <si>
    <t>Le4.3.0.250908</t>
  </si>
  <si>
    <t>ID mới: 005105051196048</t>
  </si>
  <si>
    <t>ID mới: 005105051180489, hết hạn DV</t>
  </si>
  <si>
    <t>Mất ID, lỗi motion</t>
  </si>
  <si>
    <t xml:space="preserve">Cấu hình lại tb, nâng cấp FW module sim
</t>
  </si>
  <si>
    <t>ID mới: 005105051178962, hết hạn DV</t>
  </si>
  <si>
    <t>Thiết bị treo, mất cấu hình, lỗi còi</t>
  </si>
  <si>
    <t>Xử lý IC khuếch đại tín hiệu</t>
  </si>
  <si>
    <t>ID mới: 005181051082593, hết hạn DV</t>
  </si>
  <si>
    <t>LE4.1.00.---06.200724</t>
  </si>
  <si>
    <t>ID mới: 005181051091362, hết hạn DV</t>
  </si>
  <si>
    <t>Thay chân nguồn, nâng cấp FW module sim</t>
  </si>
  <si>
    <t>80_TG102E</t>
  </si>
  <si>
    <t>Pin phồng</t>
  </si>
  <si>
    <t>Thay pin</t>
  </si>
  <si>
    <t>Việt Bảo Tín</t>
  </si>
  <si>
    <t>003200006A</t>
  </si>
  <si>
    <t>Công nợ ghi a Thông</t>
  </si>
  <si>
    <t>VNET861385071455128</t>
  </si>
  <si>
    <t>Xuất kho 11/09/2026, ID mới: VNET861385071527082</t>
  </si>
  <si>
    <t>Cháy nổ bo mạch</t>
  </si>
  <si>
    <t>Đổi bảo hành, thiết bị lỗi bảo hành giữ lại đợi gửi qua Aithngs để xử lý</t>
  </si>
  <si>
    <t>003200DBD2</t>
  </si>
  <si>
    <t>Cấu hình lai thiết bị</t>
  </si>
  <si>
    <t>eSIM: 0842454940, ID mới: 868680086949430</t>
  </si>
  <si>
    <t>LEx.1.3-260607</t>
  </si>
  <si>
    <t>Thay module SIM(A7680C)</t>
  </si>
  <si>
    <t>ID mới: 005505051155994</t>
  </si>
  <si>
    <t>Cổng DB09 oxi hoá</t>
  </si>
  <si>
    <t>Thay cổng DB09</t>
  </si>
  <si>
    <t>Thẻ lái xe, SIM</t>
  </si>
  <si>
    <t>ID mới: 005505051220392</t>
  </si>
  <si>
    <t>Chốt SIM chậm</t>
  </si>
  <si>
    <t>Nâng cấp FW Module SIM</t>
  </si>
  <si>
    <t>LEc.1.7-240426</t>
  </si>
  <si>
    <t>ID mới: 005505051208363</t>
  </si>
  <si>
    <t>Không nhận SIM Viettel (phôi mới)</t>
  </si>
  <si>
    <t>Test lại SIM Vina, Mobi hoạt động bình thường</t>
  </si>
  <si>
    <t>ĐL. Anh Tuấn NB</t>
  </si>
  <si>
    <t>00BD000F3D</t>
  </si>
  <si>
    <t>SIM, ổ cứng</t>
  </si>
  <si>
    <t>Bo mạch oxi hoá, mất nguồn đầu vào, mất nguồn đầu đọc thẻ, chập nguồn module SIM</t>
  </si>
  <si>
    <t>Vệ sinh bo mạch, thay IC điều khiển nguồn, thay tụ trở, câu lại đường mạch đứt</t>
  </si>
  <si>
    <t>eSIM: 01388618927, khách note lỗi GPS</t>
  </si>
  <si>
    <t>Nhảy GPS (xác nhận từ HTKT - A. Bảo)</t>
  </si>
  <si>
    <t>Báo giá thay module GPS</t>
  </si>
  <si>
    <t>eSIM: 01388615413</t>
  </si>
  <si>
    <t>Thay transistor kích PWRKEY</t>
  </si>
  <si>
    <t>WP22050219S03300 / 0032005960</t>
  </si>
  <si>
    <t>Lỗi khay SIM, quẹt thẻ lái xe lúc nhận lúc không</t>
  </si>
  <si>
    <t>Thay khay SIM (chưa báo giá), xử lý lại giao tiếp IC giao tiếp MCU</t>
  </si>
  <si>
    <t>003200410D</t>
  </si>
  <si>
    <t>Khách note lỗi GPS, khay SIM lúc nhận lúc không</t>
  </si>
  <si>
    <t>Chưa xác định được lỗi</t>
  </si>
  <si>
    <t>Cháy led hồng ngoại, lỗi cảm biến ánh sáng</t>
  </si>
  <si>
    <t>Tách led cháy, thay cảm biến ánh sáng</t>
  </si>
  <si>
    <t>003200DAD6</t>
  </si>
  <si>
    <t>Khách note: mất GSM thường xuyên</t>
  </si>
  <si>
    <t>WP21110052S00355 / 0032000FD4</t>
  </si>
  <si>
    <t>Khách note: thường xuyên lỗi GSM (khay SIM)</t>
  </si>
  <si>
    <t>Nâng cấp FW MCU (thay khay SIM trao đổi lại)</t>
  </si>
  <si>
    <t>Khách yêu cầu cấy eSIM</t>
  </si>
  <si>
    <t>eSIM: 01388774289</t>
  </si>
  <si>
    <t>WP21110069S00743 / 0032001022</t>
  </si>
  <si>
    <t>ĐL. Nguyễn Nam</t>
  </si>
  <si>
    <t>ID mới: 005105051197947</t>
  </si>
  <si>
    <t>ID mới: 005105051198192</t>
  </si>
  <si>
    <t>Không nhận phôi SIM mới Viettel</t>
  </si>
  <si>
    <t>Báo giá thay module SIM</t>
  </si>
  <si>
    <t>LEd.1.2-250416</t>
  </si>
  <si>
    <t>ĐL. Đức Đoàn</t>
  </si>
  <si>
    <t>LEc.1.7.240426</t>
  </si>
  <si>
    <t>Báo giá thay Module SIM(GPS)</t>
  </si>
  <si>
    <t>Anh Thái Quy Nhơn</t>
  </si>
  <si>
    <t>SL: 5</t>
  </si>
  <si>
    <t>5 dây nguồn</t>
  </si>
  <si>
    <t>Thiết bị nhập từ Streamax</t>
  </si>
  <si>
    <t>WP22050219S03762 / 00320048B3</t>
  </si>
  <si>
    <t>Tháng 9</t>
  </si>
  <si>
    <t>005106075423457</t>
  </si>
  <si>
    <t>005185070120301</t>
  </si>
  <si>
    <t>005185070137131</t>
  </si>
  <si>
    <t>005185070128015</t>
  </si>
  <si>
    <t>005106075411551</t>
  </si>
  <si>
    <t>005505051232074</t>
  </si>
  <si>
    <t>005185070118743</t>
  </si>
  <si>
    <t>005106075433571</t>
  </si>
  <si>
    <t>005185070132728</t>
  </si>
  <si>
    <t>005185070144863</t>
  </si>
  <si>
    <t>005181051090695</t>
  </si>
  <si>
    <t>862205051196303</t>
  </si>
  <si>
    <t>862205051205252</t>
  </si>
  <si>
    <t>862205051227322</t>
  </si>
  <si>
    <t>006011074333824</t>
  </si>
  <si>
    <t>005106075447985</t>
  </si>
  <si>
    <t>005185070138014</t>
  </si>
  <si>
    <t>005106075434207</t>
  </si>
  <si>
    <t>005185070138766</t>
  </si>
  <si>
    <t>005185070128965</t>
  </si>
  <si>
    <t>005111074333923</t>
  </si>
  <si>
    <t>005106075448470</t>
  </si>
  <si>
    <t>862205051198481</t>
  </si>
  <si>
    <t>862205051224725</t>
  </si>
  <si>
    <t>006011074329798</t>
  </si>
  <si>
    <t>0032002655</t>
  </si>
  <si>
    <t>2002202300316</t>
  </si>
  <si>
    <t>2002202300100</t>
  </si>
  <si>
    <t>005106075435139</t>
  </si>
  <si>
    <t>005185070143071</t>
  </si>
  <si>
    <t>005185070136729</t>
  </si>
  <si>
    <t>005185070139608</t>
  </si>
  <si>
    <t>005181053441011</t>
  </si>
  <si>
    <t>005185070133759</t>
  </si>
  <si>
    <t>005185070139079</t>
  </si>
  <si>
    <t>005181051083534</t>
  </si>
  <si>
    <t>861881051090497</t>
  </si>
  <si>
    <t>005581052581338</t>
  </si>
  <si>
    <t>005505051159517</t>
  </si>
  <si>
    <t>862205051205484</t>
  </si>
  <si>
    <t>2002202300084</t>
  </si>
  <si>
    <t>2002202300052</t>
  </si>
  <si>
    <t>2002202300094</t>
  </si>
  <si>
    <t>2002202300024</t>
  </si>
  <si>
    <t>2002202300023</t>
  </si>
  <si>
    <t>2002202300018</t>
  </si>
  <si>
    <t>005181051088947</t>
  </si>
  <si>
    <t>861881054166070</t>
  </si>
  <si>
    <t>006080056230209</t>
  </si>
  <si>
    <t>202409251322007</t>
  </si>
  <si>
    <t>008080056234433</t>
  </si>
  <si>
    <t>005105051157727</t>
  </si>
  <si>
    <t>005185070134930</t>
  </si>
  <si>
    <t>005185070127967</t>
  </si>
  <si>
    <t>005106075439677</t>
  </si>
  <si>
    <t>005185070130540</t>
  </si>
  <si>
    <t>005185070146942</t>
  </si>
  <si>
    <t>005185070130839</t>
  </si>
  <si>
    <t>005185070147692</t>
  </si>
  <si>
    <t>005185070134690</t>
  </si>
  <si>
    <t>868694061567231</t>
  </si>
  <si>
    <t>862205051226944</t>
  </si>
  <si>
    <t>862205051235846</t>
  </si>
  <si>
    <t>862205051224014</t>
  </si>
  <si>
    <t>005581053432176</t>
  </si>
  <si>
    <t>005505051184820</t>
  </si>
  <si>
    <t>005581051086479</t>
  </si>
  <si>
    <t>005581052592285</t>
  </si>
  <si>
    <t>006011074320151</t>
  </si>
  <si>
    <t>006080056255735</t>
  </si>
  <si>
    <t>006080056240208</t>
  </si>
  <si>
    <t>006011074331497</t>
  </si>
  <si>
    <t>006080056238004</t>
  </si>
  <si>
    <t>006080056238319</t>
  </si>
  <si>
    <t>0032002610</t>
  </si>
  <si>
    <t>005581051083500</t>
  </si>
  <si>
    <t>005105051153692</t>
  </si>
  <si>
    <t>005185070139137</t>
  </si>
  <si>
    <t>005105051181305</t>
  </si>
  <si>
    <t>005185070120111</t>
  </si>
  <si>
    <t>005185070148880</t>
  </si>
  <si>
    <t>005105051175612</t>
  </si>
  <si>
    <t>005185070134229</t>
  </si>
  <si>
    <t>006011071686554</t>
  </si>
  <si>
    <t>862205051166082</t>
  </si>
  <si>
    <t>006011074319781</t>
  </si>
  <si>
    <t>006080056232056</t>
  </si>
  <si>
    <t>005505051224386</t>
  </si>
  <si>
    <t>862205051174649</t>
  </si>
  <si>
    <t>862205051161604</t>
  </si>
  <si>
    <t>0032002842</t>
  </si>
  <si>
    <t>005185070121457</t>
  </si>
  <si>
    <t>005185070121531</t>
  </si>
  <si>
    <t>005181052577211</t>
  </si>
  <si>
    <t>005185070137057</t>
  </si>
  <si>
    <t>005185070123859</t>
  </si>
  <si>
    <t>005185070143998</t>
  </si>
  <si>
    <t>005585070148385</t>
  </si>
  <si>
    <t>005105051238899</t>
  </si>
  <si>
    <t>005185070133718</t>
  </si>
  <si>
    <t>861881054170221</t>
  </si>
  <si>
    <t>862205051216085</t>
  </si>
  <si>
    <t>005505051233056</t>
  </si>
  <si>
    <t>005505051234666</t>
  </si>
  <si>
    <t>005505051202283</t>
  </si>
  <si>
    <t>005581051087378</t>
  </si>
  <si>
    <t>005505051163170</t>
  </si>
  <si>
    <t>006011074333048</t>
  </si>
  <si>
    <t>007785070620656</t>
  </si>
  <si>
    <t>007785070552602</t>
  </si>
  <si>
    <t>007785070566248</t>
  </si>
  <si>
    <t>860465042765101</t>
  </si>
  <si>
    <t>861881054166401</t>
  </si>
  <si>
    <t>006080056275295</t>
  </si>
  <si>
    <t>007785070561033</t>
  </si>
  <si>
    <t>007785070563294</t>
  </si>
  <si>
    <t>862205051225359</t>
  </si>
  <si>
    <t>862205051178640</t>
  </si>
  <si>
    <t>005185070138873</t>
  </si>
  <si>
    <t>862205051178061</t>
  </si>
  <si>
    <t>862205051228809</t>
  </si>
  <si>
    <t>005155070125607</t>
  </si>
  <si>
    <t>007785070568285</t>
  </si>
  <si>
    <t>868694061566068</t>
  </si>
  <si>
    <t>862205051225581</t>
  </si>
  <si>
    <t>202504256688044</t>
  </si>
  <si>
    <t>1205220026</t>
  </si>
  <si>
    <t>005694061434846</t>
  </si>
  <si>
    <t>868694061555145</t>
  </si>
  <si>
    <t>006011074328410</t>
  </si>
  <si>
    <t>006011074344110</t>
  </si>
  <si>
    <t>006011074344573</t>
  </si>
  <si>
    <t>006011074325705</t>
  </si>
  <si>
    <t>005105051190348</t>
  </si>
  <si>
    <t>005185070137073</t>
  </si>
  <si>
    <t>005181051079128</t>
  </si>
  <si>
    <t>005185070126001</t>
  </si>
  <si>
    <t>862205051191940</t>
  </si>
  <si>
    <t>862205051225813</t>
  </si>
  <si>
    <t>862205051187831</t>
  </si>
  <si>
    <t>862205051190785</t>
  </si>
  <si>
    <t>862205051236984</t>
  </si>
  <si>
    <t>862205051196048</t>
  </si>
  <si>
    <t>862205051180489</t>
  </si>
  <si>
    <t>005105051195925</t>
  </si>
  <si>
    <t>862205051178962</t>
  </si>
  <si>
    <t>006011074343807</t>
  </si>
  <si>
    <t>861881051082593</t>
  </si>
  <si>
    <t>861881051091362</t>
  </si>
  <si>
    <t>005581052576262</t>
  </si>
  <si>
    <t>005505051155499</t>
  </si>
  <si>
    <t>008080056255230</t>
  </si>
  <si>
    <t>868694061570409</t>
  </si>
  <si>
    <t>862205051155994</t>
  </si>
  <si>
    <t>862205051220392</t>
  </si>
  <si>
    <t>006080056277432</t>
  </si>
  <si>
    <t>862205051208363</t>
  </si>
  <si>
    <t>005694061436858</t>
  </si>
  <si>
    <t>005694061425414</t>
  </si>
  <si>
    <t>0032009682</t>
  </si>
  <si>
    <t>005694061487687</t>
  </si>
  <si>
    <t>005694061486465</t>
  </si>
  <si>
    <t>005694061437609</t>
  </si>
  <si>
    <t>005694061499252</t>
  </si>
  <si>
    <t>005694061008731</t>
  </si>
  <si>
    <t>005694061494204</t>
  </si>
  <si>
    <t>005694061427337</t>
  </si>
  <si>
    <t>005694061493107</t>
  </si>
  <si>
    <t>005694061489758</t>
  </si>
  <si>
    <t>005694061483793</t>
  </si>
  <si>
    <t>005694061489717</t>
  </si>
  <si>
    <t>005694061490954</t>
  </si>
  <si>
    <t>005694060387474</t>
  </si>
  <si>
    <t>005694061002692</t>
  </si>
  <si>
    <t>005694061423047</t>
  </si>
  <si>
    <t>005694061430893</t>
  </si>
  <si>
    <t>005694061491440</t>
  </si>
  <si>
    <t>005694061422510</t>
  </si>
  <si>
    <t>005694060379802</t>
  </si>
  <si>
    <t>868694061566035</t>
  </si>
  <si>
    <t>005105051176826</t>
  </si>
  <si>
    <t>862205051197947</t>
  </si>
  <si>
    <t>862205051198192</t>
  </si>
  <si>
    <t>006080056238657</t>
  </si>
  <si>
    <t>007785070548600</t>
  </si>
  <si>
    <t>006011074347709</t>
  </si>
  <si>
    <t>006011074345406</t>
  </si>
  <si>
    <t>202409111340017</t>
  </si>
  <si>
    <t>202501216688012</t>
  </si>
  <si>
    <t>202508221501117</t>
  </si>
  <si>
    <t>202503066688068</t>
  </si>
  <si>
    <t>202509101111018</t>
  </si>
  <si>
    <t>005694061012089</t>
  </si>
  <si>
    <t>861881054160776</t>
  </si>
  <si>
    <t>861881052585636</t>
  </si>
  <si>
    <t>862205051206367</t>
  </si>
  <si>
    <t>862205051208512</t>
  </si>
  <si>
    <t>861881052576445</t>
  </si>
  <si>
    <t>862205051206458</t>
  </si>
  <si>
    <t>861881054161758</t>
  </si>
  <si>
    <t>861881052576452</t>
  </si>
  <si>
    <t>862205051158766</t>
  </si>
  <si>
    <t>008080056277226</t>
  </si>
  <si>
    <t>STT/ ThángA4:Q4</t>
  </si>
  <si>
    <t>Phát sinh lỗi không nhận phôi SIM Viettel mới trên module A7670E</t>
  </si>
  <si>
    <t xml:space="preserve"> Báo Cáo Xử Lý Bảo Hành Tháng 09 / 2026</t>
  </si>
  <si>
    <t>Phát sinh lỗi không nhận phôi SIM Viettel mới trên module A7672s</t>
  </si>
  <si>
    <t>Phát sinh lỗi không sáng đèn led</t>
  </si>
  <si>
    <t>Phát sinh lỗi không nhận 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</si>
</sst>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FF0000"/>
      <name val="Calibri"/>
      <family val="2"/>
      <scheme val="minor"/>
    </font>
    <font>
      <sz val="11"/>
      <color rgb="FFFF0000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color rgb="FF1F1F1F"/>
      <name val="Times New Roman"/>
      <family val="1"/>
    </font>
    <font>
      <b/>
      <u/>
      <sz val="11"/>
      <color theme="1"/>
      <name val="Times New Roman"/>
      <family val="1"/>
    </font>
    <font>
      <sz val="10"/>
      <color theme="1"/>
      <name val="Arial"/>
      <family val="2"/>
    </font>
    <font>
      <b/>
      <u/>
      <sz val="12"/>
      <color theme="1"/>
      <name val="Times New Roman"/>
      <family val="1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Times New Roman"/>
      <family val="1"/>
      <charset val="163"/>
    </font>
    <font>
      <sz val="10"/>
      <color theme="1"/>
      <name val="Arial"/>
      <family val="2"/>
      <charset val="163"/>
    </font>
    <font>
      <sz val="11"/>
      <color theme="1"/>
      <name val="Times New Roman"/>
      <family val="1"/>
      <charset val="163"/>
    </font>
    <font>
      <u/>
      <sz val="11"/>
      <color theme="10"/>
      <name val="Calibri"/>
      <family val="2"/>
      <charset val="163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8BC34A"/>
        <bgColor indexed="64"/>
      </patternFill>
    </fill>
    <fill>
      <patternFill patternType="solid">
        <fgColor rgb="FFC4E2A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000000"/>
      </top>
      <bottom/>
      <diagonal/>
    </border>
    <border>
      <left/>
      <right style="medium">
        <color rgb="FFCCCCCC"/>
      </right>
      <top style="medium">
        <color rgb="FF000000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70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/>
    </xf>
    <xf numFmtId="49" fontId="3" fillId="0" borderId="0" xfId="0" applyNumberFormat="1" applyFont="1"/>
    <xf numFmtId="49" fontId="6" fillId="0" borderId="0" xfId="0" applyNumberFormat="1" applyFont="1"/>
    <xf numFmtId="0" fontId="5" fillId="0" borderId="0" xfId="0" applyFont="1"/>
    <xf numFmtId="49" fontId="6" fillId="0" borderId="0" xfId="0" applyNumberFormat="1" applyFont="1" applyAlignment="1">
      <alignment horizontal="left"/>
    </xf>
    <xf numFmtId="0" fontId="7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left" vertical="center" wrapText="1" indent="1"/>
    </xf>
    <xf numFmtId="0" fontId="3" fillId="0" borderId="1" xfId="0" applyFont="1" applyBorder="1"/>
    <xf numFmtId="0" fontId="15" fillId="3" borderId="1" xfId="0" applyFont="1" applyFill="1" applyBorder="1" applyAlignment="1">
      <alignment horizontal="center" vertical="center" wrapText="1"/>
    </xf>
    <xf numFmtId="49" fontId="15" fillId="3" borderId="1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14" fontId="17" fillId="2" borderId="1" xfId="0" applyNumberFormat="1" applyFont="1" applyFill="1" applyBorder="1" applyAlignment="1">
      <alignment horizontal="center" vertical="center" wrapText="1"/>
    </xf>
    <xf numFmtId="49" fontId="17" fillId="2" borderId="1" xfId="0" applyNumberFormat="1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4" fontId="17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3" borderId="14" xfId="0" applyFont="1" applyFill="1" applyBorder="1" applyAlignment="1">
      <alignment horizontal="center" vertical="center" wrapText="1"/>
    </xf>
    <xf numFmtId="0" fontId="11" fillId="3" borderId="17" xfId="0" applyFont="1" applyFill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4" fontId="17" fillId="6" borderId="1" xfId="0" applyNumberFormat="1" applyFont="1" applyFill="1" applyBorder="1" applyAlignment="1">
      <alignment horizontal="center" vertical="center" wrapText="1"/>
    </xf>
    <xf numFmtId="0" fontId="11" fillId="3" borderId="13" xfId="0" applyFont="1" applyFill="1" applyBorder="1" applyAlignment="1">
      <alignment horizontal="center" vertical="center" wrapText="1"/>
    </xf>
    <xf numFmtId="49" fontId="11" fillId="3" borderId="14" xfId="0" applyNumberFormat="1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/>
    </xf>
    <xf numFmtId="49" fontId="11" fillId="3" borderId="17" xfId="0" applyNumberFormat="1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8" fillId="2" borderId="1" xfId="1" applyFont="1" applyFill="1" applyBorder="1" applyAlignment="1">
      <alignment horizontal="center" vertical="center" wrapText="1"/>
    </xf>
    <xf numFmtId="49" fontId="17" fillId="6" borderId="1" xfId="0" applyNumberFormat="1" applyFont="1" applyFill="1" applyBorder="1" applyAlignment="1">
      <alignment horizontal="center" vertical="center" wrapText="1"/>
    </xf>
    <xf numFmtId="0" fontId="17" fillId="6" borderId="1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center" vertical="center" wrapText="1"/>
    </xf>
    <xf numFmtId="49" fontId="11" fillId="0" borderId="20" xfId="0" applyNumberFormat="1" applyFont="1" applyBorder="1" applyAlignment="1">
      <alignment horizontal="center" vertical="center" wrapText="1"/>
    </xf>
    <xf numFmtId="49" fontId="11" fillId="0" borderId="15" xfId="0" applyNumberFormat="1" applyFont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1" fillId="3" borderId="18" xfId="0" applyFont="1" applyFill="1" applyBorder="1" applyAlignment="1">
      <alignment horizontal="center" vertical="center" wrapText="1"/>
    </xf>
    <xf numFmtId="0" fontId="11" fillId="3" borderId="19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gpsnhatquang.com.vn:16840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91"/>
  <sheetViews>
    <sheetView tabSelected="1" zoomScale="70" zoomScaleNormal="70" workbookViewId="0">
      <pane ySplit="1" topLeftCell="A129" activePane="bottomLeft" state="frozen"/>
      <selection pane="bottomLeft" activeCell="D151" sqref="D151"/>
    </sheetView>
  </sheetViews>
  <sheetFormatPr defaultRowHeight="15" x14ac:dyDescent="0.25"/>
  <cols>
    <col min="1" max="1" width="9.28515625" style="27" customWidth="1"/>
    <col min="2" max="2" width="16.85546875" style="27" bestFit="1" customWidth="1"/>
    <col min="3" max="3" width="15.85546875" style="27" bestFit="1" customWidth="1"/>
    <col min="4" max="4" width="14" style="27" bestFit="1" customWidth="1"/>
    <col min="5" max="5" width="18.140625" style="27" bestFit="1" customWidth="1"/>
    <col min="6" max="6" width="32.42578125" style="43" bestFit="1" customWidth="1"/>
    <col min="7" max="8" width="14.42578125" style="27" bestFit="1" customWidth="1"/>
    <col min="9" max="9" width="30.28515625" style="44" bestFit="1" customWidth="1"/>
    <col min="10" max="10" width="25" style="27" bestFit="1" customWidth="1"/>
    <col min="11" max="11" width="37.28515625" style="27" bestFit="1" customWidth="1"/>
    <col min="12" max="12" width="36.85546875" style="27" bestFit="1" customWidth="1"/>
    <col min="13" max="13" width="40.140625" style="27" bestFit="1" customWidth="1"/>
    <col min="14" max="14" width="40.5703125" style="27" bestFit="1" customWidth="1"/>
    <col min="15" max="15" width="24.42578125" style="27" customWidth="1"/>
    <col min="16" max="16" width="24.7109375" style="27" customWidth="1"/>
    <col min="17" max="17" width="9.140625" style="45"/>
  </cols>
  <sheetData>
    <row r="1" spans="1:17" ht="16.5" thickBot="1" x14ac:dyDescent="0.3">
      <c r="A1" s="42"/>
      <c r="C1" s="22"/>
    </row>
    <row r="2" spans="1:17" ht="35.1" customHeight="1" thickBot="1" x14ac:dyDescent="0.3">
      <c r="A2" s="30" t="s">
        <v>432</v>
      </c>
      <c r="B2" s="23"/>
      <c r="C2" s="23"/>
      <c r="D2" s="23"/>
      <c r="E2" s="23"/>
      <c r="F2" s="31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</row>
    <row r="3" spans="1:17" ht="15.75" x14ac:dyDescent="0.25">
      <c r="A3" s="32" t="s">
        <v>71</v>
      </c>
      <c r="B3" s="24"/>
      <c r="C3" s="24"/>
      <c r="D3" s="24"/>
      <c r="E3" s="24"/>
      <c r="F3" s="33"/>
      <c r="G3" s="24"/>
      <c r="H3" s="24"/>
      <c r="I3" s="24"/>
      <c r="J3" s="24"/>
      <c r="K3" s="24"/>
      <c r="L3" s="24"/>
      <c r="M3" s="48"/>
      <c r="N3" s="49"/>
      <c r="O3" s="24"/>
      <c r="P3" s="24"/>
      <c r="Q3" s="24"/>
    </row>
    <row r="4" spans="1:17" ht="47.25" x14ac:dyDescent="0.25">
      <c r="A4" s="13" t="s">
        <v>636</v>
      </c>
      <c r="B4" s="34"/>
      <c r="C4" s="13" t="s">
        <v>72</v>
      </c>
      <c r="D4" s="13" t="s">
        <v>73</v>
      </c>
      <c r="E4" s="13" t="s">
        <v>14</v>
      </c>
      <c r="F4" s="14" t="s">
        <v>74</v>
      </c>
      <c r="G4" s="13" t="s">
        <v>75</v>
      </c>
      <c r="H4" s="13" t="s">
        <v>41</v>
      </c>
      <c r="I4" s="13" t="s">
        <v>76</v>
      </c>
      <c r="J4" s="13" t="s">
        <v>77</v>
      </c>
      <c r="K4" s="13" t="s">
        <v>78</v>
      </c>
      <c r="L4" s="13" t="s">
        <v>79</v>
      </c>
      <c r="M4" s="13" t="s">
        <v>80</v>
      </c>
      <c r="N4" s="13" t="s">
        <v>81</v>
      </c>
      <c r="O4" s="13" t="s">
        <v>82</v>
      </c>
      <c r="P4" s="13" t="s">
        <v>83</v>
      </c>
      <c r="Q4" s="13" t="s">
        <v>84</v>
      </c>
    </row>
    <row r="5" spans="1:17" ht="30" x14ac:dyDescent="0.25">
      <c r="A5" s="15">
        <v>1</v>
      </c>
      <c r="B5" s="47" t="s">
        <v>85</v>
      </c>
      <c r="C5" s="16">
        <v>46268</v>
      </c>
      <c r="D5" s="16">
        <v>46268</v>
      </c>
      <c r="E5" s="15" t="s">
        <v>4</v>
      </c>
      <c r="F5" s="17" t="s">
        <v>86</v>
      </c>
      <c r="G5" s="15" t="s">
        <v>87</v>
      </c>
      <c r="H5" s="15" t="s">
        <v>0</v>
      </c>
      <c r="I5" s="18"/>
      <c r="J5" s="18"/>
      <c r="K5" s="18"/>
      <c r="L5" s="18"/>
      <c r="M5" s="18"/>
      <c r="N5" s="18"/>
      <c r="O5" s="15" t="s">
        <v>88</v>
      </c>
      <c r="P5" s="15" t="s">
        <v>89</v>
      </c>
      <c r="Q5" s="15" t="s">
        <v>1</v>
      </c>
    </row>
    <row r="6" spans="1:17" ht="45" x14ac:dyDescent="0.25">
      <c r="A6" s="15">
        <v>2</v>
      </c>
      <c r="B6" s="47"/>
      <c r="C6" s="16">
        <v>46268</v>
      </c>
      <c r="D6" s="16">
        <v>46279</v>
      </c>
      <c r="E6" s="15" t="s">
        <v>68</v>
      </c>
      <c r="F6" s="17" t="s">
        <v>90</v>
      </c>
      <c r="G6" s="18"/>
      <c r="H6" s="15" t="s">
        <v>2</v>
      </c>
      <c r="I6" s="18"/>
      <c r="J6" s="18"/>
      <c r="K6" s="15" t="s">
        <v>91</v>
      </c>
      <c r="L6" s="18"/>
      <c r="M6" s="18"/>
      <c r="N6" s="19" t="s">
        <v>92</v>
      </c>
      <c r="O6" s="15" t="s">
        <v>93</v>
      </c>
      <c r="P6" s="15" t="s">
        <v>94</v>
      </c>
      <c r="Q6" s="15" t="s">
        <v>1</v>
      </c>
    </row>
    <row r="7" spans="1:17" ht="30" x14ac:dyDescent="0.25">
      <c r="A7" s="15">
        <v>3</v>
      </c>
      <c r="B7" s="47"/>
      <c r="C7" s="16">
        <v>46274</v>
      </c>
      <c r="D7" s="16">
        <v>46279</v>
      </c>
      <c r="E7" s="15" t="s">
        <v>4</v>
      </c>
      <c r="F7" s="17" t="s">
        <v>95</v>
      </c>
      <c r="G7" s="18"/>
      <c r="H7" s="18"/>
      <c r="I7" s="18"/>
      <c r="J7" s="18"/>
      <c r="K7" s="18"/>
      <c r="L7" s="18"/>
      <c r="M7" s="18"/>
      <c r="N7" s="18"/>
      <c r="O7" s="15" t="s">
        <v>96</v>
      </c>
      <c r="P7" s="15" t="s">
        <v>97</v>
      </c>
      <c r="Q7" s="15" t="s">
        <v>1</v>
      </c>
    </row>
    <row r="8" spans="1:17" ht="45" x14ac:dyDescent="0.25">
      <c r="A8" s="15">
        <v>4</v>
      </c>
      <c r="B8" s="47"/>
      <c r="C8" s="16">
        <v>46274</v>
      </c>
      <c r="D8" s="16">
        <v>46283</v>
      </c>
      <c r="E8" s="15" t="s">
        <v>98</v>
      </c>
      <c r="F8" s="17" t="s">
        <v>433</v>
      </c>
      <c r="G8" s="18"/>
      <c r="H8" s="15" t="s">
        <v>2</v>
      </c>
      <c r="I8" s="18"/>
      <c r="J8" s="18"/>
      <c r="K8" s="18"/>
      <c r="L8" s="15" t="s">
        <v>99</v>
      </c>
      <c r="M8" s="18"/>
      <c r="N8" s="15" t="s">
        <v>100</v>
      </c>
      <c r="O8" s="15" t="s">
        <v>101</v>
      </c>
      <c r="P8" s="15" t="s">
        <v>102</v>
      </c>
      <c r="Q8" s="15" t="s">
        <v>1</v>
      </c>
    </row>
    <row r="9" spans="1:17" ht="45" x14ac:dyDescent="0.25">
      <c r="A9" s="15">
        <v>5</v>
      </c>
      <c r="B9" s="47"/>
      <c r="C9" s="16">
        <v>46274</v>
      </c>
      <c r="D9" s="16">
        <v>46283</v>
      </c>
      <c r="E9" s="15" t="s">
        <v>98</v>
      </c>
      <c r="F9" s="17" t="s">
        <v>434</v>
      </c>
      <c r="G9" s="18"/>
      <c r="H9" s="15" t="s">
        <v>0</v>
      </c>
      <c r="I9" s="18"/>
      <c r="J9" s="18"/>
      <c r="K9" s="18"/>
      <c r="L9" s="15" t="s">
        <v>99</v>
      </c>
      <c r="M9" s="18"/>
      <c r="N9" s="15" t="s">
        <v>100</v>
      </c>
      <c r="O9" s="15" t="s">
        <v>101</v>
      </c>
      <c r="P9" s="15" t="s">
        <v>103</v>
      </c>
      <c r="Q9" s="15" t="s">
        <v>1</v>
      </c>
    </row>
    <row r="10" spans="1:17" x14ac:dyDescent="0.25">
      <c r="A10" s="15">
        <v>6</v>
      </c>
      <c r="B10" s="47"/>
      <c r="C10" s="16">
        <v>46274</v>
      </c>
      <c r="D10" s="16">
        <v>46283</v>
      </c>
      <c r="E10" s="15" t="s">
        <v>98</v>
      </c>
      <c r="F10" s="17" t="s">
        <v>435</v>
      </c>
      <c r="G10" s="18"/>
      <c r="H10" s="15" t="s">
        <v>0</v>
      </c>
      <c r="I10" s="18"/>
      <c r="J10" s="18"/>
      <c r="K10" s="18"/>
      <c r="L10" s="15" t="s">
        <v>99</v>
      </c>
      <c r="M10" s="18"/>
      <c r="N10" s="15" t="s">
        <v>100</v>
      </c>
      <c r="O10" s="15" t="s">
        <v>104</v>
      </c>
      <c r="P10" s="15" t="s">
        <v>24</v>
      </c>
      <c r="Q10" s="15" t="s">
        <v>1</v>
      </c>
    </row>
    <row r="11" spans="1:17" x14ac:dyDescent="0.25">
      <c r="A11" s="15">
        <v>7</v>
      </c>
      <c r="B11" s="47"/>
      <c r="C11" s="16">
        <v>46274</v>
      </c>
      <c r="D11" s="16">
        <v>46283</v>
      </c>
      <c r="E11" s="15" t="s">
        <v>98</v>
      </c>
      <c r="F11" s="17" t="s">
        <v>436</v>
      </c>
      <c r="G11" s="15" t="s">
        <v>28</v>
      </c>
      <c r="H11" s="15" t="s">
        <v>0</v>
      </c>
      <c r="I11" s="18"/>
      <c r="J11" s="18"/>
      <c r="K11" s="18"/>
      <c r="L11" s="15" t="s">
        <v>99</v>
      </c>
      <c r="M11" s="18"/>
      <c r="N11" s="15" t="s">
        <v>100</v>
      </c>
      <c r="O11" s="15" t="s">
        <v>104</v>
      </c>
      <c r="P11" s="15" t="s">
        <v>24</v>
      </c>
      <c r="Q11" s="15" t="s">
        <v>1</v>
      </c>
    </row>
    <row r="12" spans="1:17" ht="60" x14ac:dyDescent="0.25">
      <c r="A12" s="15">
        <v>8</v>
      </c>
      <c r="B12" s="47"/>
      <c r="C12" s="16">
        <v>46274</v>
      </c>
      <c r="D12" s="16">
        <v>46283</v>
      </c>
      <c r="E12" s="15" t="s">
        <v>98</v>
      </c>
      <c r="F12" s="17" t="s">
        <v>437</v>
      </c>
      <c r="G12" s="18"/>
      <c r="H12" s="15" t="s">
        <v>2</v>
      </c>
      <c r="I12" s="18"/>
      <c r="J12" s="18"/>
      <c r="K12" s="18"/>
      <c r="L12" s="15" t="s">
        <v>99</v>
      </c>
      <c r="M12" s="18"/>
      <c r="N12" s="15" t="s">
        <v>100</v>
      </c>
      <c r="O12" s="15" t="s">
        <v>105</v>
      </c>
      <c r="P12" s="15" t="s">
        <v>106</v>
      </c>
      <c r="Q12" s="15" t="s">
        <v>1</v>
      </c>
    </row>
    <row r="13" spans="1:17" x14ac:dyDescent="0.25">
      <c r="A13" s="15">
        <v>9</v>
      </c>
      <c r="B13" s="47"/>
      <c r="C13" s="16">
        <v>46274</v>
      </c>
      <c r="D13" s="16">
        <v>46289</v>
      </c>
      <c r="E13" s="15" t="s">
        <v>107</v>
      </c>
      <c r="F13" s="17" t="s">
        <v>438</v>
      </c>
      <c r="G13" s="18"/>
      <c r="H13" s="18"/>
      <c r="I13" s="18"/>
      <c r="J13" s="18"/>
      <c r="K13" s="15" t="s">
        <v>26</v>
      </c>
      <c r="L13" s="15" t="s">
        <v>99</v>
      </c>
      <c r="M13" s="18"/>
      <c r="N13" s="15" t="s">
        <v>53</v>
      </c>
      <c r="O13" s="15" t="s">
        <v>104</v>
      </c>
      <c r="P13" s="15" t="s">
        <v>24</v>
      </c>
      <c r="Q13" s="15" t="s">
        <v>1</v>
      </c>
    </row>
    <row r="14" spans="1:17" ht="45" x14ac:dyDescent="0.25">
      <c r="A14" s="15">
        <v>10</v>
      </c>
      <c r="B14" s="47"/>
      <c r="C14" s="16">
        <v>46274</v>
      </c>
      <c r="D14" s="16">
        <v>46283</v>
      </c>
      <c r="E14" s="15" t="s">
        <v>98</v>
      </c>
      <c r="F14" s="17" t="s">
        <v>439</v>
      </c>
      <c r="G14" s="15" t="s">
        <v>28</v>
      </c>
      <c r="H14" s="15" t="s">
        <v>0</v>
      </c>
      <c r="I14" s="18"/>
      <c r="J14" s="18"/>
      <c r="K14" s="18"/>
      <c r="L14" s="15" t="s">
        <v>99</v>
      </c>
      <c r="M14" s="18"/>
      <c r="N14" s="15" t="s">
        <v>100</v>
      </c>
      <c r="O14" s="15" t="s">
        <v>108</v>
      </c>
      <c r="P14" s="15" t="s">
        <v>109</v>
      </c>
      <c r="Q14" s="15" t="s">
        <v>1</v>
      </c>
    </row>
    <row r="15" spans="1:17" ht="45" x14ac:dyDescent="0.25">
      <c r="A15" s="15">
        <v>11</v>
      </c>
      <c r="B15" s="47"/>
      <c r="C15" s="16">
        <v>46274</v>
      </c>
      <c r="D15" s="16">
        <v>46283</v>
      </c>
      <c r="E15" s="15" t="s">
        <v>98</v>
      </c>
      <c r="F15" s="17" t="s">
        <v>440</v>
      </c>
      <c r="G15" s="18"/>
      <c r="H15" s="15" t="s">
        <v>2</v>
      </c>
      <c r="I15" s="18"/>
      <c r="J15" s="18"/>
      <c r="K15" s="18"/>
      <c r="L15" s="15" t="s">
        <v>99</v>
      </c>
      <c r="M15" s="18"/>
      <c r="N15" s="15" t="s">
        <v>100</v>
      </c>
      <c r="O15" s="15" t="s">
        <v>110</v>
      </c>
      <c r="P15" s="15" t="s">
        <v>111</v>
      </c>
      <c r="Q15" s="15" t="s">
        <v>1</v>
      </c>
    </row>
    <row r="16" spans="1:17" x14ac:dyDescent="0.25">
      <c r="A16" s="15">
        <v>12</v>
      </c>
      <c r="B16" s="47"/>
      <c r="C16" s="16">
        <v>46274</v>
      </c>
      <c r="D16" s="16">
        <v>46283</v>
      </c>
      <c r="E16" s="15" t="s">
        <v>98</v>
      </c>
      <c r="F16" s="17" t="s">
        <v>441</v>
      </c>
      <c r="G16" s="18"/>
      <c r="H16" s="15" t="s">
        <v>0</v>
      </c>
      <c r="I16" s="18"/>
      <c r="J16" s="18"/>
      <c r="K16" s="15" t="s">
        <v>112</v>
      </c>
      <c r="L16" s="15" t="s">
        <v>99</v>
      </c>
      <c r="M16" s="18"/>
      <c r="N16" s="15" t="s">
        <v>100</v>
      </c>
      <c r="O16" s="15" t="s">
        <v>113</v>
      </c>
      <c r="P16" s="15" t="s">
        <v>114</v>
      </c>
      <c r="Q16" s="15" t="s">
        <v>1</v>
      </c>
    </row>
    <row r="17" spans="1:17" ht="45" x14ac:dyDescent="0.25">
      <c r="A17" s="15">
        <v>13</v>
      </c>
      <c r="B17" s="47"/>
      <c r="C17" s="16">
        <v>46274</v>
      </c>
      <c r="D17" s="16">
        <v>46283</v>
      </c>
      <c r="E17" s="15" t="s">
        <v>98</v>
      </c>
      <c r="F17" s="17" t="s">
        <v>442</v>
      </c>
      <c r="G17" s="15" t="s">
        <v>28</v>
      </c>
      <c r="H17" s="15" t="s">
        <v>2</v>
      </c>
      <c r="I17" s="18"/>
      <c r="J17" s="18"/>
      <c r="K17" s="15" t="s">
        <v>115</v>
      </c>
      <c r="L17" s="15" t="s">
        <v>99</v>
      </c>
      <c r="M17" s="18"/>
      <c r="N17" s="15" t="s">
        <v>100</v>
      </c>
      <c r="O17" s="15" t="s">
        <v>116</v>
      </c>
      <c r="P17" s="15" t="s">
        <v>117</v>
      </c>
      <c r="Q17" s="15" t="s">
        <v>1</v>
      </c>
    </row>
    <row r="18" spans="1:17" x14ac:dyDescent="0.25">
      <c r="A18" s="15">
        <v>14</v>
      </c>
      <c r="B18" s="47"/>
      <c r="C18" s="16">
        <v>46274</v>
      </c>
      <c r="D18" s="16">
        <v>46289</v>
      </c>
      <c r="E18" s="15" t="s">
        <v>118</v>
      </c>
      <c r="F18" s="17" t="s">
        <v>443</v>
      </c>
      <c r="G18" s="18"/>
      <c r="H18" s="15" t="s">
        <v>2</v>
      </c>
      <c r="I18" s="18"/>
      <c r="J18" s="18"/>
      <c r="K18" s="18"/>
      <c r="L18" s="18"/>
      <c r="M18" s="18"/>
      <c r="N18" s="18"/>
      <c r="O18" s="15" t="s">
        <v>104</v>
      </c>
      <c r="P18" s="15" t="s">
        <v>24</v>
      </c>
      <c r="Q18" s="15" t="s">
        <v>1</v>
      </c>
    </row>
    <row r="19" spans="1:17" ht="30" x14ac:dyDescent="0.25">
      <c r="A19" s="15">
        <v>15</v>
      </c>
      <c r="B19" s="47"/>
      <c r="C19" s="16">
        <v>46274</v>
      </c>
      <c r="D19" s="16">
        <v>46289</v>
      </c>
      <c r="E19" s="15" t="s">
        <v>118</v>
      </c>
      <c r="F19" s="17" t="s">
        <v>444</v>
      </c>
      <c r="G19" s="15" t="s">
        <v>28</v>
      </c>
      <c r="H19" s="15" t="s">
        <v>0</v>
      </c>
      <c r="I19" s="18"/>
      <c r="J19" s="18"/>
      <c r="K19" s="15" t="s">
        <v>119</v>
      </c>
      <c r="L19" s="15" t="s">
        <v>99</v>
      </c>
      <c r="M19" s="15" t="s">
        <v>12</v>
      </c>
      <c r="N19" s="15" t="s">
        <v>100</v>
      </c>
      <c r="O19" s="15" t="s">
        <v>120</v>
      </c>
      <c r="P19" s="15" t="s">
        <v>121</v>
      </c>
      <c r="Q19" s="15" t="s">
        <v>1</v>
      </c>
    </row>
    <row r="20" spans="1:17" ht="30" x14ac:dyDescent="0.25">
      <c r="A20" s="15">
        <v>16</v>
      </c>
      <c r="B20" s="47"/>
      <c r="C20" s="16">
        <v>46274</v>
      </c>
      <c r="D20" s="16">
        <v>46289</v>
      </c>
      <c r="E20" s="15" t="s">
        <v>107</v>
      </c>
      <c r="F20" s="17" t="s">
        <v>445</v>
      </c>
      <c r="G20" s="18"/>
      <c r="H20" s="15" t="s">
        <v>9</v>
      </c>
      <c r="I20" s="18"/>
      <c r="J20" s="18"/>
      <c r="K20" s="15" t="s">
        <v>122</v>
      </c>
      <c r="L20" s="18"/>
      <c r="M20" s="18"/>
      <c r="N20" s="15" t="s">
        <v>61</v>
      </c>
      <c r="O20" s="15" t="s">
        <v>123</v>
      </c>
      <c r="P20" s="15" t="s">
        <v>124</v>
      </c>
      <c r="Q20" s="15" t="s">
        <v>1</v>
      </c>
    </row>
    <row r="21" spans="1:17" ht="30" x14ac:dyDescent="0.25">
      <c r="A21" s="15">
        <v>17</v>
      </c>
      <c r="B21" s="47"/>
      <c r="C21" s="16">
        <v>46274</v>
      </c>
      <c r="D21" s="16">
        <v>46289</v>
      </c>
      <c r="E21" s="15" t="s">
        <v>107</v>
      </c>
      <c r="F21" s="17" t="s">
        <v>446</v>
      </c>
      <c r="G21" s="18"/>
      <c r="H21" s="15" t="s">
        <v>9</v>
      </c>
      <c r="I21" s="18"/>
      <c r="J21" s="18"/>
      <c r="K21" s="15" t="s">
        <v>125</v>
      </c>
      <c r="L21" s="18"/>
      <c r="M21" s="15" t="s">
        <v>126</v>
      </c>
      <c r="N21" s="15" t="s">
        <v>61</v>
      </c>
      <c r="O21" s="15" t="s">
        <v>123</v>
      </c>
      <c r="P21" s="15" t="s">
        <v>124</v>
      </c>
      <c r="Q21" s="15" t="s">
        <v>1</v>
      </c>
    </row>
    <row r="22" spans="1:17" x14ac:dyDescent="0.25">
      <c r="A22" s="15">
        <v>18</v>
      </c>
      <c r="B22" s="47"/>
      <c r="C22" s="16">
        <v>46274</v>
      </c>
      <c r="D22" s="16">
        <v>46289</v>
      </c>
      <c r="E22" s="15" t="s">
        <v>127</v>
      </c>
      <c r="F22" s="17" t="s">
        <v>447</v>
      </c>
      <c r="G22" s="18"/>
      <c r="H22" s="15" t="s">
        <v>2</v>
      </c>
      <c r="I22" s="18"/>
      <c r="J22" s="18"/>
      <c r="K22" s="15" t="s">
        <v>128</v>
      </c>
      <c r="L22" s="15" t="s">
        <v>129</v>
      </c>
      <c r="M22" s="15" t="s">
        <v>47</v>
      </c>
      <c r="N22" s="18"/>
      <c r="O22" s="15" t="s">
        <v>13</v>
      </c>
      <c r="P22" s="15" t="s">
        <v>130</v>
      </c>
      <c r="Q22" s="15" t="s">
        <v>1</v>
      </c>
    </row>
    <row r="23" spans="1:17" ht="30" x14ac:dyDescent="0.25">
      <c r="A23" s="15">
        <v>19</v>
      </c>
      <c r="B23" s="47"/>
      <c r="C23" s="16">
        <v>46280</v>
      </c>
      <c r="D23" s="16">
        <v>46283</v>
      </c>
      <c r="E23" s="15" t="s">
        <v>98</v>
      </c>
      <c r="F23" s="17" t="s">
        <v>448</v>
      </c>
      <c r="G23" s="18"/>
      <c r="H23" s="18"/>
      <c r="I23" s="18"/>
      <c r="J23" s="18"/>
      <c r="K23" s="18"/>
      <c r="L23" s="18"/>
      <c r="M23" s="18"/>
      <c r="N23" s="18"/>
      <c r="O23" s="15" t="s">
        <v>131</v>
      </c>
      <c r="P23" s="15" t="s">
        <v>132</v>
      </c>
      <c r="Q23" s="15" t="s">
        <v>1</v>
      </c>
    </row>
    <row r="24" spans="1:17" ht="30" x14ac:dyDescent="0.25">
      <c r="A24" s="15">
        <v>20</v>
      </c>
      <c r="B24" s="47"/>
      <c r="C24" s="16">
        <v>46280</v>
      </c>
      <c r="D24" s="16">
        <v>46289</v>
      </c>
      <c r="E24" s="15" t="s">
        <v>98</v>
      </c>
      <c r="F24" s="17" t="s">
        <v>449</v>
      </c>
      <c r="G24" s="18"/>
      <c r="H24" s="15" t="s">
        <v>2</v>
      </c>
      <c r="I24" s="18"/>
      <c r="J24" s="18"/>
      <c r="K24" s="18"/>
      <c r="L24" s="18"/>
      <c r="M24" s="15" t="s">
        <v>100</v>
      </c>
      <c r="N24" s="18"/>
      <c r="O24" s="15" t="s">
        <v>131</v>
      </c>
      <c r="P24" s="15" t="s">
        <v>133</v>
      </c>
      <c r="Q24" s="15" t="s">
        <v>1</v>
      </c>
    </row>
    <row r="25" spans="1:17" ht="30" x14ac:dyDescent="0.25">
      <c r="A25" s="15">
        <v>21</v>
      </c>
      <c r="B25" s="47"/>
      <c r="C25" s="16">
        <v>46280</v>
      </c>
      <c r="D25" s="16">
        <v>46289</v>
      </c>
      <c r="E25" s="15" t="s">
        <v>98</v>
      </c>
      <c r="F25" s="17" t="s">
        <v>450</v>
      </c>
      <c r="G25" s="18"/>
      <c r="H25" s="15" t="s">
        <v>2</v>
      </c>
      <c r="I25" s="18"/>
      <c r="J25" s="18"/>
      <c r="K25" s="18"/>
      <c r="L25" s="18"/>
      <c r="M25" s="18"/>
      <c r="N25" s="18"/>
      <c r="O25" s="15" t="s">
        <v>113</v>
      </c>
      <c r="P25" s="15" t="s">
        <v>134</v>
      </c>
      <c r="Q25" s="15" t="s">
        <v>1</v>
      </c>
    </row>
    <row r="26" spans="1:17" ht="30" x14ac:dyDescent="0.25">
      <c r="A26" s="15">
        <v>22</v>
      </c>
      <c r="B26" s="47"/>
      <c r="C26" s="16">
        <v>46280</v>
      </c>
      <c r="D26" s="16">
        <v>46289</v>
      </c>
      <c r="E26" s="15" t="s">
        <v>98</v>
      </c>
      <c r="F26" s="17" t="s">
        <v>451</v>
      </c>
      <c r="G26" s="15" t="s">
        <v>28</v>
      </c>
      <c r="H26" s="15" t="s">
        <v>2</v>
      </c>
      <c r="I26" s="18"/>
      <c r="J26" s="18"/>
      <c r="K26" s="18"/>
      <c r="L26" s="18"/>
      <c r="M26" s="15" t="s">
        <v>100</v>
      </c>
      <c r="N26" s="18"/>
      <c r="O26" s="15" t="s">
        <v>131</v>
      </c>
      <c r="P26" s="15" t="s">
        <v>133</v>
      </c>
      <c r="Q26" s="15" t="s">
        <v>1</v>
      </c>
    </row>
    <row r="27" spans="1:17" x14ac:dyDescent="0.25">
      <c r="A27" s="15">
        <v>23</v>
      </c>
      <c r="B27" s="47"/>
      <c r="C27" s="16">
        <v>46280</v>
      </c>
      <c r="D27" s="16">
        <v>46289</v>
      </c>
      <c r="E27" s="15" t="s">
        <v>98</v>
      </c>
      <c r="F27" s="17" t="s">
        <v>452</v>
      </c>
      <c r="G27" s="18"/>
      <c r="H27" s="15" t="s">
        <v>2</v>
      </c>
      <c r="I27" s="18"/>
      <c r="J27" s="18"/>
      <c r="K27" s="18"/>
      <c r="L27" s="18"/>
      <c r="M27" s="18"/>
      <c r="N27" s="18"/>
      <c r="O27" s="15" t="s">
        <v>135</v>
      </c>
      <c r="P27" s="15" t="s">
        <v>136</v>
      </c>
      <c r="Q27" s="15" t="s">
        <v>1</v>
      </c>
    </row>
    <row r="28" spans="1:17" x14ac:dyDescent="0.25">
      <c r="A28" s="15">
        <v>24</v>
      </c>
      <c r="B28" s="47"/>
      <c r="C28" s="16">
        <v>46280</v>
      </c>
      <c r="D28" s="16">
        <v>46289</v>
      </c>
      <c r="E28" s="15" t="s">
        <v>98</v>
      </c>
      <c r="F28" s="17" t="s">
        <v>453</v>
      </c>
      <c r="G28" s="18"/>
      <c r="H28" s="15" t="s">
        <v>2</v>
      </c>
      <c r="I28" s="18"/>
      <c r="J28" s="18"/>
      <c r="K28" s="15" t="s">
        <v>137</v>
      </c>
      <c r="L28" s="15" t="s">
        <v>138</v>
      </c>
      <c r="M28" s="15" t="s">
        <v>100</v>
      </c>
      <c r="N28" s="15" t="s">
        <v>139</v>
      </c>
      <c r="O28" s="15" t="s">
        <v>113</v>
      </c>
      <c r="P28" s="15" t="s">
        <v>130</v>
      </c>
      <c r="Q28" s="15" t="s">
        <v>1</v>
      </c>
    </row>
    <row r="29" spans="1:17" ht="30" x14ac:dyDescent="0.25">
      <c r="A29" s="15">
        <v>25</v>
      </c>
      <c r="B29" s="47"/>
      <c r="C29" s="16">
        <v>46280</v>
      </c>
      <c r="D29" s="16">
        <v>46289</v>
      </c>
      <c r="E29" s="15" t="s">
        <v>98</v>
      </c>
      <c r="F29" s="17" t="s">
        <v>454</v>
      </c>
      <c r="G29" s="18"/>
      <c r="H29" s="15" t="s">
        <v>2</v>
      </c>
      <c r="I29" s="18"/>
      <c r="J29" s="18"/>
      <c r="K29" s="18"/>
      <c r="L29" s="18"/>
      <c r="M29" s="15" t="s">
        <v>100</v>
      </c>
      <c r="N29" s="18"/>
      <c r="O29" s="15" t="s">
        <v>131</v>
      </c>
      <c r="P29" s="15" t="s">
        <v>134</v>
      </c>
      <c r="Q29" s="15" t="s">
        <v>1</v>
      </c>
    </row>
    <row r="30" spans="1:17" ht="60" x14ac:dyDescent="0.25">
      <c r="A30" s="15">
        <v>26</v>
      </c>
      <c r="B30" s="47"/>
      <c r="C30" s="16">
        <v>46280</v>
      </c>
      <c r="D30" s="16">
        <v>46289</v>
      </c>
      <c r="E30" s="15" t="s">
        <v>118</v>
      </c>
      <c r="F30" s="17" t="s">
        <v>455</v>
      </c>
      <c r="G30" s="15" t="s">
        <v>28</v>
      </c>
      <c r="H30" s="15" t="s">
        <v>9</v>
      </c>
      <c r="I30" s="18"/>
      <c r="J30" s="18"/>
      <c r="K30" s="15" t="s">
        <v>140</v>
      </c>
      <c r="L30" s="15" t="s">
        <v>138</v>
      </c>
      <c r="M30" s="15" t="s">
        <v>100</v>
      </c>
      <c r="N30" s="18"/>
      <c r="O30" s="15" t="s">
        <v>141</v>
      </c>
      <c r="P30" s="15" t="s">
        <v>142</v>
      </c>
      <c r="Q30" s="15" t="s">
        <v>1</v>
      </c>
    </row>
    <row r="31" spans="1:17" ht="30" x14ac:dyDescent="0.25">
      <c r="A31" s="15">
        <v>27</v>
      </c>
      <c r="B31" s="47"/>
      <c r="C31" s="16">
        <v>46280</v>
      </c>
      <c r="D31" s="16">
        <v>46289</v>
      </c>
      <c r="E31" s="15" t="s">
        <v>107</v>
      </c>
      <c r="F31" s="17" t="s">
        <v>456</v>
      </c>
      <c r="G31" s="18"/>
      <c r="H31" s="15" t="s">
        <v>9</v>
      </c>
      <c r="I31" s="18"/>
      <c r="J31" s="18"/>
      <c r="K31" s="15" t="s">
        <v>143</v>
      </c>
      <c r="L31" s="15" t="s">
        <v>99</v>
      </c>
      <c r="M31" s="18"/>
      <c r="N31" s="18"/>
      <c r="O31" s="15" t="s">
        <v>104</v>
      </c>
      <c r="P31" s="15" t="s">
        <v>24</v>
      </c>
      <c r="Q31" s="15" t="s">
        <v>1</v>
      </c>
    </row>
    <row r="32" spans="1:17" x14ac:dyDescent="0.25">
      <c r="A32" s="15">
        <v>28</v>
      </c>
      <c r="B32" s="47"/>
      <c r="C32" s="16">
        <v>46280</v>
      </c>
      <c r="D32" s="16">
        <v>46289</v>
      </c>
      <c r="E32" s="15" t="s">
        <v>127</v>
      </c>
      <c r="F32" s="17" t="s">
        <v>457</v>
      </c>
      <c r="G32" s="18"/>
      <c r="H32" s="15" t="s">
        <v>2</v>
      </c>
      <c r="I32" s="18"/>
      <c r="J32" s="18"/>
      <c r="K32" s="15" t="s">
        <v>144</v>
      </c>
      <c r="L32" s="20">
        <v>125212203251.157</v>
      </c>
      <c r="M32" s="15" t="s">
        <v>55</v>
      </c>
      <c r="N32" s="15" t="s">
        <v>139</v>
      </c>
      <c r="O32" s="15" t="s">
        <v>13</v>
      </c>
      <c r="P32" s="15" t="s">
        <v>130</v>
      </c>
      <c r="Q32" s="15" t="s">
        <v>1</v>
      </c>
    </row>
    <row r="33" spans="1:17" x14ac:dyDescent="0.25">
      <c r="A33" s="15">
        <v>29</v>
      </c>
      <c r="B33" s="47"/>
      <c r="C33" s="16">
        <v>46280</v>
      </c>
      <c r="D33" s="16">
        <v>46289</v>
      </c>
      <c r="E33" s="15" t="s">
        <v>4</v>
      </c>
      <c r="F33" s="17" t="s">
        <v>145</v>
      </c>
      <c r="G33" s="15" t="s">
        <v>146</v>
      </c>
      <c r="H33" s="18"/>
      <c r="I33" s="18"/>
      <c r="J33" s="18"/>
      <c r="K33" s="18"/>
      <c r="L33" s="18"/>
      <c r="M33" s="18"/>
      <c r="N33" s="18"/>
      <c r="O33" s="15" t="s">
        <v>147</v>
      </c>
      <c r="P33" s="15" t="s">
        <v>148</v>
      </c>
      <c r="Q33" s="15" t="s">
        <v>1</v>
      </c>
    </row>
    <row r="34" spans="1:17" ht="30" x14ac:dyDescent="0.25">
      <c r="A34" s="15">
        <v>30</v>
      </c>
      <c r="B34" s="47"/>
      <c r="C34" s="16">
        <v>46280</v>
      </c>
      <c r="D34" s="16">
        <v>46283</v>
      </c>
      <c r="E34" s="15" t="s">
        <v>4</v>
      </c>
      <c r="F34" s="17" t="s">
        <v>149</v>
      </c>
      <c r="G34" s="15" t="s">
        <v>87</v>
      </c>
      <c r="H34" s="15" t="s">
        <v>0</v>
      </c>
      <c r="I34" s="18"/>
      <c r="J34" s="18"/>
      <c r="K34" s="18"/>
      <c r="L34" s="20">
        <v>125212203106.21001</v>
      </c>
      <c r="M34" s="15" t="s">
        <v>7</v>
      </c>
      <c r="N34" s="15" t="s">
        <v>5</v>
      </c>
      <c r="O34" s="15" t="s">
        <v>150</v>
      </c>
      <c r="P34" s="15" t="s">
        <v>151</v>
      </c>
      <c r="Q34" s="15" t="s">
        <v>1</v>
      </c>
    </row>
    <row r="35" spans="1:17" ht="45" x14ac:dyDescent="0.25">
      <c r="A35" s="15">
        <v>31</v>
      </c>
      <c r="B35" s="47"/>
      <c r="C35" s="16">
        <v>46280</v>
      </c>
      <c r="D35" s="16">
        <v>46283</v>
      </c>
      <c r="E35" s="15" t="s">
        <v>4</v>
      </c>
      <c r="F35" s="17" t="s">
        <v>458</v>
      </c>
      <c r="G35" s="15" t="s">
        <v>87</v>
      </c>
      <c r="H35" s="15" t="s">
        <v>0</v>
      </c>
      <c r="I35" s="18"/>
      <c r="J35" s="18"/>
      <c r="K35" s="18"/>
      <c r="L35" s="20">
        <v>125212203106.21001</v>
      </c>
      <c r="M35" s="15" t="s">
        <v>7</v>
      </c>
      <c r="N35" s="15" t="s">
        <v>5</v>
      </c>
      <c r="O35" s="15" t="s">
        <v>152</v>
      </c>
      <c r="P35" s="15" t="s">
        <v>153</v>
      </c>
      <c r="Q35" s="15" t="s">
        <v>1</v>
      </c>
    </row>
    <row r="36" spans="1:17" ht="30" x14ac:dyDescent="0.25">
      <c r="A36" s="15">
        <v>32</v>
      </c>
      <c r="B36" s="47"/>
      <c r="C36" s="16">
        <v>46280</v>
      </c>
      <c r="D36" s="16">
        <v>46289</v>
      </c>
      <c r="E36" s="15" t="s">
        <v>4</v>
      </c>
      <c r="F36" s="17" t="s">
        <v>154</v>
      </c>
      <c r="G36" s="15" t="s">
        <v>146</v>
      </c>
      <c r="H36" s="15" t="s">
        <v>0</v>
      </c>
      <c r="I36" s="18"/>
      <c r="J36" s="18"/>
      <c r="K36" s="15" t="s">
        <v>155</v>
      </c>
      <c r="L36" s="15" t="s">
        <v>156</v>
      </c>
      <c r="M36" s="15" t="s">
        <v>7</v>
      </c>
      <c r="N36" s="18"/>
      <c r="O36" s="15" t="s">
        <v>157</v>
      </c>
      <c r="P36" s="15" t="s">
        <v>158</v>
      </c>
      <c r="Q36" s="15" t="s">
        <v>1</v>
      </c>
    </row>
    <row r="37" spans="1:17" ht="30" x14ac:dyDescent="0.25">
      <c r="A37" s="15">
        <v>33</v>
      </c>
      <c r="B37" s="47"/>
      <c r="C37" s="16">
        <v>46280</v>
      </c>
      <c r="D37" s="16">
        <v>46289</v>
      </c>
      <c r="E37" s="15" t="s">
        <v>35</v>
      </c>
      <c r="F37" s="17" t="s">
        <v>459</v>
      </c>
      <c r="G37" s="18"/>
      <c r="H37" s="15" t="s">
        <v>0</v>
      </c>
      <c r="I37" s="18"/>
      <c r="J37" s="18"/>
      <c r="K37" s="15" t="s">
        <v>159</v>
      </c>
      <c r="L37" s="18"/>
      <c r="M37" s="18"/>
      <c r="N37" s="18"/>
      <c r="O37" s="15" t="s">
        <v>160</v>
      </c>
      <c r="P37" s="15" t="s">
        <v>58</v>
      </c>
      <c r="Q37" s="15" t="s">
        <v>1</v>
      </c>
    </row>
    <row r="38" spans="1:17" x14ac:dyDescent="0.25">
      <c r="A38" s="15">
        <v>34</v>
      </c>
      <c r="B38" s="47"/>
      <c r="C38" s="16">
        <v>46280</v>
      </c>
      <c r="D38" s="16">
        <v>46289</v>
      </c>
      <c r="E38" s="15" t="s">
        <v>35</v>
      </c>
      <c r="F38" s="17" t="s">
        <v>460</v>
      </c>
      <c r="G38" s="18"/>
      <c r="H38" s="15" t="s">
        <v>0</v>
      </c>
      <c r="I38" s="18"/>
      <c r="J38" s="18"/>
      <c r="K38" s="15" t="s">
        <v>159</v>
      </c>
      <c r="L38" s="18"/>
      <c r="M38" s="18"/>
      <c r="N38" s="18"/>
      <c r="O38" s="15" t="s">
        <v>161</v>
      </c>
      <c r="P38" s="15" t="s">
        <v>24</v>
      </c>
      <c r="Q38" s="15" t="s">
        <v>1</v>
      </c>
    </row>
    <row r="39" spans="1:17" ht="30" x14ac:dyDescent="0.25">
      <c r="A39" s="15">
        <v>35</v>
      </c>
      <c r="B39" s="47"/>
      <c r="C39" s="16">
        <v>46294</v>
      </c>
      <c r="D39" s="18"/>
      <c r="E39" s="15" t="s">
        <v>98</v>
      </c>
      <c r="F39" s="17" t="s">
        <v>461</v>
      </c>
      <c r="G39" s="18"/>
      <c r="H39" s="15" t="s">
        <v>0</v>
      </c>
      <c r="I39" s="18"/>
      <c r="J39" s="18"/>
      <c r="K39" s="18"/>
      <c r="L39" s="18"/>
      <c r="M39" s="18"/>
      <c r="N39" s="18"/>
      <c r="O39" s="15" t="s">
        <v>162</v>
      </c>
      <c r="P39" s="18"/>
      <c r="Q39" s="15" t="s">
        <v>1</v>
      </c>
    </row>
    <row r="40" spans="1:17" x14ac:dyDescent="0.25">
      <c r="A40" s="15">
        <v>36</v>
      </c>
      <c r="B40" s="47"/>
      <c r="C40" s="16">
        <v>46294</v>
      </c>
      <c r="D40" s="18"/>
      <c r="E40" s="15" t="s">
        <v>4</v>
      </c>
      <c r="F40" s="17" t="s">
        <v>163</v>
      </c>
      <c r="G40" s="18"/>
      <c r="H40" s="15" t="s">
        <v>0</v>
      </c>
      <c r="I40" s="18"/>
      <c r="J40" s="18"/>
      <c r="K40" s="18"/>
      <c r="L40" s="18"/>
      <c r="M40" s="18"/>
      <c r="N40" s="18"/>
      <c r="O40" s="15" t="s">
        <v>164</v>
      </c>
      <c r="P40" s="18"/>
      <c r="Q40" s="15" t="s">
        <v>1</v>
      </c>
    </row>
    <row r="41" spans="1:17" ht="30" x14ac:dyDescent="0.25">
      <c r="A41" s="15">
        <v>37</v>
      </c>
      <c r="B41" s="47" t="s">
        <v>165</v>
      </c>
      <c r="C41" s="16">
        <v>46268</v>
      </c>
      <c r="D41" s="16">
        <v>46270</v>
      </c>
      <c r="E41" s="15" t="s">
        <v>4</v>
      </c>
      <c r="F41" s="17" t="s">
        <v>166</v>
      </c>
      <c r="G41" s="18"/>
      <c r="H41" s="15" t="s">
        <v>2</v>
      </c>
      <c r="I41" s="18"/>
      <c r="J41" s="18"/>
      <c r="K41" s="18"/>
      <c r="L41" s="18"/>
      <c r="M41" s="18"/>
      <c r="N41" s="18"/>
      <c r="O41" s="15" t="s">
        <v>152</v>
      </c>
      <c r="P41" s="15" t="s">
        <v>151</v>
      </c>
      <c r="Q41" s="15" t="s">
        <v>1</v>
      </c>
    </row>
    <row r="42" spans="1:17" ht="30" x14ac:dyDescent="0.25">
      <c r="A42" s="15">
        <v>38</v>
      </c>
      <c r="B42" s="47"/>
      <c r="C42" s="16">
        <v>46268</v>
      </c>
      <c r="D42" s="16">
        <v>46270</v>
      </c>
      <c r="E42" s="15" t="s">
        <v>4</v>
      </c>
      <c r="F42" s="17" t="s">
        <v>167</v>
      </c>
      <c r="G42" s="18"/>
      <c r="H42" s="15" t="s">
        <v>2</v>
      </c>
      <c r="I42" s="18"/>
      <c r="J42" s="18"/>
      <c r="K42" s="18"/>
      <c r="L42" s="18"/>
      <c r="M42" s="18"/>
      <c r="N42" s="18"/>
      <c r="O42" s="15" t="s">
        <v>152</v>
      </c>
      <c r="P42" s="15" t="s">
        <v>151</v>
      </c>
      <c r="Q42" s="15" t="s">
        <v>1</v>
      </c>
    </row>
    <row r="43" spans="1:17" ht="30" x14ac:dyDescent="0.25">
      <c r="A43" s="15">
        <v>39</v>
      </c>
      <c r="B43" s="47"/>
      <c r="C43" s="16">
        <v>46268</v>
      </c>
      <c r="D43" s="16">
        <v>46270</v>
      </c>
      <c r="E43" s="15" t="s">
        <v>4</v>
      </c>
      <c r="F43" s="17" t="s">
        <v>168</v>
      </c>
      <c r="G43" s="15" t="s">
        <v>87</v>
      </c>
      <c r="H43" s="15" t="s">
        <v>9</v>
      </c>
      <c r="I43" s="18"/>
      <c r="J43" s="18"/>
      <c r="K43" s="15" t="s">
        <v>169</v>
      </c>
      <c r="L43" s="18"/>
      <c r="M43" s="18"/>
      <c r="N43" s="18"/>
      <c r="O43" s="15" t="s">
        <v>170</v>
      </c>
      <c r="P43" s="15" t="s">
        <v>171</v>
      </c>
      <c r="Q43" s="15" t="s">
        <v>1</v>
      </c>
    </row>
    <row r="44" spans="1:17" x14ac:dyDescent="0.25">
      <c r="A44" s="15">
        <v>40</v>
      </c>
      <c r="B44" s="47"/>
      <c r="C44" s="16">
        <v>46294</v>
      </c>
      <c r="D44" s="18"/>
      <c r="E44" s="15" t="s">
        <v>98</v>
      </c>
      <c r="F44" s="17" t="s">
        <v>462</v>
      </c>
      <c r="G44" s="15" t="s">
        <v>28</v>
      </c>
      <c r="H44" s="15" t="s">
        <v>0</v>
      </c>
      <c r="I44" s="18"/>
      <c r="J44" s="18"/>
      <c r="K44" s="18"/>
      <c r="L44" s="18"/>
      <c r="M44" s="18"/>
      <c r="N44" s="18"/>
      <c r="O44" s="18"/>
      <c r="P44" s="18"/>
      <c r="Q44" s="18"/>
    </row>
    <row r="45" spans="1:17" x14ac:dyDescent="0.25">
      <c r="A45" s="15">
        <v>41</v>
      </c>
      <c r="B45" s="47"/>
      <c r="C45" s="16">
        <v>46294</v>
      </c>
      <c r="D45" s="18"/>
      <c r="E45" s="15" t="s">
        <v>98</v>
      </c>
      <c r="F45" s="17" t="s">
        <v>463</v>
      </c>
      <c r="G45" s="18"/>
      <c r="H45" s="15" t="s">
        <v>0</v>
      </c>
      <c r="I45" s="18"/>
      <c r="J45" s="18"/>
      <c r="K45" s="18"/>
      <c r="L45" s="18"/>
      <c r="M45" s="18"/>
      <c r="N45" s="18"/>
      <c r="O45" s="18"/>
      <c r="P45" s="18"/>
      <c r="Q45" s="18"/>
    </row>
    <row r="46" spans="1:17" x14ac:dyDescent="0.25">
      <c r="A46" s="15">
        <v>42</v>
      </c>
      <c r="B46" s="47"/>
      <c r="C46" s="16">
        <v>46294</v>
      </c>
      <c r="D46" s="18"/>
      <c r="E46" s="15" t="s">
        <v>98</v>
      </c>
      <c r="F46" s="17" t="s">
        <v>464</v>
      </c>
      <c r="G46" s="18"/>
      <c r="H46" s="15" t="s">
        <v>0</v>
      </c>
      <c r="I46" s="18"/>
      <c r="J46" s="18"/>
      <c r="K46" s="18"/>
      <c r="L46" s="18"/>
      <c r="M46" s="18"/>
      <c r="N46" s="18"/>
      <c r="O46" s="18"/>
      <c r="P46" s="18"/>
      <c r="Q46" s="18"/>
    </row>
    <row r="47" spans="1:17" x14ac:dyDescent="0.25">
      <c r="A47" s="15">
        <v>43</v>
      </c>
      <c r="B47" s="47"/>
      <c r="C47" s="16">
        <v>46294</v>
      </c>
      <c r="D47" s="18"/>
      <c r="E47" s="15" t="s">
        <v>98</v>
      </c>
      <c r="F47" s="17" t="s">
        <v>465</v>
      </c>
      <c r="G47" s="18"/>
      <c r="H47" s="15" t="s">
        <v>2</v>
      </c>
      <c r="I47" s="18"/>
      <c r="J47" s="18"/>
      <c r="K47" s="18"/>
      <c r="L47" s="18"/>
      <c r="M47" s="18"/>
      <c r="N47" s="18"/>
      <c r="O47" s="18"/>
      <c r="P47" s="18"/>
      <c r="Q47" s="18"/>
    </row>
    <row r="48" spans="1:17" x14ac:dyDescent="0.25">
      <c r="A48" s="15">
        <v>44</v>
      </c>
      <c r="B48" s="47"/>
      <c r="C48" s="16">
        <v>46294</v>
      </c>
      <c r="D48" s="18"/>
      <c r="E48" s="15" t="s">
        <v>98</v>
      </c>
      <c r="F48" s="17" t="s">
        <v>466</v>
      </c>
      <c r="G48" s="18"/>
      <c r="H48" s="15" t="s">
        <v>0</v>
      </c>
      <c r="I48" s="18"/>
      <c r="J48" s="18"/>
      <c r="K48" s="18"/>
      <c r="L48" s="18"/>
      <c r="M48" s="18"/>
      <c r="N48" s="18"/>
      <c r="O48" s="18"/>
      <c r="P48" s="18"/>
      <c r="Q48" s="18"/>
    </row>
    <row r="49" spans="1:17" x14ac:dyDescent="0.25">
      <c r="A49" s="15">
        <v>45</v>
      </c>
      <c r="B49" s="47"/>
      <c r="C49" s="16">
        <v>46294</v>
      </c>
      <c r="D49" s="18"/>
      <c r="E49" s="15" t="s">
        <v>118</v>
      </c>
      <c r="F49" s="17" t="s">
        <v>467</v>
      </c>
      <c r="G49" s="15" t="s">
        <v>28</v>
      </c>
      <c r="H49" s="15" t="s">
        <v>0</v>
      </c>
      <c r="I49" s="18"/>
      <c r="J49" s="18"/>
      <c r="K49" s="18"/>
      <c r="L49" s="18"/>
      <c r="M49" s="18"/>
      <c r="N49" s="18"/>
      <c r="O49" s="18"/>
      <c r="P49" s="18"/>
      <c r="Q49" s="18"/>
    </row>
    <row r="50" spans="1:17" x14ac:dyDescent="0.25">
      <c r="A50" s="15">
        <v>46</v>
      </c>
      <c r="B50" s="47"/>
      <c r="C50" s="16">
        <v>46294</v>
      </c>
      <c r="D50" s="18"/>
      <c r="E50" s="15" t="s">
        <v>118</v>
      </c>
      <c r="F50" s="17" t="s">
        <v>468</v>
      </c>
      <c r="G50" s="18"/>
      <c r="H50" s="15" t="s">
        <v>0</v>
      </c>
      <c r="I50" s="18"/>
      <c r="J50" s="18"/>
      <c r="K50" s="18"/>
      <c r="L50" s="18"/>
      <c r="M50" s="18"/>
      <c r="N50" s="18"/>
      <c r="O50" s="18"/>
      <c r="P50" s="18"/>
      <c r="Q50" s="18"/>
    </row>
    <row r="51" spans="1:17" x14ac:dyDescent="0.25">
      <c r="A51" s="15">
        <v>47</v>
      </c>
      <c r="B51" s="47"/>
      <c r="C51" s="16">
        <v>46294</v>
      </c>
      <c r="D51" s="18"/>
      <c r="E51" s="15" t="s">
        <v>107</v>
      </c>
      <c r="F51" s="17" t="s">
        <v>469</v>
      </c>
      <c r="G51" s="15" t="s">
        <v>28</v>
      </c>
      <c r="H51" s="15" t="s">
        <v>0</v>
      </c>
      <c r="I51" s="18"/>
      <c r="J51" s="18"/>
      <c r="K51" s="18"/>
      <c r="L51" s="18"/>
      <c r="M51" s="18"/>
      <c r="N51" s="18"/>
      <c r="O51" s="18"/>
      <c r="P51" s="18"/>
      <c r="Q51" s="18"/>
    </row>
    <row r="52" spans="1:17" x14ac:dyDescent="0.25">
      <c r="A52" s="15">
        <v>48</v>
      </c>
      <c r="B52" s="47"/>
      <c r="C52" s="16">
        <v>46294</v>
      </c>
      <c r="D52" s="18"/>
      <c r="E52" s="15" t="s">
        <v>107</v>
      </c>
      <c r="F52" s="17" t="s">
        <v>470</v>
      </c>
      <c r="G52" s="18"/>
      <c r="H52" s="15" t="s">
        <v>0</v>
      </c>
      <c r="I52" s="18"/>
      <c r="J52" s="18"/>
      <c r="K52" s="18"/>
      <c r="L52" s="18"/>
      <c r="M52" s="18"/>
      <c r="N52" s="18"/>
      <c r="O52" s="18"/>
      <c r="P52" s="18"/>
      <c r="Q52" s="18"/>
    </row>
    <row r="53" spans="1:17" x14ac:dyDescent="0.25">
      <c r="A53" s="15">
        <v>49</v>
      </c>
      <c r="B53" s="47"/>
      <c r="C53" s="16">
        <v>46294</v>
      </c>
      <c r="D53" s="18"/>
      <c r="E53" s="15" t="s">
        <v>107</v>
      </c>
      <c r="F53" s="17" t="s">
        <v>471</v>
      </c>
      <c r="G53" s="15" t="s">
        <v>28</v>
      </c>
      <c r="H53" s="15" t="s">
        <v>0</v>
      </c>
      <c r="I53" s="18"/>
      <c r="J53" s="18"/>
      <c r="K53" s="18"/>
      <c r="L53" s="18"/>
      <c r="M53" s="18"/>
      <c r="N53" s="18"/>
      <c r="O53" s="18"/>
      <c r="P53" s="18"/>
      <c r="Q53" s="18"/>
    </row>
    <row r="54" spans="1:17" x14ac:dyDescent="0.25">
      <c r="A54" s="15">
        <v>50</v>
      </c>
      <c r="B54" s="47"/>
      <c r="C54" s="16">
        <v>46294</v>
      </c>
      <c r="D54" s="18"/>
      <c r="E54" s="15" t="s">
        <v>107</v>
      </c>
      <c r="F54" s="17" t="s">
        <v>472</v>
      </c>
      <c r="G54" s="18"/>
      <c r="H54" s="15" t="s">
        <v>0</v>
      </c>
      <c r="I54" s="18"/>
      <c r="J54" s="18"/>
      <c r="K54" s="18"/>
      <c r="L54" s="18"/>
      <c r="M54" s="18"/>
      <c r="N54" s="18"/>
      <c r="O54" s="18"/>
      <c r="P54" s="18"/>
      <c r="Q54" s="18"/>
    </row>
    <row r="55" spans="1:17" ht="30" x14ac:dyDescent="0.25">
      <c r="A55" s="15">
        <v>51</v>
      </c>
      <c r="B55" s="47"/>
      <c r="C55" s="16">
        <v>46294</v>
      </c>
      <c r="D55" s="18"/>
      <c r="E55" s="15" t="s">
        <v>4</v>
      </c>
      <c r="F55" s="17" t="s">
        <v>172</v>
      </c>
      <c r="G55" s="15" t="s">
        <v>87</v>
      </c>
      <c r="H55" s="15" t="s">
        <v>9</v>
      </c>
      <c r="I55" s="18"/>
      <c r="J55" s="18"/>
      <c r="K55" s="15" t="s">
        <v>169</v>
      </c>
      <c r="L55" s="18"/>
      <c r="M55" s="18"/>
      <c r="N55" s="18"/>
      <c r="O55" s="18"/>
      <c r="P55" s="18"/>
      <c r="Q55" s="18"/>
    </row>
    <row r="56" spans="1:17" x14ac:dyDescent="0.25">
      <c r="A56" s="15">
        <v>52</v>
      </c>
      <c r="B56" s="47"/>
      <c r="C56" s="16">
        <v>46294</v>
      </c>
      <c r="D56" s="18"/>
      <c r="E56" s="15" t="s">
        <v>4</v>
      </c>
      <c r="F56" s="17" t="s">
        <v>173</v>
      </c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</row>
    <row r="57" spans="1:17" ht="30" x14ac:dyDescent="0.25">
      <c r="A57" s="15">
        <v>53</v>
      </c>
      <c r="B57" s="47"/>
      <c r="C57" s="16">
        <v>46294</v>
      </c>
      <c r="D57" s="18"/>
      <c r="E57" s="15" t="s">
        <v>4</v>
      </c>
      <c r="F57" s="17" t="s">
        <v>174</v>
      </c>
      <c r="G57" s="18"/>
      <c r="H57" s="15" t="s">
        <v>0</v>
      </c>
      <c r="I57" s="18"/>
      <c r="J57" s="18"/>
      <c r="K57" s="18"/>
      <c r="L57" s="20">
        <v>125212203106.21001</v>
      </c>
      <c r="M57" s="15" t="s">
        <v>175</v>
      </c>
      <c r="N57" s="15" t="s">
        <v>5</v>
      </c>
      <c r="O57" s="15" t="s">
        <v>10</v>
      </c>
      <c r="P57" s="15" t="s">
        <v>176</v>
      </c>
      <c r="Q57" s="15" t="s">
        <v>1</v>
      </c>
    </row>
    <row r="58" spans="1:17" x14ac:dyDescent="0.25">
      <c r="A58" s="15">
        <v>54</v>
      </c>
      <c r="B58" s="47"/>
      <c r="C58" s="16">
        <v>46294</v>
      </c>
      <c r="D58" s="18"/>
      <c r="E58" s="15" t="s">
        <v>4</v>
      </c>
      <c r="F58" s="17" t="s">
        <v>177</v>
      </c>
      <c r="G58" s="15" t="s">
        <v>87</v>
      </c>
      <c r="H58" s="15" t="s">
        <v>0</v>
      </c>
      <c r="I58" s="18"/>
      <c r="J58" s="18"/>
      <c r="K58" s="18"/>
      <c r="L58" s="18"/>
      <c r="M58" s="18"/>
      <c r="N58" s="18"/>
      <c r="O58" s="18"/>
      <c r="P58" s="18"/>
      <c r="Q58" s="18"/>
    </row>
    <row r="59" spans="1:17" ht="30" x14ac:dyDescent="0.25">
      <c r="A59" s="15">
        <v>55</v>
      </c>
      <c r="B59" s="47"/>
      <c r="C59" s="16">
        <v>46294</v>
      </c>
      <c r="D59" s="18"/>
      <c r="E59" s="15" t="s">
        <v>4</v>
      </c>
      <c r="F59" s="17" t="s">
        <v>178</v>
      </c>
      <c r="G59" s="15" t="s">
        <v>87</v>
      </c>
      <c r="H59" s="18"/>
      <c r="I59" s="18"/>
      <c r="J59" s="18"/>
      <c r="K59" s="18"/>
      <c r="L59" s="20">
        <v>125212203106.21001</v>
      </c>
      <c r="M59" s="15" t="s">
        <v>175</v>
      </c>
      <c r="N59" s="15" t="s">
        <v>5</v>
      </c>
      <c r="O59" s="15" t="s">
        <v>179</v>
      </c>
      <c r="P59" s="15" t="s">
        <v>180</v>
      </c>
      <c r="Q59" s="15" t="s">
        <v>1</v>
      </c>
    </row>
    <row r="60" spans="1:17" x14ac:dyDescent="0.25">
      <c r="A60" s="15">
        <v>56</v>
      </c>
      <c r="B60" s="47"/>
      <c r="C60" s="16">
        <v>46294</v>
      </c>
      <c r="D60" s="18"/>
      <c r="E60" s="15" t="s">
        <v>4</v>
      </c>
      <c r="F60" s="17" t="s">
        <v>181</v>
      </c>
      <c r="G60" s="15" t="s">
        <v>87</v>
      </c>
      <c r="H60" s="15" t="s">
        <v>0</v>
      </c>
      <c r="I60" s="18"/>
      <c r="J60" s="18"/>
      <c r="K60" s="18"/>
      <c r="L60" s="18"/>
      <c r="M60" s="18"/>
      <c r="N60" s="18"/>
      <c r="O60" s="18"/>
      <c r="P60" s="18"/>
      <c r="Q60" s="18"/>
    </row>
    <row r="61" spans="1:17" ht="105" x14ac:dyDescent="0.25">
      <c r="A61" s="15">
        <v>57</v>
      </c>
      <c r="B61" s="47"/>
      <c r="C61" s="16">
        <v>46294</v>
      </c>
      <c r="D61" s="18"/>
      <c r="E61" s="15" t="s">
        <v>20</v>
      </c>
      <c r="F61" s="17" t="s">
        <v>182</v>
      </c>
      <c r="G61" s="15" t="s">
        <v>183</v>
      </c>
      <c r="H61" s="18"/>
      <c r="I61" s="18"/>
      <c r="J61" s="18"/>
      <c r="K61" s="18"/>
      <c r="L61" s="18"/>
      <c r="M61" s="18"/>
      <c r="N61" s="18"/>
      <c r="O61" s="18"/>
      <c r="P61" s="18"/>
      <c r="Q61" s="18"/>
    </row>
    <row r="62" spans="1:17" x14ac:dyDescent="0.25">
      <c r="A62" s="15">
        <v>58</v>
      </c>
      <c r="B62" s="47"/>
      <c r="C62" s="16">
        <v>46294</v>
      </c>
      <c r="D62" s="18"/>
      <c r="E62" s="15" t="s">
        <v>68</v>
      </c>
      <c r="F62" s="17" t="s">
        <v>184</v>
      </c>
      <c r="G62" s="18"/>
      <c r="H62" s="15" t="s">
        <v>2</v>
      </c>
      <c r="I62" s="18"/>
      <c r="J62" s="18"/>
      <c r="K62" s="15" t="s">
        <v>185</v>
      </c>
      <c r="L62" s="18"/>
      <c r="M62" s="18"/>
      <c r="N62" s="18"/>
      <c r="O62" s="18"/>
      <c r="P62" s="18"/>
      <c r="Q62" s="18"/>
    </row>
    <row r="63" spans="1:17" x14ac:dyDescent="0.25">
      <c r="A63" s="15">
        <v>59</v>
      </c>
      <c r="B63" s="47"/>
      <c r="C63" s="16">
        <v>46294</v>
      </c>
      <c r="D63" s="18"/>
      <c r="E63" s="15" t="s">
        <v>68</v>
      </c>
      <c r="F63" s="17" t="s">
        <v>186</v>
      </c>
      <c r="G63" s="18"/>
      <c r="H63" s="15" t="s">
        <v>2</v>
      </c>
      <c r="I63" s="18"/>
      <c r="J63" s="18"/>
      <c r="K63" s="15" t="s">
        <v>185</v>
      </c>
      <c r="L63" s="18"/>
      <c r="M63" s="18"/>
      <c r="N63" s="18"/>
      <c r="O63" s="18"/>
      <c r="P63" s="18"/>
      <c r="Q63" s="18"/>
    </row>
    <row r="64" spans="1:17" x14ac:dyDescent="0.25">
      <c r="A64" s="15">
        <v>60</v>
      </c>
      <c r="B64" s="47"/>
      <c r="C64" s="16">
        <v>46294</v>
      </c>
      <c r="D64" s="18"/>
      <c r="E64" s="15" t="s">
        <v>68</v>
      </c>
      <c r="F64" s="17" t="s">
        <v>187</v>
      </c>
      <c r="G64" s="18"/>
      <c r="H64" s="15" t="s">
        <v>2</v>
      </c>
      <c r="I64" s="18"/>
      <c r="J64" s="18"/>
      <c r="K64" s="15" t="s">
        <v>185</v>
      </c>
      <c r="L64" s="18"/>
      <c r="M64" s="18"/>
      <c r="N64" s="18"/>
      <c r="O64" s="18"/>
      <c r="P64" s="18"/>
      <c r="Q64" s="18"/>
    </row>
    <row r="65" spans="1:17" x14ac:dyDescent="0.25">
      <c r="A65" s="15">
        <v>61</v>
      </c>
      <c r="B65" s="47"/>
      <c r="C65" s="16">
        <v>46294</v>
      </c>
      <c r="D65" s="18"/>
      <c r="E65" s="15" t="s">
        <v>68</v>
      </c>
      <c r="F65" s="17" t="s">
        <v>188</v>
      </c>
      <c r="G65" s="18"/>
      <c r="H65" s="15" t="s">
        <v>2</v>
      </c>
      <c r="I65" s="18"/>
      <c r="J65" s="18"/>
      <c r="K65" s="15" t="s">
        <v>185</v>
      </c>
      <c r="L65" s="18"/>
      <c r="M65" s="18"/>
      <c r="N65" s="18"/>
      <c r="O65" s="18"/>
      <c r="P65" s="18"/>
      <c r="Q65" s="18"/>
    </row>
    <row r="66" spans="1:17" x14ac:dyDescent="0.25">
      <c r="A66" s="15">
        <v>62</v>
      </c>
      <c r="B66" s="47"/>
      <c r="C66" s="16">
        <v>46294</v>
      </c>
      <c r="D66" s="18"/>
      <c r="E66" s="15" t="s">
        <v>35</v>
      </c>
      <c r="F66" s="17" t="s">
        <v>473</v>
      </c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</row>
    <row r="67" spans="1:17" x14ac:dyDescent="0.25">
      <c r="A67" s="15">
        <v>63</v>
      </c>
      <c r="B67" s="47"/>
      <c r="C67" s="16">
        <v>46294</v>
      </c>
      <c r="D67" s="18"/>
      <c r="E67" s="15" t="s">
        <v>35</v>
      </c>
      <c r="F67" s="17" t="s">
        <v>474</v>
      </c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</row>
    <row r="68" spans="1:17" x14ac:dyDescent="0.25">
      <c r="A68" s="15">
        <v>64</v>
      </c>
      <c r="B68" s="47"/>
      <c r="C68" s="16">
        <v>46294</v>
      </c>
      <c r="D68" s="18"/>
      <c r="E68" s="15" t="s">
        <v>35</v>
      </c>
      <c r="F68" s="17" t="s">
        <v>475</v>
      </c>
      <c r="G68" s="18"/>
      <c r="H68" s="15" t="s">
        <v>0</v>
      </c>
      <c r="I68" s="18"/>
      <c r="J68" s="18"/>
      <c r="K68" s="18"/>
      <c r="L68" s="18"/>
      <c r="M68" s="18"/>
      <c r="N68" s="18"/>
      <c r="O68" s="18"/>
      <c r="P68" s="18"/>
      <c r="Q68" s="18"/>
    </row>
    <row r="69" spans="1:17" x14ac:dyDescent="0.25">
      <c r="A69" s="15">
        <v>65</v>
      </c>
      <c r="B69" s="47"/>
      <c r="C69" s="16">
        <v>46294</v>
      </c>
      <c r="D69" s="18"/>
      <c r="E69" s="15" t="s">
        <v>35</v>
      </c>
      <c r="F69" s="17" t="s">
        <v>476</v>
      </c>
      <c r="G69" s="18"/>
      <c r="H69" s="15" t="s">
        <v>0</v>
      </c>
      <c r="I69" s="18"/>
      <c r="J69" s="18"/>
      <c r="K69" s="18"/>
      <c r="L69" s="18"/>
      <c r="M69" s="18"/>
      <c r="N69" s="18"/>
      <c r="O69" s="18"/>
      <c r="P69" s="18"/>
      <c r="Q69" s="18"/>
    </row>
    <row r="70" spans="1:17" x14ac:dyDescent="0.25">
      <c r="A70" s="15">
        <v>66</v>
      </c>
      <c r="B70" s="47"/>
      <c r="C70" s="16">
        <v>46294</v>
      </c>
      <c r="D70" s="18"/>
      <c r="E70" s="15" t="s">
        <v>35</v>
      </c>
      <c r="F70" s="17" t="s">
        <v>477</v>
      </c>
      <c r="G70" s="18"/>
      <c r="H70" s="15" t="s">
        <v>0</v>
      </c>
      <c r="I70" s="18"/>
      <c r="J70" s="18"/>
      <c r="K70" s="18"/>
      <c r="L70" s="18"/>
      <c r="M70" s="18"/>
      <c r="N70" s="18"/>
      <c r="O70" s="18"/>
      <c r="P70" s="18"/>
      <c r="Q70" s="18"/>
    </row>
    <row r="71" spans="1:17" x14ac:dyDescent="0.25">
      <c r="A71" s="15">
        <v>67</v>
      </c>
      <c r="B71" s="47"/>
      <c r="C71" s="16">
        <v>46294</v>
      </c>
      <c r="D71" s="18"/>
      <c r="E71" s="15" t="s">
        <v>35</v>
      </c>
      <c r="F71" s="17" t="s">
        <v>478</v>
      </c>
      <c r="G71" s="18"/>
      <c r="H71" s="15" t="s">
        <v>0</v>
      </c>
      <c r="I71" s="18"/>
      <c r="J71" s="18"/>
      <c r="K71" s="18"/>
      <c r="L71" s="18"/>
      <c r="M71" s="18"/>
      <c r="N71" s="18"/>
      <c r="O71" s="18"/>
      <c r="P71" s="18"/>
      <c r="Q71" s="18"/>
    </row>
    <row r="72" spans="1:17" ht="30" x14ac:dyDescent="0.25">
      <c r="A72" s="15">
        <v>68</v>
      </c>
      <c r="B72" s="47"/>
      <c r="C72" s="16">
        <v>46294</v>
      </c>
      <c r="D72" s="18"/>
      <c r="E72" s="15" t="s">
        <v>8</v>
      </c>
      <c r="F72" s="17" t="s">
        <v>189</v>
      </c>
      <c r="G72" s="18"/>
      <c r="H72" s="15" t="s">
        <v>9</v>
      </c>
      <c r="I72" s="18"/>
      <c r="J72" s="18"/>
      <c r="K72" s="18"/>
      <c r="L72" s="18"/>
      <c r="M72" s="18"/>
      <c r="N72" s="18"/>
      <c r="O72" s="18"/>
      <c r="P72" s="18"/>
      <c r="Q72" s="18"/>
    </row>
    <row r="73" spans="1:17" ht="45" x14ac:dyDescent="0.25">
      <c r="A73" s="15">
        <v>69</v>
      </c>
      <c r="B73" s="15" t="s">
        <v>32</v>
      </c>
      <c r="C73" s="16">
        <v>46268</v>
      </c>
      <c r="D73" s="16">
        <v>46273</v>
      </c>
      <c r="E73" s="15" t="s">
        <v>4</v>
      </c>
      <c r="F73" s="17" t="s">
        <v>190</v>
      </c>
      <c r="G73" s="18"/>
      <c r="H73" s="15" t="s">
        <v>0</v>
      </c>
      <c r="I73" s="18"/>
      <c r="J73" s="18"/>
      <c r="K73" s="15" t="s">
        <v>191</v>
      </c>
      <c r="L73" s="18"/>
      <c r="M73" s="18"/>
      <c r="N73" s="18"/>
      <c r="O73" s="15" t="s">
        <v>192</v>
      </c>
      <c r="P73" s="15" t="s">
        <v>193</v>
      </c>
      <c r="Q73" s="15" t="s">
        <v>194</v>
      </c>
    </row>
    <row r="74" spans="1:17" ht="30" x14ac:dyDescent="0.25">
      <c r="A74" s="15">
        <v>70</v>
      </c>
      <c r="B74" s="47" t="s">
        <v>49</v>
      </c>
      <c r="C74" s="16">
        <v>46268</v>
      </c>
      <c r="D74" s="16">
        <v>46283</v>
      </c>
      <c r="E74" s="15" t="s">
        <v>4</v>
      </c>
      <c r="F74" s="17" t="s">
        <v>195</v>
      </c>
      <c r="G74" s="18"/>
      <c r="H74" s="15" t="s">
        <v>2</v>
      </c>
      <c r="I74" s="18"/>
      <c r="J74" s="18"/>
      <c r="K74" s="15" t="s">
        <v>26</v>
      </c>
      <c r="L74" s="20">
        <v>125212203106.21001</v>
      </c>
      <c r="M74" s="15" t="s">
        <v>7</v>
      </c>
      <c r="N74" s="15" t="s">
        <v>5</v>
      </c>
      <c r="O74" s="15" t="s">
        <v>196</v>
      </c>
      <c r="P74" s="15" t="s">
        <v>197</v>
      </c>
      <c r="Q74" s="15" t="s">
        <v>194</v>
      </c>
    </row>
    <row r="75" spans="1:17" x14ac:dyDescent="0.25">
      <c r="A75" s="15">
        <v>71</v>
      </c>
      <c r="B75" s="47"/>
      <c r="C75" s="16">
        <v>46268</v>
      </c>
      <c r="D75" s="16">
        <v>46283</v>
      </c>
      <c r="E75" s="15" t="s">
        <v>4</v>
      </c>
      <c r="F75" s="17" t="s">
        <v>198</v>
      </c>
      <c r="G75" s="18"/>
      <c r="H75" s="15" t="s">
        <v>0</v>
      </c>
      <c r="I75" s="18"/>
      <c r="J75" s="18"/>
      <c r="K75" s="15" t="s">
        <v>191</v>
      </c>
      <c r="L75" s="18"/>
      <c r="M75" s="18"/>
      <c r="N75" s="18"/>
      <c r="O75" s="15" t="s">
        <v>150</v>
      </c>
      <c r="P75" s="15" t="s">
        <v>199</v>
      </c>
      <c r="Q75" s="15" t="s">
        <v>194</v>
      </c>
    </row>
    <row r="76" spans="1:17" ht="30" x14ac:dyDescent="0.25">
      <c r="A76" s="15">
        <v>72</v>
      </c>
      <c r="B76" s="47"/>
      <c r="C76" s="16">
        <v>46268</v>
      </c>
      <c r="D76" s="16">
        <v>46283</v>
      </c>
      <c r="E76" s="15" t="s">
        <v>4</v>
      </c>
      <c r="F76" s="17" t="s">
        <v>200</v>
      </c>
      <c r="G76" s="18"/>
      <c r="H76" s="15" t="s">
        <v>0</v>
      </c>
      <c r="I76" s="18"/>
      <c r="J76" s="18"/>
      <c r="K76" s="18"/>
      <c r="L76" s="20">
        <v>125212203106.21001</v>
      </c>
      <c r="M76" s="15" t="s">
        <v>5</v>
      </c>
      <c r="N76" s="15" t="s">
        <v>5</v>
      </c>
      <c r="O76" s="15" t="s">
        <v>196</v>
      </c>
      <c r="P76" s="15" t="s">
        <v>197</v>
      </c>
      <c r="Q76" s="15" t="s">
        <v>194</v>
      </c>
    </row>
    <row r="77" spans="1:17" ht="30" x14ac:dyDescent="0.25">
      <c r="A77" s="15">
        <v>73</v>
      </c>
      <c r="B77" s="47"/>
      <c r="C77" s="16">
        <v>46268</v>
      </c>
      <c r="D77" s="16">
        <v>46283</v>
      </c>
      <c r="E77" s="15" t="s">
        <v>118</v>
      </c>
      <c r="F77" s="17" t="s">
        <v>479</v>
      </c>
      <c r="G77" s="18"/>
      <c r="H77" s="15" t="s">
        <v>0</v>
      </c>
      <c r="I77" s="18"/>
      <c r="J77" s="18"/>
      <c r="K77" s="18"/>
      <c r="L77" s="18"/>
      <c r="M77" s="18"/>
      <c r="N77" s="18"/>
      <c r="O77" s="15" t="s">
        <v>201</v>
      </c>
      <c r="P77" s="15" t="s">
        <v>202</v>
      </c>
      <c r="Q77" s="15" t="s">
        <v>194</v>
      </c>
    </row>
    <row r="78" spans="1:17" ht="30" x14ac:dyDescent="0.25">
      <c r="A78" s="15">
        <v>74</v>
      </c>
      <c r="B78" s="47"/>
      <c r="C78" s="16">
        <v>46268</v>
      </c>
      <c r="D78" s="16">
        <v>46283</v>
      </c>
      <c r="E78" s="15" t="s">
        <v>107</v>
      </c>
      <c r="F78" s="17" t="s">
        <v>480</v>
      </c>
      <c r="G78" s="15" t="s">
        <v>203</v>
      </c>
      <c r="H78" s="15" t="s">
        <v>0</v>
      </c>
      <c r="I78" s="18"/>
      <c r="J78" s="18"/>
      <c r="K78" s="18"/>
      <c r="L78" s="18"/>
      <c r="M78" s="18"/>
      <c r="N78" s="18"/>
      <c r="O78" s="15" t="s">
        <v>204</v>
      </c>
      <c r="P78" s="15" t="s">
        <v>205</v>
      </c>
      <c r="Q78" s="15" t="s">
        <v>194</v>
      </c>
    </row>
    <row r="79" spans="1:17" x14ac:dyDescent="0.25">
      <c r="A79" s="15">
        <v>75</v>
      </c>
      <c r="B79" s="47"/>
      <c r="C79" s="16">
        <v>46274</v>
      </c>
      <c r="D79" s="16">
        <v>46283</v>
      </c>
      <c r="E79" s="15" t="s">
        <v>98</v>
      </c>
      <c r="F79" s="17" t="s">
        <v>66</v>
      </c>
      <c r="G79" s="18"/>
      <c r="H79" s="15" t="s">
        <v>0</v>
      </c>
      <c r="I79" s="18"/>
      <c r="J79" s="18"/>
      <c r="K79" s="18"/>
      <c r="L79" s="18"/>
      <c r="M79" s="18"/>
      <c r="N79" s="18"/>
      <c r="O79" s="15" t="s">
        <v>206</v>
      </c>
      <c r="P79" s="18"/>
      <c r="Q79" s="15" t="s">
        <v>194</v>
      </c>
    </row>
    <row r="80" spans="1:17" x14ac:dyDescent="0.25">
      <c r="A80" s="15">
        <v>76</v>
      </c>
      <c r="B80" s="47"/>
      <c r="C80" s="16">
        <v>46274</v>
      </c>
      <c r="D80" s="16">
        <v>46283</v>
      </c>
      <c r="E80" s="15" t="s">
        <v>127</v>
      </c>
      <c r="F80" s="17" t="s">
        <v>481</v>
      </c>
      <c r="G80" s="18"/>
      <c r="H80" s="15" t="s">
        <v>0</v>
      </c>
      <c r="I80" s="18"/>
      <c r="J80" s="18"/>
      <c r="K80" s="18"/>
      <c r="L80" s="18"/>
      <c r="M80" s="18"/>
      <c r="N80" s="18"/>
      <c r="O80" s="15" t="s">
        <v>196</v>
      </c>
      <c r="P80" s="15" t="s">
        <v>207</v>
      </c>
      <c r="Q80" s="15" t="s">
        <v>194</v>
      </c>
    </row>
    <row r="81" spans="1:17" ht="30" x14ac:dyDescent="0.25">
      <c r="A81" s="15">
        <v>77</v>
      </c>
      <c r="B81" s="47"/>
      <c r="C81" s="16">
        <v>46274</v>
      </c>
      <c r="D81" s="16">
        <v>46283</v>
      </c>
      <c r="E81" s="15" t="s">
        <v>4</v>
      </c>
      <c r="F81" s="17" t="s">
        <v>208</v>
      </c>
      <c r="G81" s="18"/>
      <c r="H81" s="15" t="s">
        <v>0</v>
      </c>
      <c r="I81" s="18"/>
      <c r="J81" s="18"/>
      <c r="K81" s="15" t="s">
        <v>26</v>
      </c>
      <c r="L81" s="20">
        <v>125212203106.21001</v>
      </c>
      <c r="M81" s="15" t="s">
        <v>7</v>
      </c>
      <c r="N81" s="15" t="s">
        <v>5</v>
      </c>
      <c r="O81" s="15" t="s">
        <v>196</v>
      </c>
      <c r="P81" s="15" t="s">
        <v>197</v>
      </c>
      <c r="Q81" s="15" t="s">
        <v>194</v>
      </c>
    </row>
    <row r="82" spans="1:17" ht="30" x14ac:dyDescent="0.25">
      <c r="A82" s="15">
        <v>78</v>
      </c>
      <c r="B82" s="47"/>
      <c r="C82" s="16">
        <v>46274</v>
      </c>
      <c r="D82" s="16">
        <v>46283</v>
      </c>
      <c r="E82" s="15" t="s">
        <v>4</v>
      </c>
      <c r="F82" s="17" t="s">
        <v>209</v>
      </c>
      <c r="G82" s="18"/>
      <c r="H82" s="15" t="s">
        <v>0</v>
      </c>
      <c r="I82" s="18"/>
      <c r="J82" s="18"/>
      <c r="K82" s="18"/>
      <c r="L82" s="20">
        <v>125212203106.21001</v>
      </c>
      <c r="M82" s="15" t="s">
        <v>7</v>
      </c>
      <c r="N82" s="15" t="s">
        <v>5</v>
      </c>
      <c r="O82" s="15" t="s">
        <v>210</v>
      </c>
      <c r="P82" s="15" t="s">
        <v>211</v>
      </c>
      <c r="Q82" s="15" t="s">
        <v>194</v>
      </c>
    </row>
    <row r="83" spans="1:17" x14ac:dyDescent="0.25">
      <c r="A83" s="15">
        <v>79</v>
      </c>
      <c r="B83" s="47"/>
      <c r="C83" s="16">
        <v>46274</v>
      </c>
      <c r="D83" s="18"/>
      <c r="E83" s="15" t="s">
        <v>21</v>
      </c>
      <c r="F83" s="17" t="s">
        <v>482</v>
      </c>
      <c r="G83" s="18"/>
      <c r="H83" s="15" t="s">
        <v>0</v>
      </c>
      <c r="I83" s="18"/>
      <c r="J83" s="18"/>
      <c r="K83" s="18"/>
      <c r="L83" s="18"/>
      <c r="M83" s="18"/>
      <c r="N83" s="18"/>
      <c r="O83" s="18"/>
      <c r="P83" s="18"/>
      <c r="Q83" s="15" t="s">
        <v>194</v>
      </c>
    </row>
    <row r="84" spans="1:17" x14ac:dyDescent="0.25">
      <c r="A84" s="15">
        <v>80</v>
      </c>
      <c r="B84" s="47"/>
      <c r="C84" s="16">
        <v>46287</v>
      </c>
      <c r="D84" s="18"/>
      <c r="E84" s="15" t="s">
        <v>4</v>
      </c>
      <c r="F84" s="17" t="s">
        <v>212</v>
      </c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5" t="s">
        <v>194</v>
      </c>
    </row>
    <row r="85" spans="1:17" x14ac:dyDescent="0.25">
      <c r="A85" s="15">
        <v>81</v>
      </c>
      <c r="B85" s="47"/>
      <c r="C85" s="16">
        <v>46287</v>
      </c>
      <c r="D85" s="18"/>
      <c r="E85" s="15" t="s">
        <v>20</v>
      </c>
      <c r="F85" s="17" t="s">
        <v>213</v>
      </c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5" t="s">
        <v>194</v>
      </c>
    </row>
    <row r="86" spans="1:17" x14ac:dyDescent="0.25">
      <c r="A86" s="15">
        <v>82</v>
      </c>
      <c r="B86" s="47"/>
      <c r="C86" s="16">
        <v>46287</v>
      </c>
      <c r="D86" s="18"/>
      <c r="E86" s="15" t="s">
        <v>366</v>
      </c>
      <c r="F86" s="17" t="s">
        <v>483</v>
      </c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5" t="s">
        <v>194</v>
      </c>
    </row>
    <row r="87" spans="1:17" x14ac:dyDescent="0.25">
      <c r="A87" s="15">
        <v>83</v>
      </c>
      <c r="B87" s="47" t="s">
        <v>34</v>
      </c>
      <c r="C87" s="16">
        <v>46270</v>
      </c>
      <c r="D87" s="16">
        <v>46272</v>
      </c>
      <c r="E87" s="15" t="s">
        <v>98</v>
      </c>
      <c r="F87" s="17" t="s">
        <v>484</v>
      </c>
      <c r="G87" s="18"/>
      <c r="H87" s="15" t="s">
        <v>2</v>
      </c>
      <c r="I87" s="18"/>
      <c r="J87" s="18"/>
      <c r="K87" s="18"/>
      <c r="L87" s="18"/>
      <c r="M87" s="18"/>
      <c r="N87" s="18"/>
      <c r="O87" s="15" t="s">
        <v>214</v>
      </c>
      <c r="P87" s="15" t="s">
        <v>215</v>
      </c>
      <c r="Q87" s="15" t="s">
        <v>1</v>
      </c>
    </row>
    <row r="88" spans="1:17" ht="30" x14ac:dyDescent="0.25">
      <c r="A88" s="15">
        <v>84</v>
      </c>
      <c r="B88" s="47"/>
      <c r="C88" s="16">
        <v>46270</v>
      </c>
      <c r="D88" s="16">
        <v>46272</v>
      </c>
      <c r="E88" s="15" t="s">
        <v>98</v>
      </c>
      <c r="F88" s="17" t="s">
        <v>485</v>
      </c>
      <c r="G88" s="18"/>
      <c r="H88" s="15" t="s">
        <v>0</v>
      </c>
      <c r="I88" s="18"/>
      <c r="J88" s="18"/>
      <c r="K88" s="18"/>
      <c r="L88" s="18"/>
      <c r="M88" s="18"/>
      <c r="N88" s="18"/>
      <c r="O88" s="15" t="s">
        <v>204</v>
      </c>
      <c r="P88" s="15" t="s">
        <v>216</v>
      </c>
      <c r="Q88" s="15" t="s">
        <v>1</v>
      </c>
    </row>
    <row r="89" spans="1:17" x14ac:dyDescent="0.25">
      <c r="A89" s="15">
        <v>85</v>
      </c>
      <c r="B89" s="47"/>
      <c r="C89" s="16">
        <v>46270</v>
      </c>
      <c r="D89" s="16">
        <v>46272</v>
      </c>
      <c r="E89" s="15" t="s">
        <v>98</v>
      </c>
      <c r="F89" s="17" t="s">
        <v>486</v>
      </c>
      <c r="G89" s="18"/>
      <c r="H89" s="15" t="s">
        <v>0</v>
      </c>
      <c r="I89" s="18"/>
      <c r="J89" s="18"/>
      <c r="K89" s="18"/>
      <c r="L89" s="18"/>
      <c r="M89" s="18"/>
      <c r="N89" s="18"/>
      <c r="O89" s="15" t="s">
        <v>43</v>
      </c>
      <c r="P89" s="15" t="s">
        <v>217</v>
      </c>
      <c r="Q89" s="15" t="s">
        <v>1</v>
      </c>
    </row>
    <row r="90" spans="1:17" x14ac:dyDescent="0.25">
      <c r="A90" s="15">
        <v>86</v>
      </c>
      <c r="B90" s="47"/>
      <c r="C90" s="16">
        <v>46291</v>
      </c>
      <c r="D90" s="18"/>
      <c r="E90" s="15" t="s">
        <v>98</v>
      </c>
      <c r="F90" s="17" t="s">
        <v>487</v>
      </c>
      <c r="G90" s="18"/>
      <c r="H90" s="15" t="s">
        <v>2</v>
      </c>
      <c r="I90" s="18"/>
      <c r="J90" s="18"/>
      <c r="K90" s="18"/>
      <c r="L90" s="18"/>
      <c r="M90" s="18"/>
      <c r="N90" s="18"/>
      <c r="O90" s="18"/>
      <c r="P90" s="18"/>
      <c r="Q90" s="18"/>
    </row>
    <row r="91" spans="1:17" ht="45" x14ac:dyDescent="0.25">
      <c r="A91" s="15">
        <v>87</v>
      </c>
      <c r="B91" s="47" t="s">
        <v>56</v>
      </c>
      <c r="C91" s="16">
        <v>46272</v>
      </c>
      <c r="D91" s="16">
        <v>46272</v>
      </c>
      <c r="E91" s="15" t="s">
        <v>8</v>
      </c>
      <c r="F91" s="17" t="s">
        <v>59</v>
      </c>
      <c r="G91" s="15" t="s">
        <v>218</v>
      </c>
      <c r="H91" s="15" t="s">
        <v>9</v>
      </c>
      <c r="I91" s="18"/>
      <c r="J91" s="18"/>
      <c r="K91" s="18"/>
      <c r="L91" s="18"/>
      <c r="M91" s="18"/>
      <c r="N91" s="18"/>
      <c r="O91" s="15" t="s">
        <v>219</v>
      </c>
      <c r="P91" s="15" t="s">
        <v>220</v>
      </c>
      <c r="Q91" s="15" t="s">
        <v>1</v>
      </c>
    </row>
    <row r="92" spans="1:17" x14ac:dyDescent="0.25">
      <c r="A92" s="15">
        <v>88</v>
      </c>
      <c r="B92" s="47"/>
      <c r="C92" s="16">
        <v>46274</v>
      </c>
      <c r="D92" s="16">
        <v>46276</v>
      </c>
      <c r="E92" s="15" t="s">
        <v>4</v>
      </c>
      <c r="F92" s="17" t="s">
        <v>221</v>
      </c>
      <c r="G92" s="15" t="s">
        <v>87</v>
      </c>
      <c r="H92" s="18"/>
      <c r="I92" s="18"/>
      <c r="J92" s="18"/>
      <c r="K92" s="18"/>
      <c r="L92" s="18"/>
      <c r="M92" s="18"/>
      <c r="N92" s="18"/>
      <c r="O92" s="15" t="s">
        <v>131</v>
      </c>
      <c r="P92" s="15" t="s">
        <v>222</v>
      </c>
      <c r="Q92" s="15" t="s">
        <v>1</v>
      </c>
    </row>
    <row r="93" spans="1:17" ht="30" x14ac:dyDescent="0.25">
      <c r="A93" s="15">
        <v>89</v>
      </c>
      <c r="B93" s="47" t="s">
        <v>223</v>
      </c>
      <c r="C93" s="16">
        <v>46272</v>
      </c>
      <c r="D93" s="16">
        <v>46273</v>
      </c>
      <c r="E93" s="15" t="s">
        <v>4</v>
      </c>
      <c r="F93" s="17" t="s">
        <v>224</v>
      </c>
      <c r="G93" s="15" t="s">
        <v>28</v>
      </c>
      <c r="H93" s="15" t="s">
        <v>0</v>
      </c>
      <c r="I93" s="18"/>
      <c r="J93" s="18"/>
      <c r="K93" s="18"/>
      <c r="L93" s="20">
        <v>125212203106.21001</v>
      </c>
      <c r="M93" s="18"/>
      <c r="N93" s="15" t="s">
        <v>5</v>
      </c>
      <c r="O93" s="15" t="s">
        <v>3</v>
      </c>
      <c r="P93" s="15" t="s">
        <v>39</v>
      </c>
      <c r="Q93" s="15" t="s">
        <v>1</v>
      </c>
    </row>
    <row r="94" spans="1:17" ht="30" x14ac:dyDescent="0.25">
      <c r="A94" s="15">
        <v>90</v>
      </c>
      <c r="B94" s="47"/>
      <c r="C94" s="16">
        <v>46272</v>
      </c>
      <c r="D94" s="16">
        <v>46273</v>
      </c>
      <c r="E94" s="15" t="s">
        <v>4</v>
      </c>
      <c r="F94" s="17" t="s">
        <v>225</v>
      </c>
      <c r="G94" s="15" t="s">
        <v>87</v>
      </c>
      <c r="H94" s="15" t="s">
        <v>2</v>
      </c>
      <c r="I94" s="18"/>
      <c r="J94" s="18"/>
      <c r="K94" s="18"/>
      <c r="L94" s="20">
        <v>125212203106.21001</v>
      </c>
      <c r="M94" s="15" t="s">
        <v>226</v>
      </c>
      <c r="N94" s="15" t="s">
        <v>5</v>
      </c>
      <c r="O94" s="15" t="s">
        <v>227</v>
      </c>
      <c r="P94" s="15" t="s">
        <v>114</v>
      </c>
      <c r="Q94" s="15" t="s">
        <v>1</v>
      </c>
    </row>
    <row r="95" spans="1:17" x14ac:dyDescent="0.25">
      <c r="A95" s="15">
        <v>91</v>
      </c>
      <c r="B95" s="47" t="s">
        <v>228</v>
      </c>
      <c r="C95" s="16">
        <v>46272</v>
      </c>
      <c r="D95" s="16">
        <v>46280</v>
      </c>
      <c r="E95" s="15" t="s">
        <v>98</v>
      </c>
      <c r="F95" s="17" t="s">
        <v>488</v>
      </c>
      <c r="G95" s="18"/>
      <c r="H95" s="15" t="s">
        <v>0</v>
      </c>
      <c r="I95" s="18"/>
      <c r="J95" s="18"/>
      <c r="K95" s="15" t="s">
        <v>26</v>
      </c>
      <c r="L95" s="18"/>
      <c r="M95" s="18"/>
      <c r="N95" s="18"/>
      <c r="O95" s="15" t="s">
        <v>104</v>
      </c>
      <c r="P95" s="15" t="s">
        <v>24</v>
      </c>
      <c r="Q95" s="15" t="s">
        <v>194</v>
      </c>
    </row>
    <row r="96" spans="1:17" x14ac:dyDescent="0.25">
      <c r="A96" s="15">
        <v>92</v>
      </c>
      <c r="B96" s="47"/>
      <c r="C96" s="16">
        <v>46272</v>
      </c>
      <c r="D96" s="16">
        <v>46280</v>
      </c>
      <c r="E96" s="15" t="s">
        <v>98</v>
      </c>
      <c r="F96" s="17" t="s">
        <v>489</v>
      </c>
      <c r="G96" s="18"/>
      <c r="H96" s="15" t="s">
        <v>0</v>
      </c>
      <c r="I96" s="18"/>
      <c r="J96" s="18"/>
      <c r="K96" s="18"/>
      <c r="L96" s="18"/>
      <c r="M96" s="18"/>
      <c r="N96" s="18"/>
      <c r="O96" s="15" t="s">
        <v>31</v>
      </c>
      <c r="P96" s="15" t="s">
        <v>229</v>
      </c>
      <c r="Q96" s="15" t="s">
        <v>194</v>
      </c>
    </row>
    <row r="97" spans="1:17" x14ac:dyDescent="0.25">
      <c r="A97" s="15">
        <v>93</v>
      </c>
      <c r="B97" s="47"/>
      <c r="C97" s="16">
        <v>46272</v>
      </c>
      <c r="D97" s="16">
        <v>46280</v>
      </c>
      <c r="E97" s="15" t="s">
        <v>98</v>
      </c>
      <c r="F97" s="17" t="s">
        <v>490</v>
      </c>
      <c r="G97" s="18"/>
      <c r="H97" s="15" t="s">
        <v>0</v>
      </c>
      <c r="I97" s="18"/>
      <c r="J97" s="18"/>
      <c r="K97" s="15" t="s">
        <v>26</v>
      </c>
      <c r="L97" s="18"/>
      <c r="M97" s="18"/>
      <c r="N97" s="18"/>
      <c r="O97" s="15" t="s">
        <v>104</v>
      </c>
      <c r="P97" s="15" t="s">
        <v>24</v>
      </c>
      <c r="Q97" s="15" t="s">
        <v>194</v>
      </c>
    </row>
    <row r="98" spans="1:17" x14ac:dyDescent="0.25">
      <c r="A98" s="15">
        <v>94</v>
      </c>
      <c r="B98" s="47"/>
      <c r="C98" s="16">
        <v>46272</v>
      </c>
      <c r="D98" s="16">
        <v>46280</v>
      </c>
      <c r="E98" s="15" t="s">
        <v>98</v>
      </c>
      <c r="F98" s="17" t="s">
        <v>491</v>
      </c>
      <c r="G98" s="15" t="s">
        <v>28</v>
      </c>
      <c r="H98" s="15" t="s">
        <v>0</v>
      </c>
      <c r="I98" s="18"/>
      <c r="J98" s="18"/>
      <c r="K98" s="15" t="s">
        <v>230</v>
      </c>
      <c r="L98" s="18"/>
      <c r="M98" s="18"/>
      <c r="N98" s="18"/>
      <c r="O98" s="15" t="s">
        <v>104</v>
      </c>
      <c r="P98" s="15" t="s">
        <v>24</v>
      </c>
      <c r="Q98" s="15" t="s">
        <v>194</v>
      </c>
    </row>
    <row r="99" spans="1:17" x14ac:dyDescent="0.25">
      <c r="A99" s="15">
        <v>95</v>
      </c>
      <c r="B99" s="47"/>
      <c r="C99" s="16">
        <v>46272</v>
      </c>
      <c r="D99" s="16">
        <v>46280</v>
      </c>
      <c r="E99" s="15" t="s">
        <v>98</v>
      </c>
      <c r="F99" s="17" t="s">
        <v>492</v>
      </c>
      <c r="G99" s="15" t="s">
        <v>28</v>
      </c>
      <c r="H99" s="15" t="s">
        <v>0</v>
      </c>
      <c r="I99" s="18"/>
      <c r="J99" s="18"/>
      <c r="K99" s="15" t="s">
        <v>230</v>
      </c>
      <c r="L99" s="18"/>
      <c r="M99" s="18"/>
      <c r="N99" s="18"/>
      <c r="O99" s="15" t="s">
        <v>104</v>
      </c>
      <c r="P99" s="15" t="s">
        <v>24</v>
      </c>
      <c r="Q99" s="15" t="s">
        <v>194</v>
      </c>
    </row>
    <row r="100" spans="1:17" x14ac:dyDescent="0.25">
      <c r="A100" s="15">
        <v>96</v>
      </c>
      <c r="B100" s="47"/>
      <c r="C100" s="16">
        <v>46272</v>
      </c>
      <c r="D100" s="16">
        <v>46280</v>
      </c>
      <c r="E100" s="15" t="s">
        <v>231</v>
      </c>
      <c r="F100" s="17" t="s">
        <v>493</v>
      </c>
      <c r="G100" s="18"/>
      <c r="H100" s="15" t="s">
        <v>2</v>
      </c>
      <c r="I100" s="18"/>
      <c r="J100" s="18"/>
      <c r="K100" s="46" t="s">
        <v>232</v>
      </c>
      <c r="L100" s="18"/>
      <c r="M100" s="18"/>
      <c r="N100" s="18"/>
      <c r="O100" s="15" t="s">
        <v>233</v>
      </c>
      <c r="P100" s="15" t="s">
        <v>234</v>
      </c>
      <c r="Q100" s="15" t="s">
        <v>194</v>
      </c>
    </row>
    <row r="101" spans="1:17" x14ac:dyDescent="0.25">
      <c r="A101" s="15">
        <v>97</v>
      </c>
      <c r="B101" s="47"/>
      <c r="C101" s="16">
        <v>46272</v>
      </c>
      <c r="D101" s="16">
        <v>46280</v>
      </c>
      <c r="E101" s="15" t="s">
        <v>107</v>
      </c>
      <c r="F101" s="17" t="s">
        <v>494</v>
      </c>
      <c r="G101" s="18"/>
      <c r="H101" s="15" t="s">
        <v>0</v>
      </c>
      <c r="I101" s="18"/>
      <c r="J101" s="18"/>
      <c r="K101" s="18"/>
      <c r="L101" s="18"/>
      <c r="M101" s="15" t="s">
        <v>235</v>
      </c>
      <c r="N101" s="18"/>
      <c r="O101" s="15" t="s">
        <v>27</v>
      </c>
      <c r="P101" s="15" t="s">
        <v>24</v>
      </c>
      <c r="Q101" s="15" t="s">
        <v>194</v>
      </c>
    </row>
    <row r="102" spans="1:17" x14ac:dyDescent="0.25">
      <c r="A102" s="15">
        <v>98</v>
      </c>
      <c r="B102" s="47"/>
      <c r="C102" s="16">
        <v>46272</v>
      </c>
      <c r="D102" s="16">
        <v>46280</v>
      </c>
      <c r="E102" s="15" t="s">
        <v>107</v>
      </c>
      <c r="F102" s="17" t="s">
        <v>495</v>
      </c>
      <c r="G102" s="15" t="s">
        <v>28</v>
      </c>
      <c r="H102" s="15" t="s">
        <v>0</v>
      </c>
      <c r="I102" s="18"/>
      <c r="J102" s="18"/>
      <c r="K102" s="18"/>
      <c r="L102" s="18"/>
      <c r="M102" s="18"/>
      <c r="N102" s="18"/>
      <c r="O102" s="15" t="s">
        <v>104</v>
      </c>
      <c r="P102" s="15" t="s">
        <v>24</v>
      </c>
      <c r="Q102" s="15" t="s">
        <v>194</v>
      </c>
    </row>
    <row r="103" spans="1:17" x14ac:dyDescent="0.25">
      <c r="A103" s="15">
        <v>99</v>
      </c>
      <c r="B103" s="47"/>
      <c r="C103" s="16">
        <v>46272</v>
      </c>
      <c r="D103" s="16">
        <v>46280</v>
      </c>
      <c r="E103" s="15" t="s">
        <v>107</v>
      </c>
      <c r="F103" s="17" t="s">
        <v>496</v>
      </c>
      <c r="G103" s="18"/>
      <c r="H103" s="15" t="s">
        <v>0</v>
      </c>
      <c r="I103" s="18"/>
      <c r="J103" s="18"/>
      <c r="K103" s="15" t="s">
        <v>26</v>
      </c>
      <c r="L103" s="18"/>
      <c r="M103" s="18"/>
      <c r="N103" s="18"/>
      <c r="O103" s="15" t="s">
        <v>27</v>
      </c>
      <c r="P103" s="15" t="s">
        <v>24</v>
      </c>
      <c r="Q103" s="15" t="s">
        <v>194</v>
      </c>
    </row>
    <row r="104" spans="1:17" x14ac:dyDescent="0.25">
      <c r="A104" s="15">
        <v>100</v>
      </c>
      <c r="B104" s="47"/>
      <c r="C104" s="16">
        <v>46272</v>
      </c>
      <c r="D104" s="16">
        <v>46280</v>
      </c>
      <c r="E104" s="15" t="s">
        <v>107</v>
      </c>
      <c r="F104" s="17" t="s">
        <v>497</v>
      </c>
      <c r="G104" s="15" t="s">
        <v>28</v>
      </c>
      <c r="H104" s="15" t="s">
        <v>0</v>
      </c>
      <c r="I104" s="18"/>
      <c r="J104" s="18"/>
      <c r="K104" s="15" t="s">
        <v>236</v>
      </c>
      <c r="L104" s="18"/>
      <c r="M104" s="18"/>
      <c r="N104" s="18"/>
      <c r="O104" s="15" t="s">
        <v>104</v>
      </c>
      <c r="P104" s="15" t="s">
        <v>24</v>
      </c>
      <c r="Q104" s="15" t="s">
        <v>194</v>
      </c>
    </row>
    <row r="105" spans="1:17" x14ac:dyDescent="0.25">
      <c r="A105" s="15">
        <v>101</v>
      </c>
      <c r="B105" s="47"/>
      <c r="C105" s="16">
        <v>46272</v>
      </c>
      <c r="D105" s="16">
        <v>46280</v>
      </c>
      <c r="E105" s="15" t="s">
        <v>107</v>
      </c>
      <c r="F105" s="17" t="s">
        <v>498</v>
      </c>
      <c r="G105" s="15" t="s">
        <v>28</v>
      </c>
      <c r="H105" s="15" t="s">
        <v>0</v>
      </c>
      <c r="I105" s="18"/>
      <c r="J105" s="18"/>
      <c r="K105" s="15" t="s">
        <v>237</v>
      </c>
      <c r="L105" s="18"/>
      <c r="M105" s="18"/>
      <c r="N105" s="18"/>
      <c r="O105" s="15" t="s">
        <v>104</v>
      </c>
      <c r="P105" s="15" t="s">
        <v>24</v>
      </c>
      <c r="Q105" s="15" t="s">
        <v>194</v>
      </c>
    </row>
    <row r="106" spans="1:17" ht="30" x14ac:dyDescent="0.25">
      <c r="A106" s="15">
        <v>102</v>
      </c>
      <c r="B106" s="47"/>
      <c r="C106" s="16">
        <v>46272</v>
      </c>
      <c r="D106" s="16">
        <v>46280</v>
      </c>
      <c r="E106" s="15" t="s">
        <v>107</v>
      </c>
      <c r="F106" s="17" t="s">
        <v>499</v>
      </c>
      <c r="G106" s="15" t="s">
        <v>28</v>
      </c>
      <c r="H106" s="15" t="s">
        <v>0</v>
      </c>
      <c r="I106" s="18"/>
      <c r="J106" s="18"/>
      <c r="K106" s="15" t="s">
        <v>237</v>
      </c>
      <c r="L106" s="18"/>
      <c r="M106" s="18"/>
      <c r="N106" s="18"/>
      <c r="O106" s="15" t="s">
        <v>238</v>
      </c>
      <c r="P106" s="15" t="s">
        <v>216</v>
      </c>
      <c r="Q106" s="15" t="s">
        <v>194</v>
      </c>
    </row>
    <row r="107" spans="1:17" x14ac:dyDescent="0.25">
      <c r="A107" s="15">
        <v>103</v>
      </c>
      <c r="B107" s="47"/>
      <c r="C107" s="16">
        <v>46272</v>
      </c>
      <c r="D107" s="16">
        <v>46280</v>
      </c>
      <c r="E107" s="15" t="s">
        <v>107</v>
      </c>
      <c r="F107" s="17" t="s">
        <v>500</v>
      </c>
      <c r="G107" s="18"/>
      <c r="H107" s="15" t="s">
        <v>0</v>
      </c>
      <c r="I107" s="18"/>
      <c r="J107" s="18"/>
      <c r="K107" s="15" t="s">
        <v>26</v>
      </c>
      <c r="L107" s="18"/>
      <c r="M107" s="18"/>
      <c r="N107" s="18"/>
      <c r="O107" s="15" t="s">
        <v>104</v>
      </c>
      <c r="P107" s="15" t="s">
        <v>24</v>
      </c>
      <c r="Q107" s="15" t="s">
        <v>194</v>
      </c>
    </row>
    <row r="108" spans="1:17" x14ac:dyDescent="0.25">
      <c r="A108" s="15">
        <v>104</v>
      </c>
      <c r="B108" s="47"/>
      <c r="C108" s="16">
        <v>46272</v>
      </c>
      <c r="D108" s="16">
        <v>46280</v>
      </c>
      <c r="E108" s="15" t="s">
        <v>127</v>
      </c>
      <c r="F108" s="17" t="s">
        <v>501</v>
      </c>
      <c r="G108" s="15" t="s">
        <v>28</v>
      </c>
      <c r="H108" s="15" t="s">
        <v>0</v>
      </c>
      <c r="I108" s="18"/>
      <c r="J108" s="18"/>
      <c r="K108" s="15" t="s">
        <v>26</v>
      </c>
      <c r="L108" s="18"/>
      <c r="M108" s="18"/>
      <c r="N108" s="18"/>
      <c r="O108" s="15" t="s">
        <v>239</v>
      </c>
      <c r="P108" s="15" t="s">
        <v>240</v>
      </c>
      <c r="Q108" s="15" t="s">
        <v>194</v>
      </c>
    </row>
    <row r="109" spans="1:17" x14ac:dyDescent="0.25">
      <c r="A109" s="15">
        <v>105</v>
      </c>
      <c r="B109" s="47"/>
      <c r="C109" s="16">
        <v>46272</v>
      </c>
      <c r="D109" s="16">
        <v>46280</v>
      </c>
      <c r="E109" s="15" t="s">
        <v>127</v>
      </c>
      <c r="F109" s="17" t="s">
        <v>502</v>
      </c>
      <c r="G109" s="18"/>
      <c r="H109" s="15" t="s">
        <v>0</v>
      </c>
      <c r="I109" s="18"/>
      <c r="J109" s="18"/>
      <c r="K109" s="18"/>
      <c r="L109" s="18"/>
      <c r="M109" s="18"/>
      <c r="N109" s="18"/>
      <c r="O109" s="15" t="s">
        <v>239</v>
      </c>
      <c r="P109" s="15" t="s">
        <v>240</v>
      </c>
      <c r="Q109" s="15" t="s">
        <v>194</v>
      </c>
    </row>
    <row r="110" spans="1:17" x14ac:dyDescent="0.25">
      <c r="A110" s="15">
        <v>106</v>
      </c>
      <c r="B110" s="47"/>
      <c r="C110" s="16">
        <v>46272</v>
      </c>
      <c r="D110" s="16">
        <v>46280</v>
      </c>
      <c r="E110" s="15" t="s">
        <v>127</v>
      </c>
      <c r="F110" s="17" t="s">
        <v>503</v>
      </c>
      <c r="G110" s="15" t="s">
        <v>28</v>
      </c>
      <c r="H110" s="15" t="s">
        <v>0</v>
      </c>
      <c r="I110" s="18"/>
      <c r="J110" s="18"/>
      <c r="K110" s="15" t="s">
        <v>26</v>
      </c>
      <c r="L110" s="18"/>
      <c r="M110" s="18"/>
      <c r="N110" s="18"/>
      <c r="O110" s="15" t="s">
        <v>239</v>
      </c>
      <c r="P110" s="15" t="s">
        <v>240</v>
      </c>
      <c r="Q110" s="15" t="s">
        <v>194</v>
      </c>
    </row>
    <row r="111" spans="1:17" x14ac:dyDescent="0.25">
      <c r="A111" s="15">
        <v>107</v>
      </c>
      <c r="B111" s="47"/>
      <c r="C111" s="16">
        <v>46272</v>
      </c>
      <c r="D111" s="16">
        <v>46280</v>
      </c>
      <c r="E111" s="15" t="s">
        <v>127</v>
      </c>
      <c r="F111" s="17" t="s">
        <v>504</v>
      </c>
      <c r="G111" s="15" t="s">
        <v>28</v>
      </c>
      <c r="H111" s="15" t="s">
        <v>0</v>
      </c>
      <c r="I111" s="18"/>
      <c r="J111" s="18"/>
      <c r="K111" s="15" t="s">
        <v>26</v>
      </c>
      <c r="L111" s="18"/>
      <c r="M111" s="18"/>
      <c r="N111" s="18"/>
      <c r="O111" s="15" t="s">
        <v>241</v>
      </c>
      <c r="P111" s="15" t="s">
        <v>242</v>
      </c>
      <c r="Q111" s="15" t="s">
        <v>194</v>
      </c>
    </row>
    <row r="112" spans="1:17" x14ac:dyDescent="0.25">
      <c r="A112" s="15">
        <v>108</v>
      </c>
      <c r="B112" s="47"/>
      <c r="C112" s="16">
        <v>46272</v>
      </c>
      <c r="D112" s="16">
        <v>46280</v>
      </c>
      <c r="E112" s="15" t="s">
        <v>127</v>
      </c>
      <c r="F112" s="17" t="s">
        <v>505</v>
      </c>
      <c r="G112" s="18"/>
      <c r="H112" s="15" t="s">
        <v>0</v>
      </c>
      <c r="I112" s="18"/>
      <c r="J112" s="18"/>
      <c r="K112" s="18"/>
      <c r="L112" s="18"/>
      <c r="M112" s="18"/>
      <c r="N112" s="18"/>
      <c r="O112" s="15" t="s">
        <v>239</v>
      </c>
      <c r="P112" s="15" t="s">
        <v>240</v>
      </c>
      <c r="Q112" s="15" t="s">
        <v>194</v>
      </c>
    </row>
    <row r="113" spans="1:17" x14ac:dyDescent="0.25">
      <c r="A113" s="15">
        <v>109</v>
      </c>
      <c r="B113" s="47"/>
      <c r="C113" s="16">
        <v>46272</v>
      </c>
      <c r="D113" s="16">
        <v>46280</v>
      </c>
      <c r="E113" s="15" t="s">
        <v>127</v>
      </c>
      <c r="F113" s="17" t="s">
        <v>506</v>
      </c>
      <c r="G113" s="15" t="s">
        <v>28</v>
      </c>
      <c r="H113" s="15" t="s">
        <v>0</v>
      </c>
      <c r="I113" s="18"/>
      <c r="J113" s="18"/>
      <c r="K113" s="15" t="s">
        <v>26</v>
      </c>
      <c r="L113" s="18"/>
      <c r="M113" s="18"/>
      <c r="N113" s="18"/>
      <c r="O113" s="15" t="s">
        <v>239</v>
      </c>
      <c r="P113" s="15" t="s">
        <v>240</v>
      </c>
      <c r="Q113" s="15" t="s">
        <v>194</v>
      </c>
    </row>
    <row r="114" spans="1:17" ht="30" x14ac:dyDescent="0.25">
      <c r="A114" s="15">
        <v>110</v>
      </c>
      <c r="B114" s="47"/>
      <c r="C114" s="16">
        <v>46287</v>
      </c>
      <c r="D114" s="16">
        <v>46289</v>
      </c>
      <c r="E114" s="15" t="s">
        <v>4</v>
      </c>
      <c r="F114" s="17" t="s">
        <v>507</v>
      </c>
      <c r="G114" s="15" t="s">
        <v>87</v>
      </c>
      <c r="H114" s="15" t="s">
        <v>9</v>
      </c>
      <c r="I114" s="18"/>
      <c r="J114" s="18"/>
      <c r="K114" s="15" t="s">
        <v>115</v>
      </c>
      <c r="L114" s="18"/>
      <c r="M114" s="18"/>
      <c r="N114" s="18"/>
      <c r="O114" s="15" t="s">
        <v>3</v>
      </c>
      <c r="P114" s="15" t="s">
        <v>243</v>
      </c>
      <c r="Q114" s="15" t="s">
        <v>1</v>
      </c>
    </row>
    <row r="115" spans="1:17" x14ac:dyDescent="0.25">
      <c r="A115" s="15">
        <v>111</v>
      </c>
      <c r="B115" s="47"/>
      <c r="C115" s="16">
        <v>46293</v>
      </c>
      <c r="D115" s="18"/>
      <c r="E115" s="15" t="s">
        <v>107</v>
      </c>
      <c r="F115" s="17" t="s">
        <v>508</v>
      </c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5" t="s">
        <v>194</v>
      </c>
    </row>
    <row r="116" spans="1:17" x14ac:dyDescent="0.25">
      <c r="A116" s="15">
        <v>112</v>
      </c>
      <c r="B116" s="47"/>
      <c r="C116" s="16">
        <v>46293</v>
      </c>
      <c r="D116" s="18"/>
      <c r="E116" s="15" t="s">
        <v>98</v>
      </c>
      <c r="F116" s="17" t="s">
        <v>509</v>
      </c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5" t="s">
        <v>194</v>
      </c>
    </row>
    <row r="117" spans="1:17" x14ac:dyDescent="0.25">
      <c r="A117" s="15">
        <v>113</v>
      </c>
      <c r="B117" s="47"/>
      <c r="C117" s="16">
        <v>46293</v>
      </c>
      <c r="D117" s="18"/>
      <c r="E117" s="15" t="s">
        <v>98</v>
      </c>
      <c r="F117" s="17" t="s">
        <v>510</v>
      </c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5" t="s">
        <v>194</v>
      </c>
    </row>
    <row r="118" spans="1:17" x14ac:dyDescent="0.25">
      <c r="A118" s="15">
        <v>114</v>
      </c>
      <c r="B118" s="47"/>
      <c r="C118" s="16">
        <v>46293</v>
      </c>
      <c r="D118" s="18"/>
      <c r="E118" s="15" t="s">
        <v>98</v>
      </c>
      <c r="F118" s="17" t="s">
        <v>511</v>
      </c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5" t="s">
        <v>194</v>
      </c>
    </row>
    <row r="119" spans="1:17" x14ac:dyDescent="0.25">
      <c r="A119" s="15">
        <v>115</v>
      </c>
      <c r="B119" s="47"/>
      <c r="C119" s="16">
        <v>46293</v>
      </c>
      <c r="D119" s="18"/>
      <c r="E119" s="15" t="s">
        <v>98</v>
      </c>
      <c r="F119" s="17" t="s">
        <v>512</v>
      </c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5" t="s">
        <v>194</v>
      </c>
    </row>
    <row r="120" spans="1:17" x14ac:dyDescent="0.25">
      <c r="A120" s="15">
        <v>116</v>
      </c>
      <c r="B120" s="47"/>
      <c r="C120" s="16">
        <v>46293</v>
      </c>
      <c r="D120" s="18"/>
      <c r="E120" s="15" t="s">
        <v>98</v>
      </c>
      <c r="F120" s="17" t="s">
        <v>513</v>
      </c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5" t="s">
        <v>194</v>
      </c>
    </row>
    <row r="121" spans="1:17" x14ac:dyDescent="0.25">
      <c r="A121" s="15">
        <v>117</v>
      </c>
      <c r="B121" s="47"/>
      <c r="C121" s="16">
        <v>46293</v>
      </c>
      <c r="D121" s="18"/>
      <c r="E121" s="15" t="s">
        <v>98</v>
      </c>
      <c r="F121" s="17" t="s">
        <v>514</v>
      </c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5" t="s">
        <v>194</v>
      </c>
    </row>
    <row r="122" spans="1:17" x14ac:dyDescent="0.25">
      <c r="A122" s="15">
        <v>118</v>
      </c>
      <c r="B122" s="47"/>
      <c r="C122" s="16">
        <v>46293</v>
      </c>
      <c r="D122" s="18"/>
      <c r="E122" s="15" t="s">
        <v>98</v>
      </c>
      <c r="F122" s="17" t="s">
        <v>515</v>
      </c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5" t="s">
        <v>194</v>
      </c>
    </row>
    <row r="123" spans="1:17" x14ac:dyDescent="0.25">
      <c r="A123" s="15">
        <v>119</v>
      </c>
      <c r="B123" s="47"/>
      <c r="C123" s="16">
        <v>46293</v>
      </c>
      <c r="D123" s="18"/>
      <c r="E123" s="15" t="s">
        <v>127</v>
      </c>
      <c r="F123" s="17" t="s">
        <v>516</v>
      </c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5" t="s">
        <v>194</v>
      </c>
    </row>
    <row r="124" spans="1:17" x14ac:dyDescent="0.25">
      <c r="A124" s="15">
        <v>120</v>
      </c>
      <c r="B124" s="47"/>
      <c r="C124" s="16">
        <v>46293</v>
      </c>
      <c r="D124" s="18"/>
      <c r="E124" s="15" t="s">
        <v>68</v>
      </c>
      <c r="F124" s="17" t="s">
        <v>244</v>
      </c>
      <c r="G124" s="15" t="s">
        <v>245</v>
      </c>
      <c r="H124" s="18"/>
      <c r="I124" s="18"/>
      <c r="J124" s="18"/>
      <c r="K124" s="18"/>
      <c r="L124" s="18"/>
      <c r="M124" s="18"/>
      <c r="N124" s="18"/>
      <c r="O124" s="18"/>
      <c r="P124" s="18"/>
      <c r="Q124" s="15" t="s">
        <v>194</v>
      </c>
    </row>
    <row r="125" spans="1:17" x14ac:dyDescent="0.25">
      <c r="A125" s="15">
        <v>121</v>
      </c>
      <c r="B125" s="47"/>
      <c r="C125" s="16">
        <v>46293</v>
      </c>
      <c r="D125" s="18"/>
      <c r="E125" s="15" t="s">
        <v>68</v>
      </c>
      <c r="F125" s="17" t="s">
        <v>246</v>
      </c>
      <c r="G125" s="15" t="s">
        <v>245</v>
      </c>
      <c r="H125" s="18"/>
      <c r="I125" s="18"/>
      <c r="J125" s="18"/>
      <c r="K125" s="18"/>
      <c r="L125" s="18"/>
      <c r="M125" s="18"/>
      <c r="N125" s="18"/>
      <c r="O125" s="18"/>
      <c r="P125" s="18"/>
      <c r="Q125" s="15" t="s">
        <v>194</v>
      </c>
    </row>
    <row r="126" spans="1:17" x14ac:dyDescent="0.25">
      <c r="A126" s="15">
        <v>122</v>
      </c>
      <c r="B126" s="47" t="s">
        <v>11</v>
      </c>
      <c r="C126" s="16">
        <v>46272</v>
      </c>
      <c r="D126" s="16">
        <v>46272</v>
      </c>
      <c r="E126" s="15" t="s">
        <v>107</v>
      </c>
      <c r="F126" s="17" t="s">
        <v>517</v>
      </c>
      <c r="G126" s="15" t="s">
        <v>28</v>
      </c>
      <c r="H126" s="15" t="s">
        <v>0</v>
      </c>
      <c r="I126" s="18"/>
      <c r="J126" s="18"/>
      <c r="K126" s="15" t="s">
        <v>247</v>
      </c>
      <c r="L126" s="35" t="s">
        <v>248</v>
      </c>
      <c r="M126" s="18"/>
      <c r="N126" s="15" t="s">
        <v>53</v>
      </c>
      <c r="O126" s="15" t="s">
        <v>104</v>
      </c>
      <c r="P126" s="15" t="s">
        <v>24</v>
      </c>
      <c r="Q126" s="15" t="s">
        <v>1</v>
      </c>
    </row>
    <row r="127" spans="1:17" ht="30" x14ac:dyDescent="0.25">
      <c r="A127" s="15">
        <v>123</v>
      </c>
      <c r="B127" s="47"/>
      <c r="C127" s="16">
        <v>46286</v>
      </c>
      <c r="D127" s="16">
        <v>46287</v>
      </c>
      <c r="E127" s="15" t="s">
        <v>4</v>
      </c>
      <c r="F127" s="17" t="s">
        <v>249</v>
      </c>
      <c r="G127" s="15" t="s">
        <v>250</v>
      </c>
      <c r="H127" s="15" t="s">
        <v>0</v>
      </c>
      <c r="I127" s="18"/>
      <c r="J127" s="18"/>
      <c r="K127" s="15" t="s">
        <v>251</v>
      </c>
      <c r="L127" s="18"/>
      <c r="M127" s="18"/>
      <c r="N127" s="18"/>
      <c r="O127" s="15" t="s">
        <v>252</v>
      </c>
      <c r="P127" s="15" t="s">
        <v>253</v>
      </c>
      <c r="Q127" s="15" t="s">
        <v>1</v>
      </c>
    </row>
    <row r="128" spans="1:17" ht="60" x14ac:dyDescent="0.25">
      <c r="A128" s="15">
        <v>124</v>
      </c>
      <c r="B128" s="47" t="s">
        <v>254</v>
      </c>
      <c r="C128" s="16">
        <v>46272</v>
      </c>
      <c r="D128" s="16">
        <v>46281</v>
      </c>
      <c r="E128" s="15" t="s">
        <v>4</v>
      </c>
      <c r="F128" s="17" t="s">
        <v>255</v>
      </c>
      <c r="G128" s="18"/>
      <c r="H128" s="15" t="s">
        <v>2</v>
      </c>
      <c r="I128" s="18"/>
      <c r="J128" s="18"/>
      <c r="K128" s="18"/>
      <c r="L128" s="18"/>
      <c r="M128" s="18"/>
      <c r="N128" s="15" t="s">
        <v>5</v>
      </c>
      <c r="O128" s="15" t="s">
        <v>256</v>
      </c>
      <c r="P128" s="15" t="s">
        <v>257</v>
      </c>
      <c r="Q128" s="15" t="s">
        <v>1</v>
      </c>
    </row>
    <row r="129" spans="1:17" ht="30" x14ac:dyDescent="0.25">
      <c r="A129" s="15">
        <v>125</v>
      </c>
      <c r="B129" s="47"/>
      <c r="C129" s="16">
        <v>46272</v>
      </c>
      <c r="D129" s="16">
        <v>46281</v>
      </c>
      <c r="E129" s="15" t="s">
        <v>4</v>
      </c>
      <c r="F129" s="17" t="s">
        <v>258</v>
      </c>
      <c r="G129" s="18"/>
      <c r="H129" s="15" t="s">
        <v>0</v>
      </c>
      <c r="I129" s="18"/>
      <c r="J129" s="15">
        <v>130</v>
      </c>
      <c r="K129" s="15" t="s">
        <v>259</v>
      </c>
      <c r="L129" s="20">
        <v>125212203106.21001</v>
      </c>
      <c r="M129" s="18"/>
      <c r="N129" s="18"/>
      <c r="O129" s="15" t="s">
        <v>260</v>
      </c>
      <c r="P129" s="15" t="s">
        <v>65</v>
      </c>
      <c r="Q129" s="15" t="s">
        <v>1</v>
      </c>
    </row>
    <row r="130" spans="1:17" ht="45" x14ac:dyDescent="0.25">
      <c r="A130" s="15">
        <v>126</v>
      </c>
      <c r="B130" s="47"/>
      <c r="C130" s="16">
        <v>46272</v>
      </c>
      <c r="D130" s="16">
        <v>46281</v>
      </c>
      <c r="E130" s="15" t="s">
        <v>20</v>
      </c>
      <c r="F130" s="17" t="s">
        <v>261</v>
      </c>
      <c r="G130" s="15" t="s">
        <v>262</v>
      </c>
      <c r="H130" s="15" t="s">
        <v>0</v>
      </c>
      <c r="I130" s="18"/>
      <c r="J130" s="18"/>
      <c r="K130" s="18"/>
      <c r="L130" s="20">
        <v>125212203106.21001</v>
      </c>
      <c r="M130" s="18"/>
      <c r="N130" s="18"/>
      <c r="O130" s="15" t="s">
        <v>263</v>
      </c>
      <c r="P130" s="15" t="s">
        <v>264</v>
      </c>
      <c r="Q130" s="15" t="s">
        <v>1</v>
      </c>
    </row>
    <row r="131" spans="1:17" x14ac:dyDescent="0.25">
      <c r="A131" s="15">
        <v>127</v>
      </c>
      <c r="B131" s="47"/>
      <c r="C131" s="16">
        <v>46294</v>
      </c>
      <c r="D131" s="18"/>
      <c r="E131" s="15" t="s">
        <v>127</v>
      </c>
      <c r="F131" s="17" t="s">
        <v>518</v>
      </c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5" t="s">
        <v>194</v>
      </c>
    </row>
    <row r="132" spans="1:17" x14ac:dyDescent="0.25">
      <c r="A132" s="15">
        <v>128</v>
      </c>
      <c r="B132" s="47"/>
      <c r="C132" s="16">
        <v>46294</v>
      </c>
      <c r="D132" s="18"/>
      <c r="E132" s="15" t="s">
        <v>127</v>
      </c>
      <c r="F132" s="17" t="s">
        <v>519</v>
      </c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5" t="s">
        <v>194</v>
      </c>
    </row>
    <row r="133" spans="1:17" x14ac:dyDescent="0.25">
      <c r="A133" s="15">
        <v>129</v>
      </c>
      <c r="B133" s="47"/>
      <c r="C133" s="16">
        <v>46294</v>
      </c>
      <c r="D133" s="18"/>
      <c r="E133" s="15" t="s">
        <v>118</v>
      </c>
      <c r="F133" s="17" t="s">
        <v>520</v>
      </c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5" t="s">
        <v>194</v>
      </c>
    </row>
    <row r="134" spans="1:17" x14ac:dyDescent="0.25">
      <c r="A134" s="15">
        <v>130</v>
      </c>
      <c r="B134" s="47"/>
      <c r="C134" s="16">
        <v>46294</v>
      </c>
      <c r="D134" s="18"/>
      <c r="E134" s="15" t="s">
        <v>118</v>
      </c>
      <c r="F134" s="17" t="s">
        <v>521</v>
      </c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5" t="s">
        <v>194</v>
      </c>
    </row>
    <row r="135" spans="1:17" x14ac:dyDescent="0.25">
      <c r="A135" s="15">
        <v>131</v>
      </c>
      <c r="B135" s="47"/>
      <c r="C135" s="16">
        <v>46294</v>
      </c>
      <c r="D135" s="18"/>
      <c r="E135" s="15" t="s">
        <v>118</v>
      </c>
      <c r="F135" s="17" t="s">
        <v>522</v>
      </c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5" t="s">
        <v>194</v>
      </c>
    </row>
    <row r="136" spans="1:17" x14ac:dyDescent="0.25">
      <c r="A136" s="15">
        <v>132</v>
      </c>
      <c r="B136" s="47"/>
      <c r="C136" s="16">
        <v>46294</v>
      </c>
      <c r="D136" s="18"/>
      <c r="E136" s="15" t="s">
        <v>4</v>
      </c>
      <c r="F136" s="17" t="s">
        <v>523</v>
      </c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5" t="s">
        <v>194</v>
      </c>
    </row>
    <row r="137" spans="1:17" ht="30" x14ac:dyDescent="0.25">
      <c r="A137" s="15">
        <v>133</v>
      </c>
      <c r="B137" s="47" t="s">
        <v>265</v>
      </c>
      <c r="C137" s="16">
        <v>46274</v>
      </c>
      <c r="D137" s="16">
        <v>46279</v>
      </c>
      <c r="E137" s="15" t="s">
        <v>20</v>
      </c>
      <c r="F137" s="17" t="s">
        <v>266</v>
      </c>
      <c r="G137" s="15" t="s">
        <v>28</v>
      </c>
      <c r="H137" s="15" t="s">
        <v>0</v>
      </c>
      <c r="I137" s="18"/>
      <c r="J137" s="18"/>
      <c r="K137" s="18"/>
      <c r="L137" s="18"/>
      <c r="M137" s="18"/>
      <c r="N137" s="18"/>
      <c r="O137" s="15" t="s">
        <v>267</v>
      </c>
      <c r="P137" s="15" t="s">
        <v>268</v>
      </c>
      <c r="Q137" s="15" t="s">
        <v>1</v>
      </c>
    </row>
    <row r="138" spans="1:17" ht="30" x14ac:dyDescent="0.25">
      <c r="A138" s="15">
        <v>134</v>
      </c>
      <c r="B138" s="47"/>
      <c r="C138" s="16">
        <v>46287</v>
      </c>
      <c r="D138" s="16">
        <v>46295</v>
      </c>
      <c r="E138" s="15" t="s">
        <v>98</v>
      </c>
      <c r="F138" s="17" t="s">
        <v>524</v>
      </c>
      <c r="G138" s="18"/>
      <c r="H138" s="15" t="s">
        <v>0</v>
      </c>
      <c r="I138" s="18"/>
      <c r="J138" s="18"/>
      <c r="K138" s="18"/>
      <c r="L138" s="18"/>
      <c r="M138" s="18"/>
      <c r="N138" s="18"/>
      <c r="O138" s="15" t="s">
        <v>269</v>
      </c>
      <c r="P138" s="15" t="s">
        <v>270</v>
      </c>
      <c r="Q138" s="15" t="s">
        <v>194</v>
      </c>
    </row>
    <row r="139" spans="1:17" ht="30" x14ac:dyDescent="0.25">
      <c r="A139" s="15">
        <v>135</v>
      </c>
      <c r="B139" s="47"/>
      <c r="C139" s="16">
        <v>46287</v>
      </c>
      <c r="D139" s="16">
        <v>46295</v>
      </c>
      <c r="E139" s="15" t="s">
        <v>98</v>
      </c>
      <c r="F139" s="17" t="s">
        <v>525</v>
      </c>
      <c r="G139" s="18"/>
      <c r="H139" s="15" t="s">
        <v>0</v>
      </c>
      <c r="I139" s="18"/>
      <c r="J139" s="18"/>
      <c r="K139" s="18"/>
      <c r="L139" s="18"/>
      <c r="M139" s="18"/>
      <c r="N139" s="18"/>
      <c r="O139" s="15" t="s">
        <v>271</v>
      </c>
      <c r="P139" s="15" t="s">
        <v>272</v>
      </c>
      <c r="Q139" s="15" t="s">
        <v>194</v>
      </c>
    </row>
    <row r="140" spans="1:17" x14ac:dyDescent="0.25">
      <c r="A140" s="15">
        <v>136</v>
      </c>
      <c r="B140" s="47"/>
      <c r="C140" s="16">
        <v>46287</v>
      </c>
      <c r="D140" s="16">
        <v>46295</v>
      </c>
      <c r="E140" s="15" t="s">
        <v>4</v>
      </c>
      <c r="F140" s="17" t="s">
        <v>273</v>
      </c>
      <c r="G140" s="18"/>
      <c r="H140" s="15" t="s">
        <v>0</v>
      </c>
      <c r="I140" s="18"/>
      <c r="J140" s="18"/>
      <c r="K140" s="15" t="s">
        <v>274</v>
      </c>
      <c r="L140" s="18"/>
      <c r="M140" s="18"/>
      <c r="N140" s="18"/>
      <c r="O140" s="15" t="s">
        <v>275</v>
      </c>
      <c r="P140" s="15" t="s">
        <v>276</v>
      </c>
      <c r="Q140" s="15" t="s">
        <v>194</v>
      </c>
    </row>
    <row r="141" spans="1:17" x14ac:dyDescent="0.25">
      <c r="A141" s="15">
        <v>137</v>
      </c>
      <c r="B141" s="47" t="s">
        <v>25</v>
      </c>
      <c r="C141" s="16">
        <v>46272</v>
      </c>
      <c r="D141" s="18"/>
      <c r="E141" s="15" t="s">
        <v>118</v>
      </c>
      <c r="F141" s="36" t="s">
        <v>526</v>
      </c>
      <c r="G141" s="18"/>
      <c r="H141" s="18"/>
      <c r="I141" s="18"/>
      <c r="J141" s="18"/>
      <c r="K141" s="15" t="s">
        <v>277</v>
      </c>
      <c r="L141" s="18"/>
      <c r="M141" s="18"/>
      <c r="N141" s="18"/>
      <c r="O141" s="18"/>
      <c r="P141" s="18"/>
      <c r="Q141" s="15" t="s">
        <v>194</v>
      </c>
    </row>
    <row r="142" spans="1:17" x14ac:dyDescent="0.25">
      <c r="A142" s="15">
        <v>138</v>
      </c>
      <c r="B142" s="47"/>
      <c r="C142" s="16">
        <v>46272</v>
      </c>
      <c r="D142" s="16">
        <v>46283</v>
      </c>
      <c r="E142" s="15" t="s">
        <v>118</v>
      </c>
      <c r="F142" s="17" t="s">
        <v>527</v>
      </c>
      <c r="G142" s="18"/>
      <c r="H142" s="18"/>
      <c r="I142" s="18"/>
      <c r="J142" s="18"/>
      <c r="K142" s="18"/>
      <c r="L142" s="18"/>
      <c r="M142" s="18"/>
      <c r="N142" s="18"/>
      <c r="O142" s="15" t="s">
        <v>31</v>
      </c>
      <c r="P142" s="18"/>
      <c r="Q142" s="15" t="s">
        <v>194</v>
      </c>
    </row>
    <row r="143" spans="1:17" ht="30" x14ac:dyDescent="0.25">
      <c r="A143" s="15">
        <v>139</v>
      </c>
      <c r="B143" s="47"/>
      <c r="C143" s="16">
        <v>46272</v>
      </c>
      <c r="D143" s="16">
        <v>46283</v>
      </c>
      <c r="E143" s="15" t="s">
        <v>118</v>
      </c>
      <c r="F143" s="17" t="s">
        <v>528</v>
      </c>
      <c r="G143" s="18"/>
      <c r="H143" s="18"/>
      <c r="I143" s="18"/>
      <c r="J143" s="18"/>
      <c r="K143" s="18"/>
      <c r="L143" s="18"/>
      <c r="M143" s="18"/>
      <c r="N143" s="18"/>
      <c r="O143" s="15" t="s">
        <v>278</v>
      </c>
      <c r="P143" s="18"/>
      <c r="Q143" s="15" t="s">
        <v>194</v>
      </c>
    </row>
    <row r="144" spans="1:17" x14ac:dyDescent="0.25">
      <c r="A144" s="15">
        <v>140</v>
      </c>
      <c r="B144" s="47"/>
      <c r="C144" s="16">
        <v>46272</v>
      </c>
      <c r="D144" s="18"/>
      <c r="E144" s="15" t="s">
        <v>118</v>
      </c>
      <c r="F144" s="17" t="s">
        <v>529</v>
      </c>
      <c r="G144" s="18"/>
      <c r="H144" s="18"/>
      <c r="I144" s="18"/>
      <c r="J144" s="18"/>
      <c r="K144" s="15" t="s">
        <v>277</v>
      </c>
      <c r="L144" s="18"/>
      <c r="M144" s="18"/>
      <c r="N144" s="18"/>
      <c r="O144" s="46"/>
      <c r="P144" s="18"/>
      <c r="Q144" s="15" t="s">
        <v>194</v>
      </c>
    </row>
    <row r="145" spans="1:17" x14ac:dyDescent="0.25">
      <c r="A145" s="15">
        <v>141</v>
      </c>
      <c r="B145" s="47"/>
      <c r="C145" s="16">
        <v>46272</v>
      </c>
      <c r="D145" s="18"/>
      <c r="E145" s="15" t="s">
        <v>107</v>
      </c>
      <c r="F145" s="17" t="s">
        <v>530</v>
      </c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5" t="s">
        <v>194</v>
      </c>
    </row>
    <row r="146" spans="1:17" x14ac:dyDescent="0.25">
      <c r="A146" s="15">
        <v>142</v>
      </c>
      <c r="B146" s="47"/>
      <c r="C146" s="16">
        <v>46272</v>
      </c>
      <c r="D146" s="16">
        <v>46283</v>
      </c>
      <c r="E146" s="15" t="s">
        <v>118</v>
      </c>
      <c r="F146" s="17" t="s">
        <v>531</v>
      </c>
      <c r="G146" s="18"/>
      <c r="H146" s="18"/>
      <c r="I146" s="18"/>
      <c r="J146" s="18"/>
      <c r="K146" s="18"/>
      <c r="L146" s="18"/>
      <c r="M146" s="18"/>
      <c r="N146" s="18"/>
      <c r="O146" s="15" t="s">
        <v>104</v>
      </c>
      <c r="P146" s="18"/>
      <c r="Q146" s="15" t="s">
        <v>194</v>
      </c>
    </row>
    <row r="147" spans="1:17" x14ac:dyDescent="0.25">
      <c r="A147" s="15">
        <v>143</v>
      </c>
      <c r="B147" s="47"/>
      <c r="C147" s="16">
        <v>46272</v>
      </c>
      <c r="D147" s="16">
        <v>46283</v>
      </c>
      <c r="E147" s="15" t="s">
        <v>118</v>
      </c>
      <c r="F147" s="17" t="s">
        <v>532</v>
      </c>
      <c r="G147" s="18"/>
      <c r="H147" s="18"/>
      <c r="I147" s="18"/>
      <c r="J147" s="18"/>
      <c r="K147" s="18"/>
      <c r="L147" s="18"/>
      <c r="M147" s="18"/>
      <c r="N147" s="18"/>
      <c r="O147" s="15" t="s">
        <v>31</v>
      </c>
      <c r="P147" s="18"/>
      <c r="Q147" s="15" t="s">
        <v>194</v>
      </c>
    </row>
    <row r="148" spans="1:17" x14ac:dyDescent="0.25">
      <c r="A148" s="15">
        <v>144</v>
      </c>
      <c r="B148" s="47"/>
      <c r="C148" s="16">
        <v>46272</v>
      </c>
      <c r="D148" s="18"/>
      <c r="E148" s="15" t="s">
        <v>107</v>
      </c>
      <c r="F148" s="17" t="s">
        <v>533</v>
      </c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5" t="s">
        <v>194</v>
      </c>
    </row>
    <row r="149" spans="1:17" x14ac:dyDescent="0.25">
      <c r="A149" s="15">
        <v>145</v>
      </c>
      <c r="B149" s="47"/>
      <c r="C149" s="16">
        <v>46272</v>
      </c>
      <c r="D149" s="18"/>
      <c r="E149" s="15" t="s">
        <v>107</v>
      </c>
      <c r="F149" s="17" t="s">
        <v>534</v>
      </c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5" t="s">
        <v>194</v>
      </c>
    </row>
    <row r="150" spans="1:17" x14ac:dyDescent="0.25">
      <c r="A150" s="15">
        <v>146</v>
      </c>
      <c r="B150" s="47"/>
      <c r="C150" s="16">
        <v>46272</v>
      </c>
      <c r="D150" s="18"/>
      <c r="E150" s="15" t="s">
        <v>107</v>
      </c>
      <c r="F150" s="17" t="s">
        <v>535</v>
      </c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5" t="s">
        <v>194</v>
      </c>
    </row>
    <row r="151" spans="1:17" x14ac:dyDescent="0.25">
      <c r="A151" s="15">
        <v>147</v>
      </c>
      <c r="B151" s="47"/>
      <c r="C151" s="16">
        <v>46272</v>
      </c>
      <c r="D151" s="18"/>
      <c r="E151" s="15" t="s">
        <v>107</v>
      </c>
      <c r="F151" s="17" t="s">
        <v>536</v>
      </c>
      <c r="G151" s="18"/>
      <c r="H151" s="18"/>
      <c r="I151" s="18"/>
      <c r="J151" s="18"/>
      <c r="K151" s="15" t="s">
        <v>277</v>
      </c>
      <c r="L151" s="18"/>
      <c r="M151" s="18"/>
      <c r="N151" s="18"/>
      <c r="O151" s="18"/>
      <c r="P151" s="18"/>
      <c r="Q151" s="15" t="s">
        <v>194</v>
      </c>
    </row>
    <row r="152" spans="1:17" x14ac:dyDescent="0.25">
      <c r="A152" s="15">
        <v>148</v>
      </c>
      <c r="B152" s="47"/>
      <c r="C152" s="16">
        <v>46272</v>
      </c>
      <c r="D152" s="18"/>
      <c r="E152" s="15" t="s">
        <v>107</v>
      </c>
      <c r="F152" s="17" t="s">
        <v>537</v>
      </c>
      <c r="G152" s="18"/>
      <c r="H152" s="18"/>
      <c r="I152" s="18"/>
      <c r="J152" s="18"/>
      <c r="K152" s="15" t="s">
        <v>277</v>
      </c>
      <c r="L152" s="18"/>
      <c r="M152" s="18"/>
      <c r="N152" s="18"/>
      <c r="O152" s="18"/>
      <c r="P152" s="18"/>
      <c r="Q152" s="15" t="s">
        <v>194</v>
      </c>
    </row>
    <row r="153" spans="1:17" x14ac:dyDescent="0.25">
      <c r="A153" s="15">
        <v>149</v>
      </c>
      <c r="B153" s="47"/>
      <c r="C153" s="16">
        <v>46272</v>
      </c>
      <c r="D153" s="18"/>
      <c r="E153" s="15" t="s">
        <v>107</v>
      </c>
      <c r="F153" s="17" t="s">
        <v>538</v>
      </c>
      <c r="G153" s="18"/>
      <c r="H153" s="18"/>
      <c r="I153" s="18"/>
      <c r="J153" s="18"/>
      <c r="K153" s="15" t="s">
        <v>277</v>
      </c>
      <c r="L153" s="18"/>
      <c r="M153" s="18"/>
      <c r="N153" s="18"/>
      <c r="O153" s="18"/>
      <c r="P153" s="18"/>
      <c r="Q153" s="15" t="s">
        <v>194</v>
      </c>
    </row>
    <row r="154" spans="1:17" x14ac:dyDescent="0.25">
      <c r="A154" s="15">
        <v>150</v>
      </c>
      <c r="B154" s="47"/>
      <c r="C154" s="16">
        <v>46272</v>
      </c>
      <c r="D154" s="18"/>
      <c r="E154" s="15" t="s">
        <v>107</v>
      </c>
      <c r="F154" s="36" t="s">
        <v>539</v>
      </c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5" t="s">
        <v>194</v>
      </c>
    </row>
    <row r="155" spans="1:17" x14ac:dyDescent="0.25">
      <c r="A155" s="15">
        <v>151</v>
      </c>
      <c r="B155" s="47"/>
      <c r="C155" s="16">
        <v>46272</v>
      </c>
      <c r="D155" s="18"/>
      <c r="E155" s="15" t="s">
        <v>127</v>
      </c>
      <c r="F155" s="17" t="s">
        <v>540</v>
      </c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5" t="s">
        <v>194</v>
      </c>
    </row>
    <row r="156" spans="1:17" x14ac:dyDescent="0.25">
      <c r="A156" s="15">
        <v>152</v>
      </c>
      <c r="B156" s="47"/>
      <c r="C156" s="16">
        <v>46272</v>
      </c>
      <c r="D156" s="16">
        <v>46283</v>
      </c>
      <c r="E156" s="15" t="s">
        <v>279</v>
      </c>
      <c r="F156" s="17" t="s">
        <v>541</v>
      </c>
      <c r="G156" s="18"/>
      <c r="H156" s="18"/>
      <c r="I156" s="18"/>
      <c r="J156" s="18"/>
      <c r="K156" s="15" t="s">
        <v>280</v>
      </c>
      <c r="L156" s="18"/>
      <c r="M156" s="18"/>
      <c r="N156" s="18"/>
      <c r="O156" s="15" t="s">
        <v>281</v>
      </c>
      <c r="P156" s="15" t="s">
        <v>282</v>
      </c>
      <c r="Q156" s="15" t="s">
        <v>194</v>
      </c>
    </row>
    <row r="157" spans="1:17" x14ac:dyDescent="0.25">
      <c r="A157" s="15">
        <v>153</v>
      </c>
      <c r="B157" s="47"/>
      <c r="C157" s="16">
        <v>46272</v>
      </c>
      <c r="D157" s="16">
        <v>46283</v>
      </c>
      <c r="E157" s="15" t="s">
        <v>279</v>
      </c>
      <c r="F157" s="17" t="s">
        <v>542</v>
      </c>
      <c r="G157" s="18"/>
      <c r="H157" s="18"/>
      <c r="I157" s="18"/>
      <c r="J157" s="18"/>
      <c r="K157" s="18"/>
      <c r="L157" s="18"/>
      <c r="M157" s="18"/>
      <c r="N157" s="18"/>
      <c r="O157" s="15" t="s">
        <v>283</v>
      </c>
      <c r="P157" s="18"/>
      <c r="Q157" s="15" t="s">
        <v>194</v>
      </c>
    </row>
    <row r="158" spans="1:17" x14ac:dyDescent="0.25">
      <c r="A158" s="15">
        <v>154</v>
      </c>
      <c r="B158" s="47"/>
      <c r="C158" s="16">
        <v>46272</v>
      </c>
      <c r="D158" s="16">
        <v>46283</v>
      </c>
      <c r="E158" s="15" t="s">
        <v>279</v>
      </c>
      <c r="F158" s="17" t="s">
        <v>543</v>
      </c>
      <c r="G158" s="18"/>
      <c r="H158" s="18"/>
      <c r="I158" s="18"/>
      <c r="J158" s="18"/>
      <c r="K158" s="18"/>
      <c r="L158" s="18"/>
      <c r="M158" s="18"/>
      <c r="N158" s="18"/>
      <c r="O158" s="15" t="s">
        <v>135</v>
      </c>
      <c r="P158" s="18"/>
      <c r="Q158" s="15" t="s">
        <v>194</v>
      </c>
    </row>
    <row r="159" spans="1:17" ht="45" x14ac:dyDescent="0.25">
      <c r="A159" s="15">
        <v>155</v>
      </c>
      <c r="B159" s="47"/>
      <c r="C159" s="16">
        <v>46273</v>
      </c>
      <c r="D159" s="16">
        <v>46279</v>
      </c>
      <c r="E159" s="15" t="s">
        <v>4</v>
      </c>
      <c r="F159" s="17" t="s">
        <v>284</v>
      </c>
      <c r="G159" s="18"/>
      <c r="H159" s="15" t="s">
        <v>2</v>
      </c>
      <c r="I159" s="18"/>
      <c r="J159" s="18"/>
      <c r="K159" s="15" t="s">
        <v>285</v>
      </c>
      <c r="L159" s="18"/>
      <c r="M159" s="18"/>
      <c r="N159" s="18"/>
      <c r="O159" s="15" t="s">
        <v>286</v>
      </c>
      <c r="P159" s="15" t="s">
        <v>287</v>
      </c>
      <c r="Q159" s="15" t="s">
        <v>1</v>
      </c>
    </row>
    <row r="160" spans="1:17" ht="30" x14ac:dyDescent="0.25">
      <c r="A160" s="15">
        <v>156</v>
      </c>
      <c r="B160" s="47"/>
      <c r="C160" s="16">
        <v>46273</v>
      </c>
      <c r="D160" s="16">
        <v>46273</v>
      </c>
      <c r="E160" s="15" t="s">
        <v>4</v>
      </c>
      <c r="F160" s="17" t="s">
        <v>288</v>
      </c>
      <c r="G160" s="18"/>
      <c r="H160" s="18"/>
      <c r="I160" s="18"/>
      <c r="J160" s="18"/>
      <c r="K160" s="18"/>
      <c r="L160" s="18"/>
      <c r="M160" s="18"/>
      <c r="N160" s="18"/>
      <c r="O160" s="15" t="s">
        <v>289</v>
      </c>
      <c r="P160" s="15" t="s">
        <v>290</v>
      </c>
      <c r="Q160" s="15" t="s">
        <v>1</v>
      </c>
    </row>
    <row r="161" spans="1:17" ht="30" x14ac:dyDescent="0.25">
      <c r="A161" s="15">
        <v>157</v>
      </c>
      <c r="B161" s="47"/>
      <c r="C161" s="16">
        <v>46279</v>
      </c>
      <c r="D161" s="16">
        <v>46280</v>
      </c>
      <c r="E161" s="15" t="s">
        <v>4</v>
      </c>
      <c r="F161" s="17" t="s">
        <v>291</v>
      </c>
      <c r="G161" s="18"/>
      <c r="H161" s="15" t="s">
        <v>2</v>
      </c>
      <c r="I161" s="18"/>
      <c r="J161" s="18"/>
      <c r="K161" s="15" t="s">
        <v>292</v>
      </c>
      <c r="L161" s="18"/>
      <c r="M161" s="18"/>
      <c r="N161" s="18"/>
      <c r="O161" s="15" t="s">
        <v>152</v>
      </c>
      <c r="P161" s="15" t="s">
        <v>293</v>
      </c>
      <c r="Q161" s="15" t="s">
        <v>1</v>
      </c>
    </row>
    <row r="162" spans="1:17" ht="30" x14ac:dyDescent="0.25">
      <c r="A162" s="15">
        <v>158</v>
      </c>
      <c r="B162" s="47"/>
      <c r="C162" s="16">
        <v>46281</v>
      </c>
      <c r="D162" s="16">
        <v>46282</v>
      </c>
      <c r="E162" s="15" t="s">
        <v>4</v>
      </c>
      <c r="F162" s="17" t="s">
        <v>294</v>
      </c>
      <c r="G162" s="15" t="s">
        <v>250</v>
      </c>
      <c r="H162" s="15" t="s">
        <v>0</v>
      </c>
      <c r="I162" s="18"/>
      <c r="J162" s="18"/>
      <c r="K162" s="15" t="s">
        <v>295</v>
      </c>
      <c r="L162" s="20">
        <v>125212203106.21001</v>
      </c>
      <c r="M162" s="18"/>
      <c r="N162" s="18"/>
      <c r="O162" s="15" t="s">
        <v>150</v>
      </c>
      <c r="P162" s="15" t="s">
        <v>151</v>
      </c>
      <c r="Q162" s="15" t="s">
        <v>1</v>
      </c>
    </row>
    <row r="163" spans="1:17" ht="30" x14ac:dyDescent="0.25">
      <c r="A163" s="15">
        <v>159</v>
      </c>
      <c r="B163" s="47"/>
      <c r="C163" s="16">
        <v>46293</v>
      </c>
      <c r="D163" s="18"/>
      <c r="E163" s="15" t="s">
        <v>4</v>
      </c>
      <c r="F163" s="17" t="s">
        <v>296</v>
      </c>
      <c r="G163" s="15" t="s">
        <v>87</v>
      </c>
      <c r="H163" s="15" t="s">
        <v>2</v>
      </c>
      <c r="I163" s="18"/>
      <c r="J163" s="18"/>
      <c r="K163" s="15" t="s">
        <v>297</v>
      </c>
      <c r="L163" s="18"/>
      <c r="M163" s="18"/>
      <c r="N163" s="18"/>
      <c r="O163" s="15" t="s">
        <v>123</v>
      </c>
      <c r="P163" s="15" t="s">
        <v>298</v>
      </c>
      <c r="Q163" s="15" t="s">
        <v>1</v>
      </c>
    </row>
    <row r="164" spans="1:17" ht="30" x14ac:dyDescent="0.25">
      <c r="A164" s="15">
        <v>160</v>
      </c>
      <c r="B164" s="47" t="s">
        <v>299</v>
      </c>
      <c r="C164" s="16">
        <v>46276</v>
      </c>
      <c r="D164" s="16">
        <v>46283</v>
      </c>
      <c r="E164" s="15" t="s">
        <v>38</v>
      </c>
      <c r="F164" s="17" t="s">
        <v>544</v>
      </c>
      <c r="G164" s="18"/>
      <c r="H164" s="15" t="s">
        <v>0</v>
      </c>
      <c r="I164" s="18"/>
      <c r="J164" s="18"/>
      <c r="K164" s="18"/>
      <c r="L164" s="18"/>
      <c r="M164" s="18"/>
      <c r="N164" s="18"/>
      <c r="O164" s="15" t="s">
        <v>300</v>
      </c>
      <c r="P164" s="15" t="s">
        <v>301</v>
      </c>
      <c r="Q164" s="15" t="s">
        <v>1</v>
      </c>
    </row>
    <row r="165" spans="1:17" x14ac:dyDescent="0.25">
      <c r="A165" s="15">
        <v>161</v>
      </c>
      <c r="B165" s="47"/>
      <c r="C165" s="16">
        <v>46276</v>
      </c>
      <c r="D165" s="16">
        <v>46283</v>
      </c>
      <c r="E165" s="15" t="s">
        <v>107</v>
      </c>
      <c r="F165" s="17" t="s">
        <v>545</v>
      </c>
      <c r="G165" s="15" t="s">
        <v>28</v>
      </c>
      <c r="H165" s="15" t="s">
        <v>0</v>
      </c>
      <c r="I165" s="18"/>
      <c r="J165" s="18"/>
      <c r="K165" s="15" t="s">
        <v>302</v>
      </c>
      <c r="L165" s="18"/>
      <c r="M165" s="15" t="s">
        <v>53</v>
      </c>
      <c r="N165" s="18"/>
      <c r="O165" s="15" t="s">
        <v>303</v>
      </c>
      <c r="P165" s="15" t="s">
        <v>304</v>
      </c>
      <c r="Q165" s="15" t="s">
        <v>1</v>
      </c>
    </row>
    <row r="166" spans="1:17" ht="30" x14ac:dyDescent="0.25">
      <c r="A166" s="15">
        <v>162</v>
      </c>
      <c r="B166" s="47"/>
      <c r="C166" s="16">
        <v>46276</v>
      </c>
      <c r="D166" s="16">
        <v>46283</v>
      </c>
      <c r="E166" s="15" t="s">
        <v>4</v>
      </c>
      <c r="F166" s="17" t="s">
        <v>305</v>
      </c>
      <c r="G166" s="18"/>
      <c r="H166" s="15" t="s">
        <v>0</v>
      </c>
      <c r="I166" s="18"/>
      <c r="J166" s="15">
        <v>80</v>
      </c>
      <c r="K166" s="18"/>
      <c r="L166" s="18"/>
      <c r="M166" s="18"/>
      <c r="N166" s="18"/>
      <c r="O166" s="15" t="s">
        <v>306</v>
      </c>
      <c r="P166" s="15" t="s">
        <v>307</v>
      </c>
      <c r="Q166" s="15" t="s">
        <v>1</v>
      </c>
    </row>
    <row r="167" spans="1:17" ht="30" x14ac:dyDescent="0.25">
      <c r="A167" s="15">
        <v>163</v>
      </c>
      <c r="B167" s="47" t="s">
        <v>308</v>
      </c>
      <c r="C167" s="16">
        <v>46276</v>
      </c>
      <c r="D167" s="18"/>
      <c r="E167" s="37" t="s">
        <v>127</v>
      </c>
      <c r="F167" s="36" t="s">
        <v>546</v>
      </c>
      <c r="G167" s="38"/>
      <c r="H167" s="37" t="s">
        <v>0</v>
      </c>
      <c r="I167" s="38"/>
      <c r="J167" s="38"/>
      <c r="K167" s="38"/>
      <c r="L167" s="38"/>
      <c r="M167" s="38"/>
      <c r="N167" s="38"/>
      <c r="O167" s="37" t="s">
        <v>13</v>
      </c>
      <c r="P167" s="37" t="s">
        <v>309</v>
      </c>
      <c r="Q167" s="37" t="s">
        <v>194</v>
      </c>
    </row>
    <row r="168" spans="1:17" ht="30" x14ac:dyDescent="0.25">
      <c r="A168" s="15">
        <v>164</v>
      </c>
      <c r="B168" s="47"/>
      <c r="C168" s="16">
        <v>46276</v>
      </c>
      <c r="D168" s="18"/>
      <c r="E168" s="37" t="s">
        <v>279</v>
      </c>
      <c r="F168" s="36" t="s">
        <v>547</v>
      </c>
      <c r="G168" s="38"/>
      <c r="H168" s="37" t="s">
        <v>0</v>
      </c>
      <c r="I168" s="38"/>
      <c r="J168" s="38"/>
      <c r="K168" s="38"/>
      <c r="L168" s="38"/>
      <c r="M168" s="38"/>
      <c r="N168" s="38"/>
      <c r="O168" s="37" t="s">
        <v>13</v>
      </c>
      <c r="P168" s="37" t="s">
        <v>309</v>
      </c>
      <c r="Q168" s="37" t="s">
        <v>194</v>
      </c>
    </row>
    <row r="169" spans="1:17" x14ac:dyDescent="0.25">
      <c r="A169" s="15">
        <v>165</v>
      </c>
      <c r="B169" s="47"/>
      <c r="C169" s="16">
        <v>46276</v>
      </c>
      <c r="D169" s="16">
        <v>46295</v>
      </c>
      <c r="E169" s="15" t="s">
        <v>279</v>
      </c>
      <c r="F169" s="17" t="s">
        <v>548</v>
      </c>
      <c r="G169" s="18"/>
      <c r="H169" s="15" t="s">
        <v>0</v>
      </c>
      <c r="I169" s="18"/>
      <c r="J169" s="18"/>
      <c r="K169" s="18"/>
      <c r="L169" s="18"/>
      <c r="M169" s="18"/>
      <c r="N169" s="18"/>
      <c r="O169" s="15" t="s">
        <v>196</v>
      </c>
      <c r="P169" s="15" t="s">
        <v>44</v>
      </c>
      <c r="Q169" s="15" t="s">
        <v>194</v>
      </c>
    </row>
    <row r="170" spans="1:17" ht="30" x14ac:dyDescent="0.25">
      <c r="A170" s="15">
        <v>166</v>
      </c>
      <c r="B170" s="47"/>
      <c r="C170" s="16">
        <v>46276</v>
      </c>
      <c r="D170" s="16">
        <v>46295</v>
      </c>
      <c r="E170" s="15" t="s">
        <v>107</v>
      </c>
      <c r="F170" s="17" t="s">
        <v>549</v>
      </c>
      <c r="G170" s="18"/>
      <c r="H170" s="15" t="s">
        <v>0</v>
      </c>
      <c r="I170" s="18"/>
      <c r="J170" s="18"/>
      <c r="K170" s="15" t="s">
        <v>310</v>
      </c>
      <c r="L170" s="18"/>
      <c r="M170" s="15" t="s">
        <v>311</v>
      </c>
      <c r="N170" s="18"/>
      <c r="O170" s="15" t="s">
        <v>43</v>
      </c>
      <c r="P170" s="15" t="s">
        <v>312</v>
      </c>
      <c r="Q170" s="15" t="s">
        <v>194</v>
      </c>
    </row>
    <row r="171" spans="1:17" x14ac:dyDescent="0.25">
      <c r="A171" s="15">
        <v>167</v>
      </c>
      <c r="B171" s="47"/>
      <c r="C171" s="16">
        <v>46276</v>
      </c>
      <c r="D171" s="16">
        <v>46295</v>
      </c>
      <c r="E171" s="15" t="s">
        <v>118</v>
      </c>
      <c r="F171" s="17" t="s">
        <v>550</v>
      </c>
      <c r="G171" s="18"/>
      <c r="H171" s="15" t="s">
        <v>0</v>
      </c>
      <c r="I171" s="18"/>
      <c r="J171" s="18"/>
      <c r="K171" s="15" t="s">
        <v>313</v>
      </c>
      <c r="L171" s="18"/>
      <c r="M171" s="15" t="s">
        <v>12</v>
      </c>
      <c r="N171" s="18"/>
      <c r="O171" s="15" t="s">
        <v>27</v>
      </c>
      <c r="P171" s="15" t="s">
        <v>314</v>
      </c>
      <c r="Q171" s="15" t="s">
        <v>194</v>
      </c>
    </row>
    <row r="172" spans="1:17" x14ac:dyDescent="0.25">
      <c r="A172" s="15">
        <v>168</v>
      </c>
      <c r="B172" s="47"/>
      <c r="C172" s="16">
        <v>46276</v>
      </c>
      <c r="D172" s="16">
        <v>46295</v>
      </c>
      <c r="E172" s="15" t="s">
        <v>98</v>
      </c>
      <c r="F172" s="17" t="s">
        <v>551</v>
      </c>
      <c r="G172" s="18"/>
      <c r="H172" s="15" t="s">
        <v>0</v>
      </c>
      <c r="I172" s="18"/>
      <c r="J172" s="18"/>
      <c r="K172" s="15" t="s">
        <v>26</v>
      </c>
      <c r="L172" s="18"/>
      <c r="M172" s="15" t="s">
        <v>315</v>
      </c>
      <c r="N172" s="18"/>
      <c r="O172" s="15" t="s">
        <v>316</v>
      </c>
      <c r="P172" s="15" t="s">
        <v>317</v>
      </c>
      <c r="Q172" s="15" t="s">
        <v>194</v>
      </c>
    </row>
    <row r="173" spans="1:17" x14ac:dyDescent="0.25">
      <c r="A173" s="15">
        <v>169</v>
      </c>
      <c r="B173" s="47"/>
      <c r="C173" s="16">
        <v>46276</v>
      </c>
      <c r="D173" s="16">
        <v>46295</v>
      </c>
      <c r="E173" s="15" t="s">
        <v>69</v>
      </c>
      <c r="F173" s="17" t="s">
        <v>318</v>
      </c>
      <c r="G173" s="18"/>
      <c r="H173" s="15" t="s">
        <v>0</v>
      </c>
      <c r="I173" s="18"/>
      <c r="J173" s="18"/>
      <c r="K173" s="18"/>
      <c r="L173" s="18"/>
      <c r="M173" s="18"/>
      <c r="N173" s="18"/>
      <c r="O173" s="15" t="s">
        <v>319</v>
      </c>
      <c r="P173" s="15" t="s">
        <v>320</v>
      </c>
      <c r="Q173" s="15" t="s">
        <v>194</v>
      </c>
    </row>
    <row r="174" spans="1:17" x14ac:dyDescent="0.25">
      <c r="A174" s="15">
        <v>170</v>
      </c>
      <c r="B174" s="47"/>
      <c r="C174" s="16">
        <v>46279</v>
      </c>
      <c r="D174" s="18"/>
      <c r="E174" s="15" t="s">
        <v>68</v>
      </c>
      <c r="F174" s="17" t="s">
        <v>321</v>
      </c>
      <c r="G174" s="18"/>
      <c r="H174" s="15" t="s">
        <v>2</v>
      </c>
      <c r="I174" s="18"/>
      <c r="J174" s="18"/>
      <c r="K174" s="15" t="s">
        <v>322</v>
      </c>
      <c r="L174" s="18"/>
      <c r="M174" s="18"/>
      <c r="N174" s="18"/>
      <c r="O174" s="15" t="s">
        <v>323</v>
      </c>
      <c r="P174" s="15" t="s">
        <v>48</v>
      </c>
      <c r="Q174" s="15" t="s">
        <v>194</v>
      </c>
    </row>
    <row r="175" spans="1:17" x14ac:dyDescent="0.25">
      <c r="A175" s="15">
        <v>171</v>
      </c>
      <c r="B175" s="47"/>
      <c r="C175" s="16">
        <v>46287</v>
      </c>
      <c r="D175" s="16">
        <v>46295</v>
      </c>
      <c r="E175" s="15" t="s">
        <v>118</v>
      </c>
      <c r="F175" s="17" t="s">
        <v>552</v>
      </c>
      <c r="G175" s="18"/>
      <c r="H175" s="15" t="s">
        <v>0</v>
      </c>
      <c r="I175" s="18"/>
      <c r="J175" s="18"/>
      <c r="K175" s="15" t="s">
        <v>324</v>
      </c>
      <c r="L175" s="18"/>
      <c r="M175" s="15" t="s">
        <v>12</v>
      </c>
      <c r="N175" s="18"/>
      <c r="O175" s="15" t="s">
        <v>325</v>
      </c>
      <c r="P175" s="15" t="s">
        <v>314</v>
      </c>
      <c r="Q175" s="15" t="s">
        <v>194</v>
      </c>
    </row>
    <row r="176" spans="1:17" x14ac:dyDescent="0.25">
      <c r="A176" s="15">
        <v>172</v>
      </c>
      <c r="B176" s="47"/>
      <c r="C176" s="16">
        <v>46287</v>
      </c>
      <c r="D176" s="16">
        <v>46295</v>
      </c>
      <c r="E176" s="15" t="s">
        <v>107</v>
      </c>
      <c r="F176" s="17" t="s">
        <v>553</v>
      </c>
      <c r="G176" s="18"/>
      <c r="H176" s="15" t="s">
        <v>0</v>
      </c>
      <c r="I176" s="18"/>
      <c r="J176" s="18"/>
      <c r="K176" s="15" t="s">
        <v>326</v>
      </c>
      <c r="L176" s="18"/>
      <c r="M176" s="18"/>
      <c r="N176" s="18"/>
      <c r="O176" s="15" t="s">
        <v>104</v>
      </c>
      <c r="P176" s="15" t="s">
        <v>314</v>
      </c>
      <c r="Q176" s="15" t="s">
        <v>194</v>
      </c>
    </row>
    <row r="177" spans="1:17" x14ac:dyDescent="0.25">
      <c r="A177" s="15">
        <v>173</v>
      </c>
      <c r="B177" s="47"/>
      <c r="C177" s="16">
        <v>46287</v>
      </c>
      <c r="D177" s="16">
        <v>46295</v>
      </c>
      <c r="E177" s="15" t="s">
        <v>118</v>
      </c>
      <c r="F177" s="17" t="s">
        <v>554</v>
      </c>
      <c r="G177" s="18"/>
      <c r="H177" s="15" t="s">
        <v>0</v>
      </c>
      <c r="I177" s="18"/>
      <c r="J177" s="18"/>
      <c r="K177" s="18"/>
      <c r="L177" s="18"/>
      <c r="M177" s="18"/>
      <c r="N177" s="18"/>
      <c r="O177" s="15" t="s">
        <v>104</v>
      </c>
      <c r="P177" s="15" t="s">
        <v>314</v>
      </c>
      <c r="Q177" s="15" t="s">
        <v>194</v>
      </c>
    </row>
    <row r="178" spans="1:17" x14ac:dyDescent="0.25">
      <c r="A178" s="15">
        <v>174</v>
      </c>
      <c r="B178" s="47"/>
      <c r="C178" s="16">
        <v>46287</v>
      </c>
      <c r="D178" s="16">
        <v>46295</v>
      </c>
      <c r="E178" s="15" t="s">
        <v>279</v>
      </c>
      <c r="F178" s="17" t="s">
        <v>555</v>
      </c>
      <c r="G178" s="18"/>
      <c r="H178" s="15" t="s">
        <v>0</v>
      </c>
      <c r="I178" s="18"/>
      <c r="J178" s="18"/>
      <c r="K178" s="18"/>
      <c r="L178" s="18"/>
      <c r="M178" s="18"/>
      <c r="N178" s="18"/>
      <c r="O178" s="15" t="s">
        <v>327</v>
      </c>
      <c r="P178" s="15" t="s">
        <v>328</v>
      </c>
      <c r="Q178" s="15" t="s">
        <v>194</v>
      </c>
    </row>
    <row r="179" spans="1:17" x14ac:dyDescent="0.25">
      <c r="A179" s="15">
        <v>175</v>
      </c>
      <c r="B179" s="47"/>
      <c r="C179" s="16">
        <v>46287</v>
      </c>
      <c r="D179" s="18"/>
      <c r="E179" s="15" t="s">
        <v>68</v>
      </c>
      <c r="F179" s="17" t="s">
        <v>329</v>
      </c>
      <c r="G179" s="18"/>
      <c r="H179" s="15" t="s">
        <v>2</v>
      </c>
      <c r="I179" s="18"/>
      <c r="J179" s="18"/>
      <c r="K179" s="15" t="s">
        <v>322</v>
      </c>
      <c r="L179" s="18"/>
      <c r="M179" s="18"/>
      <c r="N179" s="18"/>
      <c r="O179" s="15" t="s">
        <v>323</v>
      </c>
      <c r="P179" s="15" t="s">
        <v>48</v>
      </c>
      <c r="Q179" s="15" t="s">
        <v>194</v>
      </c>
    </row>
    <row r="180" spans="1:17" x14ac:dyDescent="0.25">
      <c r="A180" s="15">
        <v>176</v>
      </c>
      <c r="B180" s="47"/>
      <c r="C180" s="16">
        <v>46294</v>
      </c>
      <c r="D180" s="16">
        <v>46295</v>
      </c>
      <c r="E180" s="15" t="s">
        <v>231</v>
      </c>
      <c r="F180" s="17" t="s">
        <v>556</v>
      </c>
      <c r="G180" s="18"/>
      <c r="H180" s="15" t="s">
        <v>2</v>
      </c>
      <c r="I180" s="18"/>
      <c r="J180" s="18"/>
      <c r="K180" s="18"/>
      <c r="L180" s="18"/>
      <c r="M180" s="18"/>
      <c r="N180" s="18"/>
      <c r="O180" s="15" t="s">
        <v>330</v>
      </c>
      <c r="P180" s="15" t="s">
        <v>314</v>
      </c>
      <c r="Q180" s="15" t="s">
        <v>194</v>
      </c>
    </row>
    <row r="181" spans="1:17" x14ac:dyDescent="0.25">
      <c r="A181" s="15">
        <v>177</v>
      </c>
      <c r="B181" s="47"/>
      <c r="C181" s="16">
        <v>46294</v>
      </c>
      <c r="D181" s="16">
        <v>46295</v>
      </c>
      <c r="E181" s="15" t="s">
        <v>107</v>
      </c>
      <c r="F181" s="17" t="s">
        <v>557</v>
      </c>
      <c r="G181" s="18"/>
      <c r="H181" s="15" t="s">
        <v>0</v>
      </c>
      <c r="I181" s="18"/>
      <c r="J181" s="18"/>
      <c r="K181" s="18"/>
      <c r="L181" s="18"/>
      <c r="M181" s="18"/>
      <c r="N181" s="18"/>
      <c r="O181" s="15" t="s">
        <v>331</v>
      </c>
      <c r="P181" s="15" t="s">
        <v>332</v>
      </c>
      <c r="Q181" s="15" t="s">
        <v>194</v>
      </c>
    </row>
    <row r="182" spans="1:17" ht="30" x14ac:dyDescent="0.25">
      <c r="A182" s="15">
        <v>178</v>
      </c>
      <c r="B182" s="47" t="s">
        <v>57</v>
      </c>
      <c r="C182" s="16">
        <v>46276</v>
      </c>
      <c r="D182" s="16">
        <v>46290</v>
      </c>
      <c r="E182" s="15" t="s">
        <v>21</v>
      </c>
      <c r="F182" s="17" t="s">
        <v>558</v>
      </c>
      <c r="G182" s="18"/>
      <c r="H182" s="15" t="s">
        <v>0</v>
      </c>
      <c r="I182" s="18"/>
      <c r="J182" s="18"/>
      <c r="K182" s="18"/>
      <c r="L182" s="18"/>
      <c r="M182" s="18"/>
      <c r="N182" s="18"/>
      <c r="O182" s="15" t="s">
        <v>333</v>
      </c>
      <c r="P182" s="15" t="s">
        <v>334</v>
      </c>
      <c r="Q182" s="15" t="s">
        <v>194</v>
      </c>
    </row>
    <row r="183" spans="1:17" x14ac:dyDescent="0.25">
      <c r="A183" s="15">
        <v>179</v>
      </c>
      <c r="B183" s="47"/>
      <c r="C183" s="16">
        <v>46276</v>
      </c>
      <c r="D183" s="16">
        <v>46290</v>
      </c>
      <c r="E183" s="15" t="s">
        <v>21</v>
      </c>
      <c r="F183" s="17" t="s">
        <v>559</v>
      </c>
      <c r="G183" s="18"/>
      <c r="H183" s="15" t="s">
        <v>0</v>
      </c>
      <c r="I183" s="18"/>
      <c r="J183" s="18"/>
      <c r="K183" s="18"/>
      <c r="L183" s="18"/>
      <c r="M183" s="18"/>
      <c r="N183" s="18"/>
      <c r="O183" s="15" t="s">
        <v>335</v>
      </c>
      <c r="P183" s="15" t="s">
        <v>44</v>
      </c>
      <c r="Q183" s="15" t="s">
        <v>194</v>
      </c>
    </row>
    <row r="184" spans="1:17" x14ac:dyDescent="0.25">
      <c r="A184" s="15">
        <v>180</v>
      </c>
      <c r="B184" s="47"/>
      <c r="C184" s="16">
        <v>46276</v>
      </c>
      <c r="D184" s="16">
        <v>46290</v>
      </c>
      <c r="E184" s="15" t="s">
        <v>36</v>
      </c>
      <c r="F184" s="17" t="s">
        <v>560</v>
      </c>
      <c r="G184" s="18"/>
      <c r="H184" s="15" t="s">
        <v>0</v>
      </c>
      <c r="I184" s="18"/>
      <c r="J184" s="18"/>
      <c r="K184" s="18"/>
      <c r="L184" s="18"/>
      <c r="M184" s="18"/>
      <c r="N184" s="18"/>
      <c r="O184" s="15" t="s">
        <v>335</v>
      </c>
      <c r="P184" s="15" t="s">
        <v>24</v>
      </c>
      <c r="Q184" s="15" t="s">
        <v>194</v>
      </c>
    </row>
    <row r="185" spans="1:17" x14ac:dyDescent="0.25">
      <c r="A185" s="15">
        <v>181</v>
      </c>
      <c r="B185" s="47"/>
      <c r="C185" s="16">
        <v>46276</v>
      </c>
      <c r="D185" s="16">
        <v>46290</v>
      </c>
      <c r="E185" s="15" t="s">
        <v>231</v>
      </c>
      <c r="F185" s="17" t="s">
        <v>561</v>
      </c>
      <c r="G185" s="18"/>
      <c r="H185" s="15" t="s">
        <v>2</v>
      </c>
      <c r="I185" s="18"/>
      <c r="J185" s="18"/>
      <c r="K185" s="15" t="s">
        <v>336</v>
      </c>
      <c r="L185" s="18"/>
      <c r="M185" s="18"/>
      <c r="N185" s="18"/>
      <c r="O185" s="15" t="s">
        <v>31</v>
      </c>
      <c r="P185" s="15" t="s">
        <v>337</v>
      </c>
      <c r="Q185" s="15" t="s">
        <v>194</v>
      </c>
    </row>
    <row r="186" spans="1:17" ht="30" x14ac:dyDescent="0.25">
      <c r="A186" s="15">
        <v>182</v>
      </c>
      <c r="B186" s="47"/>
      <c r="C186" s="16">
        <v>46276</v>
      </c>
      <c r="D186" s="16">
        <v>46290</v>
      </c>
      <c r="E186" s="15" t="s">
        <v>127</v>
      </c>
      <c r="F186" s="17" t="s">
        <v>562</v>
      </c>
      <c r="G186" s="18"/>
      <c r="H186" s="15" t="s">
        <v>0</v>
      </c>
      <c r="I186" s="18"/>
      <c r="J186" s="18"/>
      <c r="K186" s="18"/>
      <c r="L186" s="18"/>
      <c r="M186" s="15" t="s">
        <v>54</v>
      </c>
      <c r="N186" s="18"/>
      <c r="O186" s="15" t="s">
        <v>338</v>
      </c>
      <c r="P186" s="15" t="s">
        <v>339</v>
      </c>
      <c r="Q186" s="15" t="s">
        <v>194</v>
      </c>
    </row>
    <row r="187" spans="1:17" x14ac:dyDescent="0.25">
      <c r="A187" s="15">
        <v>183</v>
      </c>
      <c r="B187" s="47"/>
      <c r="C187" s="16">
        <v>46276</v>
      </c>
      <c r="D187" s="18"/>
      <c r="E187" s="37" t="s">
        <v>127</v>
      </c>
      <c r="F187" s="36" t="s">
        <v>563</v>
      </c>
      <c r="G187" s="38"/>
      <c r="H187" s="37" t="s">
        <v>0</v>
      </c>
      <c r="I187" s="38"/>
      <c r="J187" s="38"/>
      <c r="K187" s="38"/>
      <c r="L187" s="38"/>
      <c r="M187" s="38"/>
      <c r="N187" s="38"/>
      <c r="O187" s="37" t="s">
        <v>13</v>
      </c>
      <c r="P187" s="37" t="s">
        <v>340</v>
      </c>
      <c r="Q187" s="37" t="s">
        <v>194</v>
      </c>
    </row>
    <row r="188" spans="1:17" x14ac:dyDescent="0.25">
      <c r="A188" s="15">
        <v>184</v>
      </c>
      <c r="B188" s="47"/>
      <c r="C188" s="16">
        <v>46276</v>
      </c>
      <c r="D188" s="16">
        <v>46290</v>
      </c>
      <c r="E188" s="15" t="s">
        <v>127</v>
      </c>
      <c r="F188" s="17" t="s">
        <v>564</v>
      </c>
      <c r="G188" s="18"/>
      <c r="H188" s="15" t="s">
        <v>0</v>
      </c>
      <c r="I188" s="18"/>
      <c r="J188" s="18"/>
      <c r="K188" s="18"/>
      <c r="L188" s="18"/>
      <c r="M188" s="18"/>
      <c r="N188" s="18"/>
      <c r="O188" s="15" t="s">
        <v>13</v>
      </c>
      <c r="P188" s="15" t="s">
        <v>341</v>
      </c>
      <c r="Q188" s="15" t="s">
        <v>194</v>
      </c>
    </row>
    <row r="189" spans="1:17" x14ac:dyDescent="0.25">
      <c r="A189" s="15">
        <v>185</v>
      </c>
      <c r="B189" s="47"/>
      <c r="C189" s="29">
        <v>46276</v>
      </c>
      <c r="D189" s="18"/>
      <c r="E189" s="37" t="s">
        <v>127</v>
      </c>
      <c r="F189" s="36" t="s">
        <v>565</v>
      </c>
      <c r="G189" s="38"/>
      <c r="H189" s="37" t="s">
        <v>0</v>
      </c>
      <c r="I189" s="38"/>
      <c r="J189" s="38"/>
      <c r="K189" s="38"/>
      <c r="L189" s="38"/>
      <c r="M189" s="38"/>
      <c r="N189" s="38"/>
      <c r="O189" s="37" t="s">
        <v>342</v>
      </c>
      <c r="P189" s="37" t="s">
        <v>340</v>
      </c>
      <c r="Q189" s="37" t="s">
        <v>194</v>
      </c>
    </row>
    <row r="190" spans="1:17" x14ac:dyDescent="0.25">
      <c r="A190" s="15">
        <v>186</v>
      </c>
      <c r="B190" s="47" t="s">
        <v>62</v>
      </c>
      <c r="C190" s="16">
        <v>46279</v>
      </c>
      <c r="D190" s="16">
        <v>46280</v>
      </c>
      <c r="E190" s="15" t="s">
        <v>118</v>
      </c>
      <c r="F190" s="17" t="s">
        <v>566</v>
      </c>
      <c r="G190" s="18"/>
      <c r="H190" s="15" t="s">
        <v>0</v>
      </c>
      <c r="I190" s="18"/>
      <c r="J190" s="18"/>
      <c r="K190" s="15" t="s">
        <v>26</v>
      </c>
      <c r="L190" s="18"/>
      <c r="M190" s="18"/>
      <c r="N190" s="18"/>
      <c r="O190" s="15" t="s">
        <v>343</v>
      </c>
      <c r="P190" s="15" t="s">
        <v>344</v>
      </c>
      <c r="Q190" s="15" t="s">
        <v>194</v>
      </c>
    </row>
    <row r="191" spans="1:17" ht="25.5" x14ac:dyDescent="0.25">
      <c r="A191" s="15">
        <v>187</v>
      </c>
      <c r="B191" s="47"/>
      <c r="C191" s="16">
        <v>46279</v>
      </c>
      <c r="D191" s="16">
        <v>46280</v>
      </c>
      <c r="E191" s="15" t="s">
        <v>98</v>
      </c>
      <c r="F191" s="17" t="s">
        <v>567</v>
      </c>
      <c r="G191" s="15" t="s">
        <v>28</v>
      </c>
      <c r="H191" s="15" t="s">
        <v>0</v>
      </c>
      <c r="I191" s="18"/>
      <c r="J191" s="18"/>
      <c r="K191" s="15" t="s">
        <v>26</v>
      </c>
      <c r="L191" s="18"/>
      <c r="M191" s="18"/>
      <c r="N191" s="18"/>
      <c r="O191" s="15" t="s">
        <v>345</v>
      </c>
      <c r="P191" s="18" t="s">
        <v>346</v>
      </c>
      <c r="Q191" s="15" t="s">
        <v>194</v>
      </c>
    </row>
    <row r="192" spans="1:17" x14ac:dyDescent="0.25">
      <c r="A192" s="15">
        <v>188</v>
      </c>
      <c r="B192" s="47"/>
      <c r="C192" s="16">
        <v>46279</v>
      </c>
      <c r="D192" s="16">
        <v>46290</v>
      </c>
      <c r="E192" s="37" t="s">
        <v>118</v>
      </c>
      <c r="F192" s="36" t="s">
        <v>568</v>
      </c>
      <c r="G192" s="37" t="s">
        <v>28</v>
      </c>
      <c r="H192" s="37" t="s">
        <v>0</v>
      </c>
      <c r="I192" s="38"/>
      <c r="J192" s="38"/>
      <c r="K192" s="38"/>
      <c r="L192" s="38"/>
      <c r="M192" s="38"/>
      <c r="N192" s="38"/>
      <c r="O192" s="37" t="s">
        <v>347</v>
      </c>
      <c r="P192" s="37" t="s">
        <v>348</v>
      </c>
      <c r="Q192" s="37" t="s">
        <v>194</v>
      </c>
    </row>
    <row r="193" spans="1:17" ht="25.5" x14ac:dyDescent="0.25">
      <c r="A193" s="15">
        <v>189</v>
      </c>
      <c r="B193" s="47"/>
      <c r="C193" s="16">
        <v>46279</v>
      </c>
      <c r="D193" s="16">
        <v>46280</v>
      </c>
      <c r="E193" s="15" t="s">
        <v>98</v>
      </c>
      <c r="F193" s="17" t="s">
        <v>569</v>
      </c>
      <c r="G193" s="18"/>
      <c r="H193" s="15" t="s">
        <v>0</v>
      </c>
      <c r="I193" s="18"/>
      <c r="J193" s="18"/>
      <c r="K193" s="18"/>
      <c r="L193" s="18"/>
      <c r="M193" s="18"/>
      <c r="N193" s="18"/>
      <c r="O193" s="15" t="s">
        <v>345</v>
      </c>
      <c r="P193" s="18" t="s">
        <v>346</v>
      </c>
      <c r="Q193" s="15" t="s">
        <v>194</v>
      </c>
    </row>
    <row r="194" spans="1:17" ht="25.5" x14ac:dyDescent="0.25">
      <c r="A194" s="15">
        <v>190</v>
      </c>
      <c r="B194" s="47"/>
      <c r="C194" s="16">
        <v>46279</v>
      </c>
      <c r="D194" s="16">
        <v>46280</v>
      </c>
      <c r="E194" s="15" t="s">
        <v>118</v>
      </c>
      <c r="F194" s="17" t="s">
        <v>570</v>
      </c>
      <c r="G194" s="18"/>
      <c r="H194" s="15" t="s">
        <v>0</v>
      </c>
      <c r="I194" s="18"/>
      <c r="J194" s="18"/>
      <c r="K194" s="15" t="s">
        <v>349</v>
      </c>
      <c r="L194" s="18"/>
      <c r="M194" s="18"/>
      <c r="N194" s="18"/>
      <c r="O194" s="15" t="s">
        <v>345</v>
      </c>
      <c r="P194" s="18" t="s">
        <v>346</v>
      </c>
      <c r="Q194" s="15" t="s">
        <v>194</v>
      </c>
    </row>
    <row r="195" spans="1:17" ht="25.5" x14ac:dyDescent="0.25">
      <c r="A195" s="15">
        <v>191</v>
      </c>
      <c r="B195" s="47"/>
      <c r="C195" s="16">
        <v>46279</v>
      </c>
      <c r="D195" s="16">
        <v>46280</v>
      </c>
      <c r="E195" s="15" t="s">
        <v>107</v>
      </c>
      <c r="F195" s="17" t="s">
        <v>571</v>
      </c>
      <c r="G195" s="15" t="s">
        <v>28</v>
      </c>
      <c r="H195" s="15" t="s">
        <v>0</v>
      </c>
      <c r="I195" s="18"/>
      <c r="J195" s="18"/>
      <c r="K195" s="15" t="s">
        <v>350</v>
      </c>
      <c r="L195" s="18"/>
      <c r="M195" s="15" t="s">
        <v>64</v>
      </c>
      <c r="N195" s="18"/>
      <c r="O195" s="15" t="s">
        <v>241</v>
      </c>
      <c r="P195" s="18" t="s">
        <v>346</v>
      </c>
      <c r="Q195" s="15" t="s">
        <v>194</v>
      </c>
    </row>
    <row r="196" spans="1:17" ht="25.5" x14ac:dyDescent="0.25">
      <c r="A196" s="15">
        <v>192</v>
      </c>
      <c r="B196" s="47"/>
      <c r="C196" s="16">
        <v>46279</v>
      </c>
      <c r="D196" s="16">
        <v>46280</v>
      </c>
      <c r="E196" s="15" t="s">
        <v>118</v>
      </c>
      <c r="F196" s="17" t="s">
        <v>572</v>
      </c>
      <c r="G196" s="18"/>
      <c r="H196" s="15" t="s">
        <v>0</v>
      </c>
      <c r="I196" s="18"/>
      <c r="J196" s="18"/>
      <c r="K196" s="15" t="s">
        <v>351</v>
      </c>
      <c r="L196" s="18"/>
      <c r="M196" s="18"/>
      <c r="N196" s="18"/>
      <c r="O196" s="15" t="s">
        <v>241</v>
      </c>
      <c r="P196" s="18" t="s">
        <v>346</v>
      </c>
      <c r="Q196" s="15" t="s">
        <v>194</v>
      </c>
    </row>
    <row r="197" spans="1:17" ht="25.5" x14ac:dyDescent="0.25">
      <c r="A197" s="15">
        <v>193</v>
      </c>
      <c r="B197" s="47"/>
      <c r="C197" s="16">
        <v>46279</v>
      </c>
      <c r="D197" s="16">
        <v>46280</v>
      </c>
      <c r="E197" s="15" t="s">
        <v>118</v>
      </c>
      <c r="F197" s="17" t="s">
        <v>573</v>
      </c>
      <c r="G197" s="18"/>
      <c r="H197" s="15" t="s">
        <v>0</v>
      </c>
      <c r="I197" s="18"/>
      <c r="J197" s="18"/>
      <c r="K197" s="15" t="s">
        <v>352</v>
      </c>
      <c r="L197" s="18"/>
      <c r="M197" s="15" t="s">
        <v>12</v>
      </c>
      <c r="N197" s="18"/>
      <c r="O197" s="15" t="s">
        <v>325</v>
      </c>
      <c r="P197" s="18" t="s">
        <v>346</v>
      </c>
      <c r="Q197" s="15" t="s">
        <v>194</v>
      </c>
    </row>
    <row r="198" spans="1:17" ht="25.5" x14ac:dyDescent="0.25">
      <c r="A198" s="15">
        <v>194</v>
      </c>
      <c r="B198" s="47"/>
      <c r="C198" s="16">
        <v>46279</v>
      </c>
      <c r="D198" s="16">
        <v>46280</v>
      </c>
      <c r="E198" s="15" t="s">
        <v>107</v>
      </c>
      <c r="F198" s="17" t="s">
        <v>574</v>
      </c>
      <c r="G198" s="18"/>
      <c r="H198" s="15" t="s">
        <v>0</v>
      </c>
      <c r="I198" s="18"/>
      <c r="J198" s="18"/>
      <c r="K198" s="15" t="s">
        <v>353</v>
      </c>
      <c r="L198" s="18"/>
      <c r="M198" s="15" t="s">
        <v>354</v>
      </c>
      <c r="N198" s="18"/>
      <c r="O198" s="15" t="s">
        <v>325</v>
      </c>
      <c r="P198" s="18" t="s">
        <v>346</v>
      </c>
      <c r="Q198" s="15" t="s">
        <v>194</v>
      </c>
    </row>
    <row r="199" spans="1:17" ht="25.5" x14ac:dyDescent="0.25">
      <c r="A199" s="15">
        <v>195</v>
      </c>
      <c r="B199" s="47"/>
      <c r="C199" s="16">
        <v>46279</v>
      </c>
      <c r="D199" s="16">
        <v>46280</v>
      </c>
      <c r="E199" s="15" t="s">
        <v>118</v>
      </c>
      <c r="F199" s="17" t="s">
        <v>575</v>
      </c>
      <c r="G199" s="18"/>
      <c r="H199" s="15" t="s">
        <v>0</v>
      </c>
      <c r="I199" s="18"/>
      <c r="J199" s="18"/>
      <c r="K199" s="15" t="s">
        <v>355</v>
      </c>
      <c r="L199" s="18"/>
      <c r="M199" s="18"/>
      <c r="N199" s="18"/>
      <c r="O199" s="15" t="s">
        <v>241</v>
      </c>
      <c r="P199" s="18" t="s">
        <v>346</v>
      </c>
      <c r="Q199" s="15" t="s">
        <v>194</v>
      </c>
    </row>
    <row r="200" spans="1:17" ht="38.25" x14ac:dyDescent="0.25">
      <c r="A200" s="15">
        <v>196</v>
      </c>
      <c r="B200" s="47"/>
      <c r="C200" s="16">
        <v>46279</v>
      </c>
      <c r="D200" s="16">
        <v>46280</v>
      </c>
      <c r="E200" s="15" t="s">
        <v>118</v>
      </c>
      <c r="F200" s="17" t="s">
        <v>576</v>
      </c>
      <c r="G200" s="18"/>
      <c r="H200" s="15" t="s">
        <v>0</v>
      </c>
      <c r="I200" s="18"/>
      <c r="J200" s="18"/>
      <c r="K200" s="15" t="s">
        <v>356</v>
      </c>
      <c r="L200" s="18"/>
      <c r="M200" s="18"/>
      <c r="N200" s="18"/>
      <c r="O200" s="15" t="s">
        <v>357</v>
      </c>
      <c r="P200" s="18" t="s">
        <v>358</v>
      </c>
      <c r="Q200" s="15" t="s">
        <v>194</v>
      </c>
    </row>
    <row r="201" spans="1:17" ht="25.5" x14ac:dyDescent="0.25">
      <c r="A201" s="15">
        <v>197</v>
      </c>
      <c r="B201" s="47"/>
      <c r="C201" s="16">
        <v>46279</v>
      </c>
      <c r="D201" s="16">
        <v>46290</v>
      </c>
      <c r="E201" s="15" t="s">
        <v>118</v>
      </c>
      <c r="F201" s="17" t="s">
        <v>577</v>
      </c>
      <c r="G201" s="15" t="s">
        <v>45</v>
      </c>
      <c r="H201" s="15" t="s">
        <v>0</v>
      </c>
      <c r="I201" s="18"/>
      <c r="J201" s="18"/>
      <c r="K201" s="15" t="s">
        <v>26</v>
      </c>
      <c r="L201" s="18"/>
      <c r="M201" s="18"/>
      <c r="N201" s="18"/>
      <c r="O201" s="15" t="s">
        <v>104</v>
      </c>
      <c r="P201" s="18" t="s">
        <v>346</v>
      </c>
      <c r="Q201" s="15" t="s">
        <v>194</v>
      </c>
    </row>
    <row r="202" spans="1:17" ht="30" x14ac:dyDescent="0.25">
      <c r="A202" s="15">
        <v>198</v>
      </c>
      <c r="B202" s="47"/>
      <c r="C202" s="16">
        <v>46279</v>
      </c>
      <c r="D202" s="16">
        <v>46280</v>
      </c>
      <c r="E202" s="15" t="s">
        <v>118</v>
      </c>
      <c r="F202" s="17" t="s">
        <v>578</v>
      </c>
      <c r="G202" s="18"/>
      <c r="H202" s="15" t="s">
        <v>0</v>
      </c>
      <c r="I202" s="18"/>
      <c r="J202" s="18"/>
      <c r="K202" s="15" t="s">
        <v>359</v>
      </c>
      <c r="L202" s="18"/>
      <c r="M202" s="15" t="s">
        <v>60</v>
      </c>
      <c r="N202" s="18"/>
      <c r="O202" s="15" t="s">
        <v>360</v>
      </c>
      <c r="P202" s="18" t="s">
        <v>346</v>
      </c>
      <c r="Q202" s="15" t="s">
        <v>194</v>
      </c>
    </row>
    <row r="203" spans="1:17" ht="30" x14ac:dyDescent="0.25">
      <c r="A203" s="15">
        <v>199</v>
      </c>
      <c r="B203" s="47"/>
      <c r="C203" s="16">
        <v>46279</v>
      </c>
      <c r="D203" s="16">
        <v>46290</v>
      </c>
      <c r="E203" s="15" t="s">
        <v>127</v>
      </c>
      <c r="F203" s="17" t="s">
        <v>579</v>
      </c>
      <c r="G203" s="15" t="s">
        <v>28</v>
      </c>
      <c r="H203" s="15" t="s">
        <v>0</v>
      </c>
      <c r="I203" s="18"/>
      <c r="J203" s="18"/>
      <c r="K203" s="15" t="s">
        <v>26</v>
      </c>
      <c r="L203" s="18"/>
      <c r="M203" s="18"/>
      <c r="N203" s="18"/>
      <c r="O203" s="15" t="s">
        <v>51</v>
      </c>
      <c r="P203" s="15" t="s">
        <v>361</v>
      </c>
      <c r="Q203" s="15" t="s">
        <v>194</v>
      </c>
    </row>
    <row r="204" spans="1:17" ht="25.5" x14ac:dyDescent="0.25">
      <c r="A204" s="15">
        <v>200</v>
      </c>
      <c r="B204" s="47"/>
      <c r="C204" s="16">
        <v>46279</v>
      </c>
      <c r="D204" s="16">
        <v>46280</v>
      </c>
      <c r="E204" s="15" t="s">
        <v>118</v>
      </c>
      <c r="F204" s="17" t="s">
        <v>580</v>
      </c>
      <c r="G204" s="18"/>
      <c r="H204" s="15" t="s">
        <v>0</v>
      </c>
      <c r="I204" s="18"/>
      <c r="J204" s="18"/>
      <c r="K204" s="15" t="s">
        <v>362</v>
      </c>
      <c r="L204" s="18"/>
      <c r="M204" s="15" t="s">
        <v>363</v>
      </c>
      <c r="N204" s="18"/>
      <c r="O204" s="15" t="s">
        <v>325</v>
      </c>
      <c r="P204" s="18" t="s">
        <v>346</v>
      </c>
      <c r="Q204" s="15" t="s">
        <v>194</v>
      </c>
    </row>
    <row r="205" spans="1:17" ht="30" x14ac:dyDescent="0.25">
      <c r="A205" s="15">
        <v>201</v>
      </c>
      <c r="B205" s="47"/>
      <c r="C205" s="16">
        <v>46279</v>
      </c>
      <c r="D205" s="16">
        <v>46280</v>
      </c>
      <c r="E205" s="15" t="s">
        <v>118</v>
      </c>
      <c r="F205" s="17" t="s">
        <v>581</v>
      </c>
      <c r="G205" s="15" t="s">
        <v>28</v>
      </c>
      <c r="H205" s="15" t="s">
        <v>0</v>
      </c>
      <c r="I205" s="18"/>
      <c r="J205" s="18"/>
      <c r="K205" s="15" t="s">
        <v>364</v>
      </c>
      <c r="L205" s="18"/>
      <c r="M205" s="18"/>
      <c r="N205" s="18"/>
      <c r="O205" s="15" t="s">
        <v>283</v>
      </c>
      <c r="P205" s="15" t="s">
        <v>365</v>
      </c>
      <c r="Q205" s="15" t="s">
        <v>194</v>
      </c>
    </row>
    <row r="206" spans="1:17" ht="25.5" x14ac:dyDescent="0.25">
      <c r="A206" s="15">
        <v>202</v>
      </c>
      <c r="B206" s="47"/>
      <c r="C206" s="16">
        <v>46279</v>
      </c>
      <c r="D206" s="16">
        <v>46280</v>
      </c>
      <c r="E206" s="15" t="s">
        <v>107</v>
      </c>
      <c r="F206" s="17" t="s">
        <v>582</v>
      </c>
      <c r="G206" s="18"/>
      <c r="H206" s="15" t="s">
        <v>0</v>
      </c>
      <c r="I206" s="18"/>
      <c r="J206" s="18"/>
      <c r="K206" s="15" t="s">
        <v>26</v>
      </c>
      <c r="L206" s="18"/>
      <c r="M206" s="18"/>
      <c r="N206" s="18"/>
      <c r="O206" s="15" t="s">
        <v>104</v>
      </c>
      <c r="P206" s="18" t="s">
        <v>346</v>
      </c>
      <c r="Q206" s="15" t="s">
        <v>194</v>
      </c>
    </row>
    <row r="207" spans="1:17" ht="25.5" x14ac:dyDescent="0.25">
      <c r="A207" s="15">
        <v>203</v>
      </c>
      <c r="B207" s="47"/>
      <c r="C207" s="16">
        <v>46279</v>
      </c>
      <c r="D207" s="16">
        <v>46280</v>
      </c>
      <c r="E207" s="15" t="s">
        <v>107</v>
      </c>
      <c r="F207" s="17" t="s">
        <v>583</v>
      </c>
      <c r="G207" s="18"/>
      <c r="H207" s="15" t="s">
        <v>0</v>
      </c>
      <c r="I207" s="18"/>
      <c r="J207" s="18"/>
      <c r="K207" s="15" t="s">
        <v>26</v>
      </c>
      <c r="L207" s="18"/>
      <c r="M207" s="18"/>
      <c r="N207" s="18"/>
      <c r="O207" s="15" t="s">
        <v>104</v>
      </c>
      <c r="P207" s="18" t="s">
        <v>346</v>
      </c>
      <c r="Q207" s="15" t="s">
        <v>194</v>
      </c>
    </row>
    <row r="208" spans="1:17" x14ac:dyDescent="0.25">
      <c r="A208" s="15">
        <v>204</v>
      </c>
      <c r="B208" s="47"/>
      <c r="C208" s="16">
        <v>46279</v>
      </c>
      <c r="D208" s="16">
        <v>46290</v>
      </c>
      <c r="E208" s="15" t="s">
        <v>366</v>
      </c>
      <c r="F208" s="17" t="s">
        <v>584</v>
      </c>
      <c r="G208" s="18"/>
      <c r="H208" s="15" t="s">
        <v>0</v>
      </c>
      <c r="I208" s="18"/>
      <c r="J208" s="18"/>
      <c r="K208" s="15" t="s">
        <v>26</v>
      </c>
      <c r="L208" s="18"/>
      <c r="M208" s="18"/>
      <c r="N208" s="18"/>
      <c r="O208" s="15" t="s">
        <v>367</v>
      </c>
      <c r="P208" s="15" t="s">
        <v>368</v>
      </c>
      <c r="Q208" s="15" t="s">
        <v>194</v>
      </c>
    </row>
    <row r="209" spans="1:17" ht="30" x14ac:dyDescent="0.25">
      <c r="A209" s="15">
        <v>205</v>
      </c>
      <c r="B209" s="15" t="s">
        <v>369</v>
      </c>
      <c r="C209" s="16">
        <v>46279</v>
      </c>
      <c r="D209" s="16">
        <v>46290</v>
      </c>
      <c r="E209" s="15" t="s">
        <v>4</v>
      </c>
      <c r="F209" s="17" t="s">
        <v>370</v>
      </c>
      <c r="G209" s="18"/>
      <c r="H209" s="15" t="s">
        <v>0</v>
      </c>
      <c r="I209" s="18"/>
      <c r="J209" s="15">
        <v>260</v>
      </c>
      <c r="K209" s="15" t="s">
        <v>371</v>
      </c>
      <c r="L209" s="20">
        <v>125212203106.21001</v>
      </c>
      <c r="M209" s="15" t="s">
        <v>5</v>
      </c>
      <c r="N209" s="15" t="s">
        <v>5</v>
      </c>
      <c r="O209" s="15" t="s">
        <v>13</v>
      </c>
      <c r="P209" s="15" t="s">
        <v>50</v>
      </c>
      <c r="Q209" s="15" t="s">
        <v>194</v>
      </c>
    </row>
    <row r="210" spans="1:17" ht="45" x14ac:dyDescent="0.25">
      <c r="A210" s="15">
        <v>206</v>
      </c>
      <c r="B210" s="47" t="s">
        <v>56</v>
      </c>
      <c r="C210" s="16">
        <v>46284</v>
      </c>
      <c r="D210" s="16">
        <v>46284</v>
      </c>
      <c r="E210" s="15" t="s">
        <v>68</v>
      </c>
      <c r="F210" s="17" t="s">
        <v>372</v>
      </c>
      <c r="G210" s="18"/>
      <c r="H210" s="15" t="s">
        <v>2</v>
      </c>
      <c r="I210" s="18"/>
      <c r="J210" s="18"/>
      <c r="K210" s="15" t="s">
        <v>373</v>
      </c>
      <c r="L210" s="18"/>
      <c r="M210" s="18"/>
      <c r="N210" s="18"/>
      <c r="O210" s="15" t="s">
        <v>374</v>
      </c>
      <c r="P210" s="15" t="s">
        <v>375</v>
      </c>
      <c r="Q210" s="15" t="s">
        <v>1</v>
      </c>
    </row>
    <row r="211" spans="1:17" x14ac:dyDescent="0.25">
      <c r="A211" s="15">
        <v>207</v>
      </c>
      <c r="B211" s="47"/>
      <c r="C211" s="16">
        <v>46287</v>
      </c>
      <c r="D211" s="16">
        <v>46289</v>
      </c>
      <c r="E211" s="15" t="s">
        <v>4</v>
      </c>
      <c r="F211" s="17" t="s">
        <v>376</v>
      </c>
      <c r="G211" s="15" t="s">
        <v>87</v>
      </c>
      <c r="H211" s="15" t="s">
        <v>2</v>
      </c>
      <c r="I211" s="18"/>
      <c r="J211" s="18"/>
      <c r="K211" s="18"/>
      <c r="L211" s="18"/>
      <c r="M211" s="18"/>
      <c r="N211" s="18"/>
      <c r="O211" s="15" t="s">
        <v>238</v>
      </c>
      <c r="P211" s="15" t="s">
        <v>377</v>
      </c>
      <c r="Q211" s="15" t="s">
        <v>1</v>
      </c>
    </row>
    <row r="212" spans="1:17" ht="30" x14ac:dyDescent="0.25">
      <c r="A212" s="15">
        <v>208</v>
      </c>
      <c r="B212" s="15" t="s">
        <v>52</v>
      </c>
      <c r="C212" s="16">
        <v>46284</v>
      </c>
      <c r="D212" s="16">
        <v>46286</v>
      </c>
      <c r="E212" s="15" t="s">
        <v>231</v>
      </c>
      <c r="F212" s="17" t="s">
        <v>585</v>
      </c>
      <c r="G212" s="18"/>
      <c r="H212" s="15" t="s">
        <v>2</v>
      </c>
      <c r="I212" s="18"/>
      <c r="J212" s="18"/>
      <c r="K212" s="15" t="s">
        <v>378</v>
      </c>
      <c r="L212" s="18"/>
      <c r="M212" s="15" t="s">
        <v>379</v>
      </c>
      <c r="N212" s="18"/>
      <c r="O212" s="15" t="s">
        <v>113</v>
      </c>
      <c r="P212" s="15" t="s">
        <v>380</v>
      </c>
      <c r="Q212" s="15" t="s">
        <v>1</v>
      </c>
    </row>
    <row r="213" spans="1:17" x14ac:dyDescent="0.25">
      <c r="A213" s="15">
        <v>209</v>
      </c>
      <c r="B213" s="47" t="s">
        <v>30</v>
      </c>
      <c r="C213" s="16">
        <v>46284</v>
      </c>
      <c r="D213" s="16">
        <v>46286</v>
      </c>
      <c r="E213" s="15" t="s">
        <v>107</v>
      </c>
      <c r="F213" s="17" t="s">
        <v>586</v>
      </c>
      <c r="G213" s="15" t="s">
        <v>28</v>
      </c>
      <c r="H213" s="15" t="s">
        <v>0</v>
      </c>
      <c r="I213" s="18"/>
      <c r="J213" s="18"/>
      <c r="K213" s="15" t="s">
        <v>381</v>
      </c>
      <c r="L213" s="18"/>
      <c r="M213" s="15" t="s">
        <v>53</v>
      </c>
      <c r="N213" s="18"/>
      <c r="O213" s="15" t="s">
        <v>382</v>
      </c>
      <c r="P213" s="15" t="s">
        <v>383</v>
      </c>
      <c r="Q213" s="15" t="s">
        <v>1</v>
      </c>
    </row>
    <row r="214" spans="1:17" ht="30" x14ac:dyDescent="0.25">
      <c r="A214" s="15">
        <v>210</v>
      </c>
      <c r="B214" s="47"/>
      <c r="C214" s="16">
        <v>46284</v>
      </c>
      <c r="D214" s="16">
        <v>46286</v>
      </c>
      <c r="E214" s="15" t="s">
        <v>107</v>
      </c>
      <c r="F214" s="17" t="s">
        <v>587</v>
      </c>
      <c r="G214" s="15" t="s">
        <v>384</v>
      </c>
      <c r="H214" s="15" t="s">
        <v>0</v>
      </c>
      <c r="I214" s="18"/>
      <c r="J214" s="18"/>
      <c r="K214" s="15" t="s">
        <v>385</v>
      </c>
      <c r="L214" s="18"/>
      <c r="M214" s="15" t="s">
        <v>53</v>
      </c>
      <c r="N214" s="18"/>
      <c r="O214" s="15" t="s">
        <v>386</v>
      </c>
      <c r="P214" s="15" t="s">
        <v>387</v>
      </c>
      <c r="Q214" s="15" t="s">
        <v>1</v>
      </c>
    </row>
    <row r="215" spans="1:17" x14ac:dyDescent="0.25">
      <c r="A215" s="15">
        <v>211</v>
      </c>
      <c r="B215" s="47"/>
      <c r="C215" s="16">
        <v>46284</v>
      </c>
      <c r="D215" s="16">
        <v>46286</v>
      </c>
      <c r="E215" s="15" t="s">
        <v>127</v>
      </c>
      <c r="F215" s="17" t="s">
        <v>588</v>
      </c>
      <c r="G215" s="15" t="s">
        <v>28</v>
      </c>
      <c r="H215" s="15" t="s">
        <v>0</v>
      </c>
      <c r="I215" s="18"/>
      <c r="J215" s="18"/>
      <c r="K215" s="18"/>
      <c r="L215" s="18"/>
      <c r="M215" s="15" t="s">
        <v>388</v>
      </c>
      <c r="N215" s="15" t="s">
        <v>47</v>
      </c>
      <c r="O215" s="15" t="s">
        <v>123</v>
      </c>
      <c r="P215" s="15" t="s">
        <v>6</v>
      </c>
      <c r="Q215" s="15" t="s">
        <v>1</v>
      </c>
    </row>
    <row r="216" spans="1:17" ht="30" x14ac:dyDescent="0.25">
      <c r="A216" s="15">
        <v>212</v>
      </c>
      <c r="B216" s="15" t="s">
        <v>29</v>
      </c>
      <c r="C216" s="16">
        <v>46284</v>
      </c>
      <c r="D216" s="16">
        <v>46286</v>
      </c>
      <c r="E216" s="15" t="s">
        <v>107</v>
      </c>
      <c r="F216" s="17" t="s">
        <v>589</v>
      </c>
      <c r="G216" s="18"/>
      <c r="H216" s="15" t="s">
        <v>0</v>
      </c>
      <c r="I216" s="18"/>
      <c r="J216" s="18"/>
      <c r="K216" s="15" t="s">
        <v>389</v>
      </c>
      <c r="L216" s="15" t="s">
        <v>46</v>
      </c>
      <c r="M216" s="15" t="s">
        <v>53</v>
      </c>
      <c r="N216" s="18"/>
      <c r="O216" s="15" t="s">
        <v>390</v>
      </c>
      <c r="P216" s="15" t="s">
        <v>391</v>
      </c>
      <c r="Q216" s="15" t="s">
        <v>1</v>
      </c>
    </row>
    <row r="217" spans="1:17" ht="60" x14ac:dyDescent="0.25">
      <c r="A217" s="15">
        <v>213</v>
      </c>
      <c r="B217" s="47" t="s">
        <v>392</v>
      </c>
      <c r="C217" s="16">
        <v>46287</v>
      </c>
      <c r="D217" s="16">
        <v>46289</v>
      </c>
      <c r="E217" s="15" t="s">
        <v>20</v>
      </c>
      <c r="F217" s="17" t="s">
        <v>393</v>
      </c>
      <c r="G217" s="15" t="s">
        <v>394</v>
      </c>
      <c r="H217" s="15" t="s">
        <v>0</v>
      </c>
      <c r="I217" s="18"/>
      <c r="J217" s="18"/>
      <c r="K217" s="18"/>
      <c r="L217" s="18"/>
      <c r="M217" s="18"/>
      <c r="N217" s="18"/>
      <c r="O217" s="15" t="s">
        <v>395</v>
      </c>
      <c r="P217" s="15" t="s">
        <v>396</v>
      </c>
      <c r="Q217" s="15" t="s">
        <v>1</v>
      </c>
    </row>
    <row r="218" spans="1:17" ht="30" x14ac:dyDescent="0.25">
      <c r="A218" s="15">
        <v>214</v>
      </c>
      <c r="B218" s="47"/>
      <c r="C218" s="16">
        <v>46289</v>
      </c>
      <c r="D218" s="18"/>
      <c r="E218" s="15" t="s">
        <v>36</v>
      </c>
      <c r="F218" s="17" t="s">
        <v>590</v>
      </c>
      <c r="G218" s="18"/>
      <c r="H218" s="15" t="s">
        <v>0</v>
      </c>
      <c r="I218" s="18"/>
      <c r="J218" s="18"/>
      <c r="K218" s="15" t="s">
        <v>397</v>
      </c>
      <c r="L218" s="18"/>
      <c r="M218" s="18"/>
      <c r="N218" s="18"/>
      <c r="O218" s="15" t="s">
        <v>398</v>
      </c>
      <c r="P218" s="15" t="s">
        <v>399</v>
      </c>
      <c r="Q218" s="15" t="s">
        <v>1</v>
      </c>
    </row>
    <row r="219" spans="1:17" ht="30" x14ac:dyDescent="0.25">
      <c r="A219" s="15">
        <v>215</v>
      </c>
      <c r="B219" s="47"/>
      <c r="C219" s="16">
        <v>46289</v>
      </c>
      <c r="D219" s="18"/>
      <c r="E219" s="15" t="s">
        <v>36</v>
      </c>
      <c r="F219" s="17" t="s">
        <v>591</v>
      </c>
      <c r="G219" s="18"/>
      <c r="H219" s="15" t="s">
        <v>2</v>
      </c>
      <c r="I219" s="18"/>
      <c r="J219" s="18"/>
      <c r="K219" s="15" t="s">
        <v>400</v>
      </c>
      <c r="L219" s="18"/>
      <c r="M219" s="15" t="s">
        <v>5</v>
      </c>
      <c r="N219" s="18"/>
      <c r="O219" s="15" t="s">
        <v>120</v>
      </c>
      <c r="P219" s="15" t="s">
        <v>401</v>
      </c>
      <c r="Q219" s="15" t="s">
        <v>1</v>
      </c>
    </row>
    <row r="220" spans="1:17" ht="45" x14ac:dyDescent="0.25">
      <c r="A220" s="15">
        <v>216</v>
      </c>
      <c r="B220" s="47"/>
      <c r="C220" s="16">
        <v>46289</v>
      </c>
      <c r="D220" s="18"/>
      <c r="E220" s="15" t="s">
        <v>4</v>
      </c>
      <c r="F220" s="17" t="s">
        <v>402</v>
      </c>
      <c r="G220" s="18"/>
      <c r="H220" s="15" t="s">
        <v>0</v>
      </c>
      <c r="I220" s="18"/>
      <c r="J220" s="18"/>
      <c r="K220" s="18"/>
      <c r="L220" s="15" t="s">
        <v>5</v>
      </c>
      <c r="M220" s="18"/>
      <c r="N220" s="18"/>
      <c r="O220" s="15" t="s">
        <v>403</v>
      </c>
      <c r="P220" s="15" t="s">
        <v>404</v>
      </c>
      <c r="Q220" s="15" t="s">
        <v>1</v>
      </c>
    </row>
    <row r="221" spans="1:17" ht="30" x14ac:dyDescent="0.25">
      <c r="A221" s="15">
        <v>217</v>
      </c>
      <c r="B221" s="47"/>
      <c r="C221" s="16">
        <v>46289</v>
      </c>
      <c r="D221" s="18"/>
      <c r="E221" s="15" t="s">
        <v>4</v>
      </c>
      <c r="F221" s="17" t="s">
        <v>405</v>
      </c>
      <c r="G221" s="18"/>
      <c r="H221" s="15" t="s">
        <v>0</v>
      </c>
      <c r="I221" s="18"/>
      <c r="J221" s="18"/>
      <c r="K221" s="15" t="s">
        <v>406</v>
      </c>
      <c r="L221" s="15" t="s">
        <v>5</v>
      </c>
      <c r="M221" s="18"/>
      <c r="N221" s="18"/>
      <c r="O221" s="15" t="s">
        <v>407</v>
      </c>
      <c r="P221" s="18"/>
      <c r="Q221" s="15" t="s">
        <v>1</v>
      </c>
    </row>
    <row r="222" spans="1:17" ht="30" x14ac:dyDescent="0.25">
      <c r="A222" s="15">
        <v>218</v>
      </c>
      <c r="B222" s="47"/>
      <c r="C222" s="16">
        <v>46289</v>
      </c>
      <c r="D222" s="18"/>
      <c r="E222" s="15" t="s">
        <v>4</v>
      </c>
      <c r="F222" s="17" t="s">
        <v>592</v>
      </c>
      <c r="G222" s="18"/>
      <c r="H222" s="15" t="s">
        <v>0</v>
      </c>
      <c r="I222" s="18"/>
      <c r="J222" s="18"/>
      <c r="K222" s="18"/>
      <c r="L222" s="20">
        <v>125212203106.21001</v>
      </c>
      <c r="M222" s="15" t="s">
        <v>5</v>
      </c>
      <c r="N222" s="18"/>
      <c r="O222" s="15" t="s">
        <v>408</v>
      </c>
      <c r="P222" s="15" t="s">
        <v>409</v>
      </c>
      <c r="Q222" s="15" t="s">
        <v>1</v>
      </c>
    </row>
    <row r="223" spans="1:17" x14ac:dyDescent="0.25">
      <c r="A223" s="15">
        <v>219</v>
      </c>
      <c r="B223" s="47"/>
      <c r="C223" s="16">
        <v>46289</v>
      </c>
      <c r="D223" s="18"/>
      <c r="E223" s="15" t="s">
        <v>4</v>
      </c>
      <c r="F223" s="17" t="s">
        <v>410</v>
      </c>
      <c r="G223" s="18"/>
      <c r="H223" s="15" t="s">
        <v>2</v>
      </c>
      <c r="I223" s="18"/>
      <c r="J223" s="18"/>
      <c r="K223" s="15" t="s">
        <v>411</v>
      </c>
      <c r="L223" s="18"/>
      <c r="M223" s="18"/>
      <c r="N223" s="18"/>
      <c r="O223" s="15" t="s">
        <v>407</v>
      </c>
      <c r="P223" s="18"/>
      <c r="Q223" s="15" t="s">
        <v>1</v>
      </c>
    </row>
    <row r="224" spans="1:17" ht="30" x14ac:dyDescent="0.25">
      <c r="A224" s="15">
        <v>220</v>
      </c>
      <c r="B224" s="47"/>
      <c r="C224" s="16">
        <v>46289</v>
      </c>
      <c r="D224" s="18"/>
      <c r="E224" s="15" t="s">
        <v>4</v>
      </c>
      <c r="F224" s="17" t="s">
        <v>412</v>
      </c>
      <c r="G224" s="18"/>
      <c r="H224" s="15" t="s">
        <v>0</v>
      </c>
      <c r="I224" s="18"/>
      <c r="J224" s="18"/>
      <c r="K224" s="15" t="s">
        <v>413</v>
      </c>
      <c r="L224" s="20">
        <v>125212203106.21001</v>
      </c>
      <c r="M224" s="15" t="s">
        <v>7</v>
      </c>
      <c r="N224" s="15" t="s">
        <v>5</v>
      </c>
      <c r="O224" s="15" t="s">
        <v>123</v>
      </c>
      <c r="P224" s="15" t="s">
        <v>414</v>
      </c>
      <c r="Q224" s="15" t="s">
        <v>1</v>
      </c>
    </row>
    <row r="225" spans="1:17" x14ac:dyDescent="0.25">
      <c r="A225" s="15">
        <v>221</v>
      </c>
      <c r="B225" s="47"/>
      <c r="C225" s="16">
        <v>46293</v>
      </c>
      <c r="D225" s="18"/>
      <c r="E225" s="15" t="s">
        <v>36</v>
      </c>
      <c r="F225" s="17" t="s">
        <v>593</v>
      </c>
      <c r="G225" s="18"/>
      <c r="H225" s="15" t="s">
        <v>2</v>
      </c>
      <c r="I225" s="18"/>
      <c r="J225" s="18"/>
      <c r="K225" s="15" t="s">
        <v>415</v>
      </c>
      <c r="L225" s="18"/>
      <c r="M225" s="18"/>
      <c r="N225" s="18"/>
      <c r="O225" s="18"/>
      <c r="P225" s="18"/>
      <c r="Q225" s="18"/>
    </row>
    <row r="226" spans="1:17" x14ac:dyDescent="0.25">
      <c r="A226" s="15">
        <v>222</v>
      </c>
      <c r="B226" s="47"/>
      <c r="C226" s="16">
        <v>46293</v>
      </c>
      <c r="D226" s="18"/>
      <c r="E226" s="15" t="s">
        <v>36</v>
      </c>
      <c r="F226" s="17" t="s">
        <v>594</v>
      </c>
      <c r="G226" s="18"/>
      <c r="H226" s="15" t="s">
        <v>2</v>
      </c>
      <c r="I226" s="18"/>
      <c r="J226" s="18"/>
      <c r="K226" s="15" t="s">
        <v>415</v>
      </c>
      <c r="L226" s="18"/>
      <c r="M226" s="18"/>
      <c r="N226" s="18"/>
      <c r="O226" s="18"/>
      <c r="P226" s="18"/>
      <c r="Q226" s="18"/>
    </row>
    <row r="227" spans="1:17" x14ac:dyDescent="0.25">
      <c r="A227" s="15">
        <v>223</v>
      </c>
      <c r="B227" s="47"/>
      <c r="C227" s="16">
        <v>46293</v>
      </c>
      <c r="D227" s="18"/>
      <c r="E227" s="15" t="s">
        <v>36</v>
      </c>
      <c r="F227" s="17" t="s">
        <v>595</v>
      </c>
      <c r="G227" s="18"/>
      <c r="H227" s="15" t="s">
        <v>0</v>
      </c>
      <c r="I227" s="18"/>
      <c r="J227" s="18"/>
      <c r="K227" s="15" t="s">
        <v>415</v>
      </c>
      <c r="L227" s="18"/>
      <c r="M227" s="18"/>
      <c r="N227" s="18"/>
      <c r="O227" s="18"/>
      <c r="P227" s="18"/>
      <c r="Q227" s="18"/>
    </row>
    <row r="228" spans="1:17" x14ac:dyDescent="0.25">
      <c r="A228" s="15">
        <v>224</v>
      </c>
      <c r="B228" s="47"/>
      <c r="C228" s="16">
        <v>46293</v>
      </c>
      <c r="D228" s="18"/>
      <c r="E228" s="15" t="s">
        <v>36</v>
      </c>
      <c r="F228" s="17" t="s">
        <v>596</v>
      </c>
      <c r="G228" s="18"/>
      <c r="H228" s="15" t="s">
        <v>2</v>
      </c>
      <c r="I228" s="18"/>
      <c r="J228" s="18"/>
      <c r="K228" s="15" t="s">
        <v>415</v>
      </c>
      <c r="L228" s="18"/>
      <c r="M228" s="18"/>
      <c r="N228" s="18"/>
      <c r="O228" s="18"/>
      <c r="P228" s="18"/>
      <c r="Q228" s="18"/>
    </row>
    <row r="229" spans="1:17" x14ac:dyDescent="0.25">
      <c r="A229" s="15">
        <v>225</v>
      </c>
      <c r="B229" s="47"/>
      <c r="C229" s="16">
        <v>46293</v>
      </c>
      <c r="D229" s="18"/>
      <c r="E229" s="15" t="s">
        <v>36</v>
      </c>
      <c r="F229" s="17" t="s">
        <v>597</v>
      </c>
      <c r="G229" s="18"/>
      <c r="H229" s="15" t="s">
        <v>0</v>
      </c>
      <c r="I229" s="18"/>
      <c r="J229" s="18"/>
      <c r="K229" s="15" t="s">
        <v>415</v>
      </c>
      <c r="L229" s="18"/>
      <c r="M229" s="18"/>
      <c r="N229" s="18"/>
      <c r="O229" s="18"/>
      <c r="P229" s="18"/>
      <c r="Q229" s="18"/>
    </row>
    <row r="230" spans="1:17" x14ac:dyDescent="0.25">
      <c r="A230" s="15">
        <v>226</v>
      </c>
      <c r="B230" s="47"/>
      <c r="C230" s="16">
        <v>46293</v>
      </c>
      <c r="D230" s="18"/>
      <c r="E230" s="15" t="s">
        <v>36</v>
      </c>
      <c r="F230" s="17" t="s">
        <v>598</v>
      </c>
      <c r="G230" s="18"/>
      <c r="H230" s="15" t="s">
        <v>2</v>
      </c>
      <c r="I230" s="18"/>
      <c r="J230" s="18"/>
      <c r="K230" s="15" t="s">
        <v>415</v>
      </c>
      <c r="L230" s="18"/>
      <c r="M230" s="18"/>
      <c r="N230" s="18"/>
      <c r="O230" s="18"/>
      <c r="P230" s="18"/>
      <c r="Q230" s="18"/>
    </row>
    <row r="231" spans="1:17" x14ac:dyDescent="0.25">
      <c r="A231" s="15">
        <v>227</v>
      </c>
      <c r="B231" s="47"/>
      <c r="C231" s="16">
        <v>46293</v>
      </c>
      <c r="D231" s="18"/>
      <c r="E231" s="15" t="s">
        <v>36</v>
      </c>
      <c r="F231" s="17" t="s">
        <v>599</v>
      </c>
      <c r="G231" s="18"/>
      <c r="H231" s="15" t="s">
        <v>0</v>
      </c>
      <c r="I231" s="18"/>
      <c r="J231" s="18"/>
      <c r="K231" s="15" t="s">
        <v>415</v>
      </c>
      <c r="L231" s="18"/>
      <c r="M231" s="18"/>
      <c r="N231" s="18"/>
      <c r="O231" s="18"/>
      <c r="P231" s="18"/>
      <c r="Q231" s="18"/>
    </row>
    <row r="232" spans="1:17" x14ac:dyDescent="0.25">
      <c r="A232" s="15">
        <v>228</v>
      </c>
      <c r="B232" s="47"/>
      <c r="C232" s="16">
        <v>46293</v>
      </c>
      <c r="D232" s="18"/>
      <c r="E232" s="15" t="s">
        <v>36</v>
      </c>
      <c r="F232" s="17" t="s">
        <v>600</v>
      </c>
      <c r="G232" s="18"/>
      <c r="H232" s="15" t="s">
        <v>2</v>
      </c>
      <c r="I232" s="18"/>
      <c r="J232" s="18"/>
      <c r="K232" s="15" t="s">
        <v>415</v>
      </c>
      <c r="L232" s="18"/>
      <c r="M232" s="18"/>
      <c r="N232" s="18"/>
      <c r="O232" s="18"/>
      <c r="P232" s="18"/>
      <c r="Q232" s="18"/>
    </row>
    <row r="233" spans="1:17" x14ac:dyDescent="0.25">
      <c r="A233" s="15">
        <v>229</v>
      </c>
      <c r="B233" s="47"/>
      <c r="C233" s="16">
        <v>46293</v>
      </c>
      <c r="D233" s="18"/>
      <c r="E233" s="15" t="s">
        <v>36</v>
      </c>
      <c r="F233" s="17" t="s">
        <v>601</v>
      </c>
      <c r="G233" s="18"/>
      <c r="H233" s="15" t="s">
        <v>2</v>
      </c>
      <c r="I233" s="18"/>
      <c r="J233" s="18"/>
      <c r="K233" s="15" t="s">
        <v>415</v>
      </c>
      <c r="L233" s="18"/>
      <c r="M233" s="18"/>
      <c r="N233" s="18"/>
      <c r="O233" s="18"/>
      <c r="P233" s="18"/>
      <c r="Q233" s="18"/>
    </row>
    <row r="234" spans="1:17" x14ac:dyDescent="0.25">
      <c r="A234" s="15">
        <v>230</v>
      </c>
      <c r="B234" s="47"/>
      <c r="C234" s="16">
        <v>46293</v>
      </c>
      <c r="D234" s="18"/>
      <c r="E234" s="15" t="s">
        <v>36</v>
      </c>
      <c r="F234" s="17" t="s">
        <v>602</v>
      </c>
      <c r="G234" s="18"/>
      <c r="H234" s="15" t="s">
        <v>2</v>
      </c>
      <c r="I234" s="18"/>
      <c r="J234" s="18"/>
      <c r="K234" s="15" t="s">
        <v>415</v>
      </c>
      <c r="L234" s="18"/>
      <c r="M234" s="18"/>
      <c r="N234" s="18"/>
      <c r="O234" s="18"/>
      <c r="P234" s="18"/>
      <c r="Q234" s="18"/>
    </row>
    <row r="235" spans="1:17" x14ac:dyDescent="0.25">
      <c r="A235" s="15">
        <v>231</v>
      </c>
      <c r="B235" s="47"/>
      <c r="C235" s="16">
        <v>46293</v>
      </c>
      <c r="D235" s="18"/>
      <c r="E235" s="15" t="s">
        <v>36</v>
      </c>
      <c r="F235" s="17" t="s">
        <v>603</v>
      </c>
      <c r="G235" s="18"/>
      <c r="H235" s="15" t="s">
        <v>2</v>
      </c>
      <c r="I235" s="18"/>
      <c r="J235" s="18"/>
      <c r="K235" s="15" t="s">
        <v>415</v>
      </c>
      <c r="L235" s="18"/>
      <c r="M235" s="18"/>
      <c r="N235" s="18"/>
      <c r="O235" s="18"/>
      <c r="P235" s="18"/>
      <c r="Q235" s="18"/>
    </row>
    <row r="236" spans="1:17" x14ac:dyDescent="0.25">
      <c r="A236" s="15">
        <v>232</v>
      </c>
      <c r="B236" s="47"/>
      <c r="C236" s="16">
        <v>46293</v>
      </c>
      <c r="D236" s="18"/>
      <c r="E236" s="15" t="s">
        <v>36</v>
      </c>
      <c r="F236" s="17" t="s">
        <v>604</v>
      </c>
      <c r="G236" s="18"/>
      <c r="H236" s="15" t="s">
        <v>2</v>
      </c>
      <c r="I236" s="18"/>
      <c r="J236" s="18"/>
      <c r="K236" s="15" t="s">
        <v>415</v>
      </c>
      <c r="L236" s="18"/>
      <c r="M236" s="18"/>
      <c r="N236" s="18"/>
      <c r="O236" s="18"/>
      <c r="P236" s="18"/>
      <c r="Q236" s="18"/>
    </row>
    <row r="237" spans="1:17" x14ac:dyDescent="0.25">
      <c r="A237" s="15">
        <v>233</v>
      </c>
      <c r="B237" s="47"/>
      <c r="C237" s="16">
        <v>46293</v>
      </c>
      <c r="D237" s="18"/>
      <c r="E237" s="15" t="s">
        <v>36</v>
      </c>
      <c r="F237" s="17" t="s">
        <v>605</v>
      </c>
      <c r="G237" s="18"/>
      <c r="H237" s="15" t="s">
        <v>0</v>
      </c>
      <c r="I237" s="18"/>
      <c r="J237" s="18"/>
      <c r="K237" s="15" t="s">
        <v>415</v>
      </c>
      <c r="L237" s="18"/>
      <c r="M237" s="18"/>
      <c r="N237" s="18"/>
      <c r="O237" s="18"/>
      <c r="P237" s="18"/>
      <c r="Q237" s="18"/>
    </row>
    <row r="238" spans="1:17" x14ac:dyDescent="0.25">
      <c r="A238" s="15">
        <v>234</v>
      </c>
      <c r="B238" s="47"/>
      <c r="C238" s="16">
        <v>46293</v>
      </c>
      <c r="D238" s="18"/>
      <c r="E238" s="15" t="s">
        <v>36</v>
      </c>
      <c r="F238" s="17" t="s">
        <v>606</v>
      </c>
      <c r="G238" s="18"/>
      <c r="H238" s="15" t="s">
        <v>0</v>
      </c>
      <c r="I238" s="18"/>
      <c r="J238" s="18"/>
      <c r="K238" s="15" t="s">
        <v>415</v>
      </c>
      <c r="L238" s="18"/>
      <c r="M238" s="18"/>
      <c r="N238" s="18"/>
      <c r="O238" s="18"/>
      <c r="P238" s="18"/>
      <c r="Q238" s="18"/>
    </row>
    <row r="239" spans="1:17" x14ac:dyDescent="0.25">
      <c r="A239" s="15">
        <v>235</v>
      </c>
      <c r="B239" s="47"/>
      <c r="C239" s="16">
        <v>46293</v>
      </c>
      <c r="D239" s="18"/>
      <c r="E239" s="15" t="s">
        <v>36</v>
      </c>
      <c r="F239" s="17" t="s">
        <v>607</v>
      </c>
      <c r="G239" s="18"/>
      <c r="H239" s="15" t="s">
        <v>0</v>
      </c>
      <c r="I239" s="18"/>
      <c r="J239" s="18"/>
      <c r="K239" s="15" t="s">
        <v>415</v>
      </c>
      <c r="L239" s="18"/>
      <c r="M239" s="18"/>
      <c r="N239" s="18"/>
      <c r="O239" s="18"/>
      <c r="P239" s="18"/>
      <c r="Q239" s="18"/>
    </row>
    <row r="240" spans="1:17" x14ac:dyDescent="0.25">
      <c r="A240" s="15">
        <v>236</v>
      </c>
      <c r="B240" s="47"/>
      <c r="C240" s="16">
        <v>46293</v>
      </c>
      <c r="D240" s="18"/>
      <c r="E240" s="15" t="s">
        <v>36</v>
      </c>
      <c r="F240" s="17" t="s">
        <v>608</v>
      </c>
      <c r="G240" s="18"/>
      <c r="H240" s="15" t="s">
        <v>0</v>
      </c>
      <c r="I240" s="18"/>
      <c r="J240" s="18"/>
      <c r="K240" s="15" t="s">
        <v>415</v>
      </c>
      <c r="L240" s="18"/>
      <c r="M240" s="18"/>
      <c r="N240" s="18"/>
      <c r="O240" s="18"/>
      <c r="P240" s="18"/>
      <c r="Q240" s="18"/>
    </row>
    <row r="241" spans="1:17" x14ac:dyDescent="0.25">
      <c r="A241" s="15">
        <v>237</v>
      </c>
      <c r="B241" s="47"/>
      <c r="C241" s="16">
        <v>46293</v>
      </c>
      <c r="D241" s="18"/>
      <c r="E241" s="15" t="s">
        <v>36</v>
      </c>
      <c r="F241" s="17" t="s">
        <v>609</v>
      </c>
      <c r="G241" s="18"/>
      <c r="H241" s="15" t="s">
        <v>2</v>
      </c>
      <c r="I241" s="18"/>
      <c r="J241" s="18"/>
      <c r="K241" s="15" t="s">
        <v>415</v>
      </c>
      <c r="L241" s="18"/>
      <c r="M241" s="18"/>
      <c r="N241" s="18"/>
      <c r="O241" s="18"/>
      <c r="P241" s="18"/>
      <c r="Q241" s="18"/>
    </row>
    <row r="242" spans="1:17" x14ac:dyDescent="0.25">
      <c r="A242" s="15">
        <v>238</v>
      </c>
      <c r="B242" s="47"/>
      <c r="C242" s="16">
        <v>46293</v>
      </c>
      <c r="D242" s="18"/>
      <c r="E242" s="15" t="s">
        <v>36</v>
      </c>
      <c r="F242" s="17" t="s">
        <v>610</v>
      </c>
      <c r="G242" s="18"/>
      <c r="H242" s="15" t="s">
        <v>0</v>
      </c>
      <c r="I242" s="18"/>
      <c r="J242" s="18"/>
      <c r="K242" s="15" t="s">
        <v>415</v>
      </c>
      <c r="L242" s="18"/>
      <c r="M242" s="18"/>
      <c r="N242" s="18"/>
      <c r="O242" s="18"/>
      <c r="P242" s="18"/>
      <c r="Q242" s="18"/>
    </row>
    <row r="243" spans="1:17" x14ac:dyDescent="0.25">
      <c r="A243" s="15">
        <v>239</v>
      </c>
      <c r="B243" s="47"/>
      <c r="C243" s="16">
        <v>46293</v>
      </c>
      <c r="D243" s="18"/>
      <c r="E243" s="15" t="s">
        <v>36</v>
      </c>
      <c r="F243" s="17" t="s">
        <v>611</v>
      </c>
      <c r="G243" s="18"/>
      <c r="H243" s="15" t="s">
        <v>0</v>
      </c>
      <c r="I243" s="18"/>
      <c r="J243" s="18"/>
      <c r="K243" s="15" t="s">
        <v>415</v>
      </c>
      <c r="L243" s="18"/>
      <c r="M243" s="18"/>
      <c r="N243" s="18"/>
      <c r="O243" s="18"/>
      <c r="P243" s="18"/>
      <c r="Q243" s="18"/>
    </row>
    <row r="244" spans="1:17" x14ac:dyDescent="0.25">
      <c r="A244" s="15">
        <v>240</v>
      </c>
      <c r="B244" s="47"/>
      <c r="C244" s="16">
        <v>46293</v>
      </c>
      <c r="D244" s="18"/>
      <c r="E244" s="15" t="s">
        <v>36</v>
      </c>
      <c r="F244" s="17" t="s">
        <v>612</v>
      </c>
      <c r="G244" s="18"/>
      <c r="H244" s="15" t="s">
        <v>2</v>
      </c>
      <c r="I244" s="18"/>
      <c r="J244" s="18"/>
      <c r="K244" s="15" t="s">
        <v>416</v>
      </c>
      <c r="L244" s="18"/>
      <c r="M244" s="18"/>
      <c r="N244" s="18"/>
      <c r="O244" s="18"/>
      <c r="P244" s="18"/>
      <c r="Q244" s="18"/>
    </row>
    <row r="245" spans="1:17" x14ac:dyDescent="0.25">
      <c r="A245" s="15">
        <v>241</v>
      </c>
      <c r="B245" s="47"/>
      <c r="C245" s="16">
        <v>46293</v>
      </c>
      <c r="D245" s="18"/>
      <c r="E245" s="15" t="s">
        <v>4</v>
      </c>
      <c r="F245" s="17" t="s">
        <v>417</v>
      </c>
      <c r="G245" s="18"/>
      <c r="H245" s="15" t="s">
        <v>0</v>
      </c>
      <c r="I245" s="18"/>
      <c r="J245" s="18"/>
      <c r="K245" s="18"/>
      <c r="L245" s="18"/>
      <c r="M245" s="18"/>
      <c r="N245" s="18"/>
      <c r="O245" s="18"/>
      <c r="P245" s="18"/>
      <c r="Q245" s="18"/>
    </row>
    <row r="246" spans="1:17" x14ac:dyDescent="0.25">
      <c r="A246" s="15">
        <v>242</v>
      </c>
      <c r="B246" s="47" t="s">
        <v>418</v>
      </c>
      <c r="C246" s="16">
        <v>46289</v>
      </c>
      <c r="D246" s="18"/>
      <c r="E246" s="15" t="s">
        <v>118</v>
      </c>
      <c r="F246" s="17" t="s">
        <v>613</v>
      </c>
      <c r="G246" s="18"/>
      <c r="H246" s="15" t="s">
        <v>0</v>
      </c>
      <c r="I246" s="18"/>
      <c r="J246" s="18"/>
      <c r="K246" s="18"/>
      <c r="L246" s="18"/>
      <c r="M246" s="18"/>
      <c r="N246" s="15" t="s">
        <v>100</v>
      </c>
      <c r="O246" s="15" t="s">
        <v>104</v>
      </c>
      <c r="P246" s="15" t="s">
        <v>24</v>
      </c>
      <c r="Q246" s="15" t="s">
        <v>1</v>
      </c>
    </row>
    <row r="247" spans="1:17" x14ac:dyDescent="0.25">
      <c r="A247" s="15">
        <v>243</v>
      </c>
      <c r="B247" s="47"/>
      <c r="C247" s="16">
        <v>46289</v>
      </c>
      <c r="D247" s="18"/>
      <c r="E247" s="15" t="s">
        <v>118</v>
      </c>
      <c r="F247" s="17" t="s">
        <v>614</v>
      </c>
      <c r="G247" s="18"/>
      <c r="H247" s="15" t="s">
        <v>0</v>
      </c>
      <c r="I247" s="18"/>
      <c r="J247" s="18"/>
      <c r="K247" s="15" t="s">
        <v>419</v>
      </c>
      <c r="L247" s="18"/>
      <c r="M247" s="15" t="s">
        <v>12</v>
      </c>
      <c r="N247" s="15" t="s">
        <v>100</v>
      </c>
      <c r="O247" s="15" t="s">
        <v>113</v>
      </c>
      <c r="P247" s="15" t="s">
        <v>6</v>
      </c>
      <c r="Q247" s="15" t="s">
        <v>1</v>
      </c>
    </row>
    <row r="248" spans="1:17" x14ac:dyDescent="0.25">
      <c r="A248" s="15">
        <v>244</v>
      </c>
      <c r="B248" s="47"/>
      <c r="C248" s="16">
        <v>46289</v>
      </c>
      <c r="D248" s="18"/>
      <c r="E248" s="15" t="s">
        <v>118</v>
      </c>
      <c r="F248" s="17" t="s">
        <v>615</v>
      </c>
      <c r="G248" s="18"/>
      <c r="H248" s="15" t="s">
        <v>0</v>
      </c>
      <c r="I248" s="18"/>
      <c r="J248" s="18"/>
      <c r="K248" s="15" t="s">
        <v>420</v>
      </c>
      <c r="L248" s="18"/>
      <c r="M248" s="15" t="s">
        <v>12</v>
      </c>
      <c r="N248" s="15" t="s">
        <v>100</v>
      </c>
      <c r="O248" s="15" t="s">
        <v>113</v>
      </c>
      <c r="P248" s="15" t="s">
        <v>6</v>
      </c>
      <c r="Q248" s="15" t="s">
        <v>1</v>
      </c>
    </row>
    <row r="249" spans="1:17" x14ac:dyDescent="0.25">
      <c r="A249" s="15">
        <v>245</v>
      </c>
      <c r="B249" s="47"/>
      <c r="C249" s="16">
        <v>46289</v>
      </c>
      <c r="D249" s="18"/>
      <c r="E249" s="15" t="s">
        <v>127</v>
      </c>
      <c r="F249" s="17" t="s">
        <v>616</v>
      </c>
      <c r="G249" s="15" t="s">
        <v>28</v>
      </c>
      <c r="H249" s="15" t="s">
        <v>0</v>
      </c>
      <c r="I249" s="18"/>
      <c r="J249" s="18"/>
      <c r="K249" s="15" t="s">
        <v>421</v>
      </c>
      <c r="L249" s="15" t="s">
        <v>40</v>
      </c>
      <c r="M249" s="15" t="s">
        <v>47</v>
      </c>
      <c r="N249" s="18"/>
      <c r="O249" s="15" t="s">
        <v>13</v>
      </c>
      <c r="P249" s="15" t="s">
        <v>422</v>
      </c>
      <c r="Q249" s="15" t="s">
        <v>1</v>
      </c>
    </row>
    <row r="250" spans="1:17" x14ac:dyDescent="0.25">
      <c r="A250" s="15">
        <v>246</v>
      </c>
      <c r="B250" s="47"/>
      <c r="C250" s="16">
        <v>46289</v>
      </c>
      <c r="D250" s="18"/>
      <c r="E250" s="15" t="s">
        <v>279</v>
      </c>
      <c r="F250" s="17" t="s">
        <v>617</v>
      </c>
      <c r="G250" s="18"/>
      <c r="H250" s="15" t="s">
        <v>0</v>
      </c>
      <c r="I250" s="18"/>
      <c r="J250" s="18"/>
      <c r="K250" s="18"/>
      <c r="L250" s="15" t="s">
        <v>40</v>
      </c>
      <c r="M250" s="15" t="s">
        <v>37</v>
      </c>
      <c r="N250" s="15" t="s">
        <v>423</v>
      </c>
      <c r="O250" s="15" t="s">
        <v>123</v>
      </c>
      <c r="P250" s="18"/>
      <c r="Q250" s="15" t="s">
        <v>1</v>
      </c>
    </row>
    <row r="251" spans="1:17" ht="30" x14ac:dyDescent="0.25">
      <c r="A251" s="15">
        <v>247</v>
      </c>
      <c r="B251" s="47" t="s">
        <v>424</v>
      </c>
      <c r="C251" s="16">
        <v>46289</v>
      </c>
      <c r="D251" s="18"/>
      <c r="E251" s="15" t="s">
        <v>127</v>
      </c>
      <c r="F251" s="17" t="s">
        <v>618</v>
      </c>
      <c r="G251" s="15" t="s">
        <v>28</v>
      </c>
      <c r="H251" s="15" t="s">
        <v>0</v>
      </c>
      <c r="I251" s="18"/>
      <c r="J251" s="18"/>
      <c r="K251" s="18"/>
      <c r="L251" s="15" t="s">
        <v>138</v>
      </c>
      <c r="M251" s="15" t="s">
        <v>425</v>
      </c>
      <c r="N251" s="18"/>
      <c r="O251" s="15" t="s">
        <v>13</v>
      </c>
      <c r="P251" s="15" t="s">
        <v>426</v>
      </c>
      <c r="Q251" s="15" t="s">
        <v>1</v>
      </c>
    </row>
    <row r="252" spans="1:17" ht="30" x14ac:dyDescent="0.25">
      <c r="A252" s="15">
        <v>248</v>
      </c>
      <c r="B252" s="47"/>
      <c r="C252" s="16">
        <v>46289</v>
      </c>
      <c r="D252" s="18"/>
      <c r="E252" s="15" t="s">
        <v>127</v>
      </c>
      <c r="F252" s="17" t="s">
        <v>619</v>
      </c>
      <c r="G252" s="18"/>
      <c r="H252" s="15" t="s">
        <v>0</v>
      </c>
      <c r="I252" s="18"/>
      <c r="J252" s="18"/>
      <c r="K252" s="18"/>
      <c r="L252" s="20">
        <v>125212203114.16901</v>
      </c>
      <c r="M252" s="15" t="s">
        <v>55</v>
      </c>
      <c r="N252" s="18"/>
      <c r="O252" s="15" t="s">
        <v>13</v>
      </c>
      <c r="P252" s="15" t="s">
        <v>426</v>
      </c>
      <c r="Q252" s="15" t="s">
        <v>1</v>
      </c>
    </row>
    <row r="253" spans="1:17" ht="30" x14ac:dyDescent="0.25">
      <c r="A253" s="15">
        <v>249</v>
      </c>
      <c r="B253" s="47" t="s">
        <v>427</v>
      </c>
      <c r="C253" s="16">
        <v>46289</v>
      </c>
      <c r="D253" s="18"/>
      <c r="E253" s="15" t="s">
        <v>8</v>
      </c>
      <c r="F253" s="17" t="s">
        <v>428</v>
      </c>
      <c r="G253" s="15" t="s">
        <v>429</v>
      </c>
      <c r="H253" s="15" t="s">
        <v>9</v>
      </c>
      <c r="I253" s="18"/>
      <c r="J253" s="18"/>
      <c r="K253" s="15" t="s">
        <v>430</v>
      </c>
      <c r="L253" s="18"/>
      <c r="M253" s="18"/>
      <c r="N253" s="18"/>
      <c r="O253" s="18"/>
      <c r="P253" s="18"/>
      <c r="Q253" s="18"/>
    </row>
    <row r="254" spans="1:17" x14ac:dyDescent="0.25">
      <c r="A254" s="15">
        <v>250</v>
      </c>
      <c r="B254" s="47"/>
      <c r="C254" s="16">
        <v>46289</v>
      </c>
      <c r="D254" s="18"/>
      <c r="E254" s="15" t="s">
        <v>8</v>
      </c>
      <c r="F254" s="17" t="s">
        <v>620</v>
      </c>
      <c r="G254" s="15" t="s">
        <v>45</v>
      </c>
      <c r="H254" s="15" t="s">
        <v>0</v>
      </c>
      <c r="I254" s="18"/>
      <c r="J254" s="18"/>
      <c r="K254" s="18"/>
      <c r="L254" s="18"/>
      <c r="M254" s="18"/>
      <c r="N254" s="18"/>
      <c r="O254" s="18"/>
      <c r="P254" s="18"/>
      <c r="Q254" s="18"/>
    </row>
    <row r="255" spans="1:17" x14ac:dyDescent="0.25">
      <c r="A255" s="15">
        <v>251</v>
      </c>
      <c r="B255" s="47"/>
      <c r="C255" s="16">
        <v>46289</v>
      </c>
      <c r="D255" s="18"/>
      <c r="E255" s="15" t="s">
        <v>8</v>
      </c>
      <c r="F255" s="17" t="s">
        <v>621</v>
      </c>
      <c r="G255" s="15" t="s">
        <v>45</v>
      </c>
      <c r="H255" s="15" t="s">
        <v>0</v>
      </c>
      <c r="I255" s="18"/>
      <c r="J255" s="18"/>
      <c r="K255" s="18"/>
      <c r="L255" s="18"/>
      <c r="M255" s="18"/>
      <c r="N255" s="18"/>
      <c r="O255" s="18"/>
      <c r="P255" s="18"/>
      <c r="Q255" s="18"/>
    </row>
    <row r="256" spans="1:17" x14ac:dyDescent="0.25">
      <c r="A256" s="15">
        <v>252</v>
      </c>
      <c r="B256" s="47"/>
      <c r="C256" s="16">
        <v>46289</v>
      </c>
      <c r="D256" s="18"/>
      <c r="E256" s="15" t="s">
        <v>8</v>
      </c>
      <c r="F256" s="17" t="s">
        <v>622</v>
      </c>
      <c r="G256" s="15" t="s">
        <v>45</v>
      </c>
      <c r="H256" s="15" t="s">
        <v>0</v>
      </c>
      <c r="I256" s="18"/>
      <c r="J256" s="18"/>
      <c r="K256" s="18"/>
      <c r="L256" s="18"/>
      <c r="M256" s="18"/>
      <c r="N256" s="18"/>
      <c r="O256" s="18"/>
      <c r="P256" s="18"/>
      <c r="Q256" s="18"/>
    </row>
    <row r="257" spans="1:17" x14ac:dyDescent="0.25">
      <c r="A257" s="15">
        <v>253</v>
      </c>
      <c r="B257" s="47"/>
      <c r="C257" s="16">
        <v>46289</v>
      </c>
      <c r="D257" s="18"/>
      <c r="E257" s="15" t="s">
        <v>8</v>
      </c>
      <c r="F257" s="17" t="s">
        <v>623</v>
      </c>
      <c r="G257" s="18"/>
      <c r="H257" s="15" t="s">
        <v>0</v>
      </c>
      <c r="I257" s="18"/>
      <c r="J257" s="18"/>
      <c r="K257" s="18"/>
      <c r="L257" s="18"/>
      <c r="M257" s="18"/>
      <c r="N257" s="18"/>
      <c r="O257" s="18"/>
      <c r="P257" s="18"/>
      <c r="Q257" s="18"/>
    </row>
    <row r="258" spans="1:17" x14ac:dyDescent="0.25">
      <c r="A258" s="15">
        <v>254</v>
      </c>
      <c r="B258" s="47"/>
      <c r="C258" s="16">
        <v>46289</v>
      </c>
      <c r="D258" s="18"/>
      <c r="E258" s="15" t="s">
        <v>8</v>
      </c>
      <c r="F258" s="17" t="s">
        <v>624</v>
      </c>
      <c r="G258" s="18"/>
      <c r="H258" s="15" t="s">
        <v>2</v>
      </c>
      <c r="I258" s="18"/>
      <c r="J258" s="18"/>
      <c r="K258" s="18"/>
      <c r="L258" s="18"/>
      <c r="M258" s="18"/>
      <c r="N258" s="18"/>
      <c r="O258" s="18"/>
      <c r="P258" s="18"/>
      <c r="Q258" s="18"/>
    </row>
    <row r="259" spans="1:17" x14ac:dyDescent="0.25">
      <c r="A259" s="15">
        <v>255</v>
      </c>
      <c r="B259" s="15" t="s">
        <v>29</v>
      </c>
      <c r="C259" s="16">
        <v>46294</v>
      </c>
      <c r="D259" s="18"/>
      <c r="E259" s="15" t="s">
        <v>4</v>
      </c>
      <c r="F259" s="17" t="s">
        <v>431</v>
      </c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</row>
    <row r="260" spans="1:17" x14ac:dyDescent="0.25">
      <c r="A260" s="15">
        <v>256</v>
      </c>
      <c r="B260" s="47" t="s">
        <v>63</v>
      </c>
      <c r="C260" s="16">
        <v>46294</v>
      </c>
      <c r="D260" s="18"/>
      <c r="E260" s="15" t="s">
        <v>36</v>
      </c>
      <c r="F260" s="17" t="s">
        <v>625</v>
      </c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5" t="s">
        <v>194</v>
      </c>
    </row>
    <row r="261" spans="1:17" x14ac:dyDescent="0.25">
      <c r="A261" s="15">
        <v>257</v>
      </c>
      <c r="B261" s="47"/>
      <c r="C261" s="16">
        <v>46294</v>
      </c>
      <c r="D261" s="18"/>
      <c r="E261" s="15" t="s">
        <v>118</v>
      </c>
      <c r="F261" s="17" t="s">
        <v>626</v>
      </c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5" t="s">
        <v>194</v>
      </c>
    </row>
    <row r="262" spans="1:17" x14ac:dyDescent="0.25">
      <c r="A262" s="15">
        <v>258</v>
      </c>
      <c r="B262" s="47"/>
      <c r="C262" s="16">
        <v>46294</v>
      </c>
      <c r="D262" s="18"/>
      <c r="E262" s="15" t="s">
        <v>118</v>
      </c>
      <c r="F262" s="17" t="s">
        <v>627</v>
      </c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5" t="s">
        <v>194</v>
      </c>
    </row>
    <row r="263" spans="1:17" x14ac:dyDescent="0.25">
      <c r="A263" s="15">
        <v>259</v>
      </c>
      <c r="B263" s="47"/>
      <c r="C263" s="16">
        <v>46294</v>
      </c>
      <c r="D263" s="18"/>
      <c r="E263" s="15" t="s">
        <v>118</v>
      </c>
      <c r="F263" s="17" t="s">
        <v>628</v>
      </c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5" t="s">
        <v>194</v>
      </c>
    </row>
    <row r="264" spans="1:17" x14ac:dyDescent="0.25">
      <c r="A264" s="15">
        <v>260</v>
      </c>
      <c r="B264" s="47"/>
      <c r="C264" s="16">
        <v>46294</v>
      </c>
      <c r="D264" s="18"/>
      <c r="E264" s="15" t="s">
        <v>118</v>
      </c>
      <c r="F264" s="17" t="s">
        <v>629</v>
      </c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5" t="s">
        <v>194</v>
      </c>
    </row>
    <row r="265" spans="1:17" x14ac:dyDescent="0.25">
      <c r="A265" s="15">
        <v>261</v>
      </c>
      <c r="B265" s="47"/>
      <c r="C265" s="16">
        <v>46294</v>
      </c>
      <c r="D265" s="18"/>
      <c r="E265" s="15" t="s">
        <v>118</v>
      </c>
      <c r="F265" s="17" t="s">
        <v>630</v>
      </c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5" t="s">
        <v>194</v>
      </c>
    </row>
    <row r="266" spans="1:17" x14ac:dyDescent="0.25">
      <c r="A266" s="15">
        <v>262</v>
      </c>
      <c r="B266" s="47"/>
      <c r="C266" s="16">
        <v>46294</v>
      </c>
      <c r="D266" s="18"/>
      <c r="E266" s="15" t="s">
        <v>118</v>
      </c>
      <c r="F266" s="17" t="s">
        <v>631</v>
      </c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5" t="s">
        <v>194</v>
      </c>
    </row>
    <row r="267" spans="1:17" x14ac:dyDescent="0.25">
      <c r="A267" s="15">
        <v>263</v>
      </c>
      <c r="B267" s="47"/>
      <c r="C267" s="16">
        <v>46294</v>
      </c>
      <c r="D267" s="18"/>
      <c r="E267" s="15" t="s">
        <v>118</v>
      </c>
      <c r="F267" s="17" t="s">
        <v>632</v>
      </c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5" t="s">
        <v>194</v>
      </c>
    </row>
    <row r="268" spans="1:17" x14ac:dyDescent="0.25">
      <c r="A268" s="15">
        <v>264</v>
      </c>
      <c r="B268" s="47"/>
      <c r="C268" s="16">
        <v>46294</v>
      </c>
      <c r="D268" s="18"/>
      <c r="E268" s="15" t="s">
        <v>118</v>
      </c>
      <c r="F268" s="17" t="s">
        <v>633</v>
      </c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5" t="s">
        <v>194</v>
      </c>
    </row>
    <row r="269" spans="1:17" x14ac:dyDescent="0.25">
      <c r="A269" s="15">
        <v>265</v>
      </c>
      <c r="B269" s="47"/>
      <c r="C269" s="16">
        <v>46294</v>
      </c>
      <c r="D269" s="18"/>
      <c r="E269" s="15" t="s">
        <v>118</v>
      </c>
      <c r="F269" s="17" t="s">
        <v>634</v>
      </c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5" t="s">
        <v>194</v>
      </c>
    </row>
    <row r="270" spans="1:17" x14ac:dyDescent="0.25">
      <c r="A270" s="15">
        <v>266</v>
      </c>
      <c r="B270" s="47"/>
      <c r="C270" s="16">
        <v>46294</v>
      </c>
      <c r="D270" s="18"/>
      <c r="E270" s="15" t="s">
        <v>366</v>
      </c>
      <c r="F270" s="17" t="s">
        <v>635</v>
      </c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5" t="s">
        <v>194</v>
      </c>
    </row>
    <row r="271" spans="1:17" ht="15.75" thickBot="1" x14ac:dyDescent="0.3">
      <c r="A271" s="25"/>
      <c r="B271" s="25"/>
      <c r="C271" s="25"/>
      <c r="D271" s="25"/>
      <c r="E271" s="25"/>
      <c r="F271" s="39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</row>
    <row r="272" spans="1:17" ht="15.75" thickBot="1" x14ac:dyDescent="0.3">
      <c r="A272" s="26"/>
      <c r="B272" s="26"/>
      <c r="C272" s="26"/>
      <c r="D272" s="26"/>
      <c r="E272" s="26"/>
      <c r="F272" s="40"/>
      <c r="G272" s="26"/>
      <c r="H272" s="26"/>
      <c r="I272" s="26"/>
      <c r="J272" s="26"/>
      <c r="K272" s="26"/>
      <c r="L272" s="26"/>
      <c r="M272" s="26"/>
      <c r="N272" s="41"/>
      <c r="O272" s="26"/>
      <c r="P272" s="26"/>
      <c r="Q272" s="26"/>
    </row>
    <row r="273" spans="1:17" ht="15.75" thickBot="1" x14ac:dyDescent="0.3">
      <c r="A273" s="26"/>
      <c r="B273" s="26"/>
      <c r="C273" s="26"/>
      <c r="D273" s="26"/>
      <c r="E273" s="26"/>
      <c r="F273" s="40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</row>
    <row r="274" spans="1:17" ht="15.75" thickBot="1" x14ac:dyDescent="0.3">
      <c r="A274" s="26"/>
      <c r="B274" s="26"/>
      <c r="C274" s="26"/>
      <c r="D274" s="26"/>
      <c r="E274" s="26"/>
      <c r="F274" s="40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</row>
    <row r="275" spans="1:17" ht="15.75" thickBot="1" x14ac:dyDescent="0.3">
      <c r="A275" s="26"/>
      <c r="B275" s="26"/>
      <c r="C275" s="26"/>
      <c r="D275" s="26"/>
      <c r="E275" s="26"/>
      <c r="F275" s="40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</row>
    <row r="276" spans="1:17" ht="15.75" thickBot="1" x14ac:dyDescent="0.3">
      <c r="A276" s="26"/>
      <c r="B276" s="26"/>
      <c r="C276" s="26"/>
      <c r="D276" s="26"/>
      <c r="E276" s="26"/>
      <c r="F276" s="40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</row>
    <row r="277" spans="1:17" ht="15.75" thickBot="1" x14ac:dyDescent="0.3">
      <c r="A277" s="26"/>
      <c r="B277" s="26"/>
      <c r="C277" s="26"/>
      <c r="D277" s="26"/>
      <c r="E277" s="26"/>
      <c r="F277" s="40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</row>
    <row r="278" spans="1:17" ht="15.75" thickBot="1" x14ac:dyDescent="0.3">
      <c r="A278" s="26"/>
      <c r="B278" s="26"/>
      <c r="C278" s="26"/>
      <c r="D278" s="26"/>
      <c r="E278" s="26"/>
      <c r="F278" s="40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</row>
    <row r="279" spans="1:17" ht="15.75" thickBot="1" x14ac:dyDescent="0.3">
      <c r="A279" s="26"/>
      <c r="B279" s="26"/>
      <c r="C279" s="26"/>
      <c r="D279" s="26"/>
      <c r="E279" s="26"/>
      <c r="F279" s="40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</row>
    <row r="280" spans="1:17" ht="15.75" thickBot="1" x14ac:dyDescent="0.3">
      <c r="A280" s="26"/>
      <c r="B280" s="26"/>
      <c r="C280" s="26"/>
      <c r="D280" s="26"/>
      <c r="E280" s="26"/>
      <c r="F280" s="40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</row>
    <row r="281" spans="1:17" ht="15.75" thickBot="1" x14ac:dyDescent="0.3">
      <c r="A281" s="26"/>
      <c r="B281" s="26"/>
      <c r="C281" s="26"/>
      <c r="D281" s="26"/>
      <c r="E281" s="26"/>
      <c r="F281" s="40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</row>
    <row r="282" spans="1:17" ht="15.75" thickBot="1" x14ac:dyDescent="0.3">
      <c r="A282" s="26"/>
      <c r="B282" s="26"/>
      <c r="C282" s="26"/>
      <c r="D282" s="26"/>
      <c r="E282" s="26"/>
      <c r="F282" s="40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</row>
    <row r="283" spans="1:17" ht="15.75" thickBot="1" x14ac:dyDescent="0.3">
      <c r="A283" s="26"/>
      <c r="B283" s="26"/>
      <c r="C283" s="26"/>
      <c r="D283" s="26"/>
      <c r="E283" s="26"/>
      <c r="F283" s="40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</row>
    <row r="284" spans="1:17" ht="15.75" thickBot="1" x14ac:dyDescent="0.3">
      <c r="A284" s="26"/>
      <c r="B284" s="26"/>
      <c r="C284" s="26"/>
      <c r="D284" s="26"/>
      <c r="E284" s="26"/>
      <c r="F284" s="40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</row>
    <row r="285" spans="1:17" ht="15.75" thickBot="1" x14ac:dyDescent="0.3">
      <c r="A285" s="26"/>
      <c r="B285" s="26"/>
      <c r="C285" s="26"/>
      <c r="D285" s="26"/>
      <c r="E285" s="26"/>
      <c r="F285" s="40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</row>
    <row r="286" spans="1:17" ht="15.75" thickBot="1" x14ac:dyDescent="0.3">
      <c r="A286" s="26"/>
      <c r="B286" s="26"/>
      <c r="C286" s="26"/>
      <c r="D286" s="26"/>
      <c r="E286" s="26"/>
      <c r="F286" s="40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</row>
    <row r="287" spans="1:17" ht="15.75" thickBot="1" x14ac:dyDescent="0.3">
      <c r="A287" s="26"/>
      <c r="B287" s="26"/>
      <c r="C287" s="26"/>
      <c r="D287" s="26"/>
      <c r="E287" s="26"/>
      <c r="F287" s="40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</row>
    <row r="288" spans="1:17" ht="15.75" thickBot="1" x14ac:dyDescent="0.3">
      <c r="A288" s="26"/>
      <c r="B288" s="26"/>
      <c r="C288" s="26"/>
      <c r="D288" s="26"/>
      <c r="E288" s="26"/>
      <c r="F288" s="40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</row>
    <row r="289" spans="1:17" ht="15.75" thickBot="1" x14ac:dyDescent="0.3">
      <c r="A289" s="26"/>
      <c r="B289" s="26"/>
      <c r="C289" s="26"/>
      <c r="D289" s="26"/>
      <c r="E289" s="26"/>
      <c r="F289" s="40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</row>
    <row r="290" spans="1:17" ht="15.75" thickBot="1" x14ac:dyDescent="0.3">
      <c r="A290" s="26"/>
      <c r="B290" s="26"/>
      <c r="C290" s="26"/>
      <c r="D290" s="26"/>
      <c r="E290" s="26"/>
      <c r="F290" s="40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</row>
    <row r="291" spans="1:17" ht="15.75" thickBot="1" x14ac:dyDescent="0.3">
      <c r="A291" s="26"/>
      <c r="B291" s="26"/>
      <c r="C291" s="26"/>
      <c r="D291" s="26"/>
      <c r="E291" s="26"/>
      <c r="F291" s="40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</row>
    <row r="292" spans="1:17" ht="15.75" thickBot="1" x14ac:dyDescent="0.3">
      <c r="A292" s="26"/>
      <c r="B292" s="26"/>
      <c r="C292" s="26"/>
      <c r="D292" s="26"/>
      <c r="E292" s="26"/>
      <c r="F292" s="40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</row>
    <row r="293" spans="1:17" ht="15.75" thickBot="1" x14ac:dyDescent="0.3">
      <c r="A293" s="26"/>
      <c r="B293" s="26"/>
      <c r="C293" s="26"/>
      <c r="D293" s="26"/>
      <c r="E293" s="26"/>
      <c r="F293" s="40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</row>
    <row r="294" spans="1:17" ht="15.75" thickBot="1" x14ac:dyDescent="0.3">
      <c r="A294" s="26"/>
      <c r="B294" s="26"/>
      <c r="C294" s="26"/>
      <c r="D294" s="26"/>
      <c r="E294" s="26"/>
      <c r="F294" s="40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</row>
    <row r="295" spans="1:17" ht="15.75" thickBot="1" x14ac:dyDescent="0.3">
      <c r="A295" s="26"/>
      <c r="B295" s="26"/>
      <c r="C295" s="26"/>
      <c r="D295" s="26"/>
      <c r="E295" s="26"/>
      <c r="F295" s="40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</row>
    <row r="296" spans="1:17" ht="15.75" thickBot="1" x14ac:dyDescent="0.3">
      <c r="A296" s="26"/>
      <c r="B296" s="26"/>
      <c r="C296" s="26"/>
      <c r="D296" s="26"/>
      <c r="E296" s="26"/>
      <c r="F296" s="40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</row>
    <row r="297" spans="1:17" ht="15.75" thickBot="1" x14ac:dyDescent="0.3">
      <c r="A297" s="26"/>
      <c r="B297" s="26"/>
      <c r="C297" s="26"/>
      <c r="D297" s="26"/>
      <c r="E297" s="26"/>
      <c r="F297" s="40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</row>
    <row r="298" spans="1:17" ht="15.75" thickBot="1" x14ac:dyDescent="0.3">
      <c r="A298" s="26"/>
      <c r="B298" s="26"/>
      <c r="C298" s="26"/>
      <c r="D298" s="26"/>
      <c r="E298" s="26"/>
      <c r="F298" s="40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</row>
    <row r="299" spans="1:17" ht="15.75" thickBot="1" x14ac:dyDescent="0.3">
      <c r="A299" s="26"/>
      <c r="B299" s="26"/>
      <c r="C299" s="26"/>
      <c r="D299" s="26"/>
      <c r="E299" s="26"/>
      <c r="F299" s="40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</row>
    <row r="300" spans="1:17" ht="15.75" thickBot="1" x14ac:dyDescent="0.3">
      <c r="A300" s="26"/>
      <c r="B300" s="26"/>
      <c r="C300" s="26"/>
      <c r="D300" s="26"/>
      <c r="E300" s="26"/>
      <c r="F300" s="40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</row>
    <row r="301" spans="1:17" ht="15.75" thickBot="1" x14ac:dyDescent="0.3">
      <c r="A301" s="26"/>
      <c r="B301" s="26"/>
      <c r="C301" s="26"/>
      <c r="D301" s="26"/>
      <c r="E301" s="26"/>
      <c r="F301" s="40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</row>
    <row r="302" spans="1:17" ht="15.75" thickBot="1" x14ac:dyDescent="0.3">
      <c r="A302" s="26"/>
      <c r="B302" s="26"/>
      <c r="C302" s="26"/>
      <c r="D302" s="26"/>
      <c r="E302" s="26"/>
      <c r="F302" s="40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</row>
    <row r="303" spans="1:17" ht="15.75" thickBot="1" x14ac:dyDescent="0.3">
      <c r="A303" s="26"/>
      <c r="B303" s="26"/>
      <c r="C303" s="26"/>
      <c r="D303" s="26"/>
      <c r="E303" s="26"/>
      <c r="F303" s="40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</row>
    <row r="304" spans="1:17" ht="15.75" thickBot="1" x14ac:dyDescent="0.3">
      <c r="A304" s="26"/>
      <c r="B304" s="26"/>
      <c r="C304" s="26"/>
      <c r="D304" s="26"/>
      <c r="E304" s="26"/>
      <c r="F304" s="40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</row>
    <row r="305" spans="1:17" ht="15.75" thickBot="1" x14ac:dyDescent="0.3">
      <c r="A305" s="26"/>
      <c r="B305" s="26"/>
      <c r="C305" s="26"/>
      <c r="D305" s="26"/>
      <c r="E305" s="26"/>
      <c r="F305" s="40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</row>
    <row r="306" spans="1:17" ht="15.75" thickBot="1" x14ac:dyDescent="0.3">
      <c r="A306" s="26"/>
      <c r="B306" s="26"/>
      <c r="C306" s="26"/>
      <c r="D306" s="26"/>
      <c r="E306" s="26"/>
      <c r="F306" s="40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</row>
    <row r="307" spans="1:17" ht="15.75" thickBot="1" x14ac:dyDescent="0.3">
      <c r="A307" s="26"/>
      <c r="B307" s="26"/>
      <c r="C307" s="26"/>
      <c r="D307" s="26"/>
      <c r="E307" s="26"/>
      <c r="F307" s="40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</row>
    <row r="308" spans="1:17" ht="15.75" thickBot="1" x14ac:dyDescent="0.3">
      <c r="A308" s="26"/>
      <c r="B308" s="26"/>
      <c r="C308" s="26"/>
      <c r="D308" s="26"/>
      <c r="E308" s="26"/>
      <c r="F308" s="40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</row>
    <row r="309" spans="1:17" ht="15.75" thickBot="1" x14ac:dyDescent="0.3">
      <c r="A309" s="26"/>
      <c r="B309" s="26"/>
      <c r="C309" s="26"/>
      <c r="D309" s="26"/>
      <c r="E309" s="26"/>
      <c r="F309" s="40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</row>
    <row r="310" spans="1:17" ht="15.75" thickBot="1" x14ac:dyDescent="0.3">
      <c r="A310" s="26"/>
      <c r="B310" s="26"/>
      <c r="C310" s="26"/>
      <c r="D310" s="26"/>
      <c r="E310" s="26"/>
      <c r="F310" s="40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</row>
    <row r="311" spans="1:17" ht="15.75" thickBot="1" x14ac:dyDescent="0.3">
      <c r="A311" s="26"/>
      <c r="B311" s="26"/>
      <c r="C311" s="26"/>
      <c r="D311" s="26"/>
      <c r="E311" s="26"/>
      <c r="F311" s="40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</row>
    <row r="312" spans="1:17" ht="15.75" thickBot="1" x14ac:dyDescent="0.3">
      <c r="A312" s="26"/>
      <c r="B312" s="26"/>
      <c r="C312" s="26"/>
      <c r="D312" s="26"/>
      <c r="E312" s="26"/>
      <c r="F312" s="40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</row>
    <row r="313" spans="1:17" ht="15.75" thickBot="1" x14ac:dyDescent="0.3">
      <c r="A313" s="26"/>
      <c r="B313" s="26"/>
      <c r="C313" s="26"/>
      <c r="D313" s="26"/>
      <c r="E313" s="26"/>
      <c r="F313" s="40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</row>
    <row r="314" spans="1:17" ht="15.75" thickBot="1" x14ac:dyDescent="0.3">
      <c r="A314" s="26"/>
      <c r="B314" s="26"/>
      <c r="C314" s="26"/>
      <c r="D314" s="26"/>
      <c r="E314" s="26"/>
      <c r="F314" s="40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</row>
    <row r="315" spans="1:17" ht="15.75" thickBot="1" x14ac:dyDescent="0.3">
      <c r="A315" s="26"/>
      <c r="B315" s="26"/>
      <c r="C315" s="26"/>
      <c r="D315" s="26"/>
      <c r="E315" s="26"/>
      <c r="F315" s="40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</row>
    <row r="316" spans="1:17" ht="15.75" thickBot="1" x14ac:dyDescent="0.3">
      <c r="A316" s="26"/>
      <c r="B316" s="26"/>
      <c r="C316" s="26"/>
      <c r="D316" s="26"/>
      <c r="E316" s="26"/>
      <c r="F316" s="40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</row>
    <row r="317" spans="1:17" ht="15.75" thickBot="1" x14ac:dyDescent="0.3">
      <c r="A317" s="26"/>
      <c r="B317" s="26"/>
      <c r="C317" s="26"/>
      <c r="D317" s="26"/>
      <c r="E317" s="26"/>
      <c r="F317" s="40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</row>
    <row r="318" spans="1:17" ht="15.75" thickBot="1" x14ac:dyDescent="0.3">
      <c r="A318" s="26"/>
      <c r="B318" s="26"/>
      <c r="C318" s="26"/>
      <c r="D318" s="26"/>
      <c r="E318" s="26"/>
      <c r="F318" s="40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</row>
    <row r="319" spans="1:17" ht="15.75" thickBot="1" x14ac:dyDescent="0.3">
      <c r="A319" s="26"/>
      <c r="B319" s="26"/>
      <c r="C319" s="26"/>
      <c r="D319" s="26"/>
      <c r="E319" s="26"/>
      <c r="F319" s="40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</row>
    <row r="320" spans="1:17" ht="15.75" thickBot="1" x14ac:dyDescent="0.3">
      <c r="A320" s="26"/>
      <c r="B320" s="26"/>
      <c r="C320" s="26"/>
      <c r="D320" s="26"/>
      <c r="E320" s="26"/>
      <c r="F320" s="40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</row>
    <row r="321" spans="1:17" ht="15.75" thickBot="1" x14ac:dyDescent="0.3">
      <c r="A321" s="26"/>
      <c r="B321" s="26"/>
      <c r="C321" s="26"/>
      <c r="D321" s="26"/>
      <c r="E321" s="26"/>
      <c r="F321" s="40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</row>
    <row r="322" spans="1:17" ht="15.75" thickBot="1" x14ac:dyDescent="0.3">
      <c r="A322" s="26"/>
      <c r="B322" s="26"/>
      <c r="C322" s="26"/>
      <c r="D322" s="26"/>
      <c r="E322" s="26"/>
      <c r="F322" s="40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</row>
    <row r="323" spans="1:17" ht="15.75" thickBot="1" x14ac:dyDescent="0.3">
      <c r="A323" s="26"/>
      <c r="B323" s="26"/>
      <c r="C323" s="26"/>
      <c r="D323" s="26"/>
      <c r="E323" s="26"/>
      <c r="F323" s="40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</row>
    <row r="324" spans="1:17" ht="15.75" thickBot="1" x14ac:dyDescent="0.3">
      <c r="A324" s="26"/>
      <c r="B324" s="26"/>
      <c r="C324" s="26"/>
      <c r="D324" s="26"/>
      <c r="E324" s="26"/>
      <c r="F324" s="40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</row>
    <row r="325" spans="1:17" ht="15.75" thickBot="1" x14ac:dyDescent="0.3">
      <c r="A325" s="26"/>
      <c r="B325" s="26"/>
      <c r="C325" s="26"/>
      <c r="D325" s="26"/>
      <c r="E325" s="26"/>
      <c r="F325" s="40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</row>
    <row r="326" spans="1:17" ht="15.75" thickBot="1" x14ac:dyDescent="0.3">
      <c r="A326" s="26"/>
      <c r="B326" s="26"/>
      <c r="C326" s="26"/>
      <c r="D326" s="26"/>
      <c r="E326" s="26"/>
      <c r="F326" s="40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</row>
    <row r="327" spans="1:17" ht="15.75" thickBot="1" x14ac:dyDescent="0.3">
      <c r="A327" s="26"/>
      <c r="B327" s="26"/>
      <c r="C327" s="26"/>
      <c r="D327" s="26"/>
      <c r="E327" s="26"/>
      <c r="F327" s="40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</row>
    <row r="328" spans="1:17" ht="15.75" thickBot="1" x14ac:dyDescent="0.3">
      <c r="A328" s="26"/>
      <c r="B328" s="26"/>
      <c r="C328" s="26"/>
      <c r="D328" s="26"/>
      <c r="E328" s="26"/>
      <c r="F328" s="40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</row>
    <row r="329" spans="1:17" ht="15.75" thickBot="1" x14ac:dyDescent="0.3">
      <c r="A329" s="26"/>
      <c r="B329" s="26"/>
      <c r="C329" s="26"/>
      <c r="D329" s="26"/>
      <c r="E329" s="26"/>
      <c r="F329" s="40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</row>
    <row r="330" spans="1:17" ht="15.75" thickBot="1" x14ac:dyDescent="0.3">
      <c r="A330" s="26"/>
      <c r="B330" s="26"/>
      <c r="C330" s="26"/>
      <c r="D330" s="26"/>
      <c r="E330" s="26"/>
      <c r="F330" s="40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</row>
    <row r="331" spans="1:17" ht="15.75" thickBot="1" x14ac:dyDescent="0.3">
      <c r="A331" s="26"/>
      <c r="B331" s="26"/>
      <c r="C331" s="26"/>
      <c r="D331" s="26"/>
      <c r="E331" s="26"/>
      <c r="F331" s="40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</row>
    <row r="332" spans="1:17" ht="15.75" thickBot="1" x14ac:dyDescent="0.3">
      <c r="A332" s="26"/>
      <c r="B332" s="26"/>
      <c r="C332" s="26"/>
      <c r="D332" s="26"/>
      <c r="E332" s="26"/>
      <c r="F332" s="40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</row>
    <row r="333" spans="1:17" ht="15.75" thickBot="1" x14ac:dyDescent="0.3">
      <c r="A333" s="26"/>
      <c r="B333" s="26"/>
      <c r="C333" s="26"/>
      <c r="D333" s="26"/>
      <c r="E333" s="26"/>
      <c r="F333" s="40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</row>
    <row r="334" spans="1:17" ht="15.75" thickBot="1" x14ac:dyDescent="0.3">
      <c r="A334" s="26"/>
      <c r="B334" s="26"/>
      <c r="C334" s="26"/>
      <c r="D334" s="26"/>
      <c r="E334" s="26"/>
      <c r="F334" s="40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</row>
    <row r="335" spans="1:17" ht="15.75" thickBot="1" x14ac:dyDescent="0.3">
      <c r="A335" s="26"/>
      <c r="B335" s="26"/>
      <c r="C335" s="26"/>
      <c r="D335" s="26"/>
      <c r="E335" s="26"/>
      <c r="F335" s="40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</row>
    <row r="336" spans="1:17" ht="15.75" thickBot="1" x14ac:dyDescent="0.3">
      <c r="A336" s="26"/>
      <c r="B336" s="26"/>
      <c r="C336" s="26"/>
      <c r="D336" s="26"/>
      <c r="E336" s="26"/>
      <c r="F336" s="40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</row>
    <row r="337" spans="1:17" ht="15.75" thickBot="1" x14ac:dyDescent="0.3">
      <c r="A337" s="26"/>
      <c r="B337" s="26"/>
      <c r="C337" s="26"/>
      <c r="D337" s="26"/>
      <c r="E337" s="26"/>
      <c r="F337" s="40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</row>
    <row r="338" spans="1:17" ht="15.75" thickBot="1" x14ac:dyDescent="0.3">
      <c r="A338" s="26"/>
      <c r="B338" s="26"/>
      <c r="C338" s="26"/>
      <c r="D338" s="26"/>
      <c r="E338" s="26"/>
      <c r="F338" s="40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</row>
    <row r="339" spans="1:17" ht="15.75" thickBot="1" x14ac:dyDescent="0.3">
      <c r="A339" s="26"/>
      <c r="B339" s="26"/>
      <c r="C339" s="26"/>
      <c r="D339" s="26"/>
      <c r="E339" s="26"/>
      <c r="F339" s="40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</row>
    <row r="340" spans="1:17" ht="15.75" thickBot="1" x14ac:dyDescent="0.3">
      <c r="A340" s="26"/>
      <c r="B340" s="26"/>
      <c r="C340" s="26"/>
      <c r="D340" s="26"/>
      <c r="E340" s="26"/>
      <c r="F340" s="40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</row>
    <row r="341" spans="1:17" ht="15.75" thickBot="1" x14ac:dyDescent="0.3">
      <c r="A341" s="26"/>
      <c r="B341" s="26"/>
      <c r="C341" s="26"/>
      <c r="D341" s="26"/>
      <c r="E341" s="26"/>
      <c r="F341" s="40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</row>
    <row r="342" spans="1:17" ht="15.75" thickBot="1" x14ac:dyDescent="0.3">
      <c r="A342" s="26"/>
      <c r="B342" s="26"/>
      <c r="C342" s="26"/>
      <c r="D342" s="26"/>
      <c r="E342" s="26"/>
      <c r="F342" s="40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</row>
    <row r="343" spans="1:17" ht="15.75" thickBot="1" x14ac:dyDescent="0.3">
      <c r="A343" s="26"/>
      <c r="B343" s="26"/>
      <c r="C343" s="26"/>
      <c r="D343" s="26"/>
      <c r="E343" s="26"/>
      <c r="F343" s="40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</row>
    <row r="344" spans="1:17" ht="15.75" thickBot="1" x14ac:dyDescent="0.3">
      <c r="A344" s="26"/>
      <c r="B344" s="26"/>
      <c r="C344" s="26"/>
      <c r="D344" s="26"/>
      <c r="E344" s="26"/>
      <c r="F344" s="40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</row>
    <row r="345" spans="1:17" ht="15.75" thickBot="1" x14ac:dyDescent="0.3">
      <c r="A345" s="26"/>
      <c r="B345" s="26"/>
      <c r="C345" s="26"/>
      <c r="D345" s="26"/>
      <c r="E345" s="26"/>
      <c r="F345" s="40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</row>
    <row r="346" spans="1:17" ht="15.75" thickBot="1" x14ac:dyDescent="0.3">
      <c r="A346" s="26"/>
      <c r="B346" s="26"/>
      <c r="C346" s="26"/>
      <c r="D346" s="26"/>
      <c r="E346" s="26"/>
      <c r="F346" s="40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</row>
    <row r="347" spans="1:17" ht="15.75" thickBot="1" x14ac:dyDescent="0.3">
      <c r="A347" s="26"/>
      <c r="B347" s="26"/>
      <c r="C347" s="26"/>
      <c r="D347" s="26"/>
      <c r="E347" s="26"/>
      <c r="F347" s="40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</row>
    <row r="348" spans="1:17" ht="15.75" thickBot="1" x14ac:dyDescent="0.3">
      <c r="A348" s="26"/>
      <c r="B348" s="26"/>
      <c r="C348" s="26"/>
      <c r="D348" s="26"/>
      <c r="E348" s="26"/>
      <c r="F348" s="40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</row>
    <row r="349" spans="1:17" ht="15.75" thickBot="1" x14ac:dyDescent="0.3">
      <c r="A349" s="26"/>
      <c r="B349" s="26"/>
      <c r="C349" s="26"/>
      <c r="D349" s="26"/>
      <c r="E349" s="26"/>
      <c r="F349" s="40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</row>
    <row r="350" spans="1:17" ht="15.75" thickBot="1" x14ac:dyDescent="0.3">
      <c r="A350" s="26"/>
      <c r="B350" s="26"/>
      <c r="C350" s="26"/>
      <c r="D350" s="26"/>
      <c r="E350" s="26"/>
      <c r="F350" s="40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</row>
    <row r="351" spans="1:17" ht="15.75" thickBot="1" x14ac:dyDescent="0.3">
      <c r="A351" s="26"/>
      <c r="B351" s="26"/>
      <c r="C351" s="26"/>
      <c r="D351" s="26"/>
      <c r="E351" s="26"/>
      <c r="F351" s="40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</row>
    <row r="352" spans="1:17" ht="15.75" thickBot="1" x14ac:dyDescent="0.3">
      <c r="A352" s="26"/>
      <c r="B352" s="26"/>
      <c r="C352" s="26"/>
      <c r="D352" s="26"/>
      <c r="E352" s="26"/>
      <c r="F352" s="40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</row>
    <row r="353" spans="1:17" ht="15.75" thickBot="1" x14ac:dyDescent="0.3">
      <c r="A353" s="26"/>
      <c r="B353" s="26"/>
      <c r="C353" s="26"/>
      <c r="D353" s="26"/>
      <c r="E353" s="26"/>
      <c r="F353" s="40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</row>
    <row r="354" spans="1:17" ht="15.75" thickBot="1" x14ac:dyDescent="0.3">
      <c r="A354" s="26"/>
      <c r="B354" s="26"/>
      <c r="C354" s="26"/>
      <c r="D354" s="26"/>
      <c r="E354" s="26"/>
      <c r="F354" s="40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</row>
    <row r="355" spans="1:17" ht="15.75" thickBot="1" x14ac:dyDescent="0.3">
      <c r="A355" s="26"/>
      <c r="B355" s="26"/>
      <c r="C355" s="26"/>
      <c r="D355" s="26"/>
      <c r="E355" s="26"/>
      <c r="F355" s="40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</row>
    <row r="356" spans="1:17" ht="15.75" thickBot="1" x14ac:dyDescent="0.3">
      <c r="A356" s="26"/>
      <c r="B356" s="26"/>
      <c r="C356" s="26"/>
      <c r="D356" s="26"/>
      <c r="E356" s="26"/>
      <c r="F356" s="40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</row>
    <row r="357" spans="1:17" ht="15.75" thickBot="1" x14ac:dyDescent="0.3">
      <c r="A357" s="26"/>
      <c r="B357" s="26"/>
      <c r="C357" s="26"/>
      <c r="D357" s="26"/>
      <c r="E357" s="26"/>
      <c r="F357" s="40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</row>
    <row r="358" spans="1:17" ht="15.75" thickBot="1" x14ac:dyDescent="0.3">
      <c r="A358" s="26"/>
      <c r="B358" s="26"/>
      <c r="C358" s="26"/>
      <c r="D358" s="26"/>
      <c r="E358" s="26"/>
      <c r="F358" s="40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</row>
    <row r="359" spans="1:17" ht="15.75" thickBot="1" x14ac:dyDescent="0.3">
      <c r="A359" s="26"/>
      <c r="B359" s="26"/>
      <c r="C359" s="26"/>
      <c r="D359" s="26"/>
      <c r="E359" s="26"/>
      <c r="F359" s="40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</row>
    <row r="360" spans="1:17" ht="15.75" thickBot="1" x14ac:dyDescent="0.3">
      <c r="A360" s="26"/>
      <c r="B360" s="26"/>
      <c r="C360" s="26"/>
      <c r="D360" s="26"/>
      <c r="E360" s="26"/>
      <c r="F360" s="40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</row>
    <row r="361" spans="1:17" ht="15.75" thickBot="1" x14ac:dyDescent="0.3">
      <c r="A361" s="26"/>
      <c r="B361" s="26"/>
      <c r="C361" s="26"/>
      <c r="D361" s="26"/>
      <c r="E361" s="26"/>
      <c r="F361" s="40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</row>
    <row r="362" spans="1:17" ht="15.75" thickBot="1" x14ac:dyDescent="0.3">
      <c r="A362" s="26"/>
      <c r="B362" s="26"/>
      <c r="C362" s="26"/>
      <c r="D362" s="26"/>
      <c r="E362" s="26"/>
      <c r="F362" s="40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</row>
    <row r="363" spans="1:17" ht="15.75" thickBot="1" x14ac:dyDescent="0.3">
      <c r="A363" s="26"/>
      <c r="B363" s="26"/>
      <c r="C363" s="26"/>
      <c r="D363" s="26"/>
      <c r="E363" s="26"/>
      <c r="F363" s="40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</row>
    <row r="364" spans="1:17" ht="15.75" thickBot="1" x14ac:dyDescent="0.3">
      <c r="A364" s="26"/>
      <c r="B364" s="26"/>
      <c r="C364" s="26"/>
      <c r="D364" s="26"/>
      <c r="E364" s="26"/>
      <c r="F364" s="40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</row>
    <row r="365" spans="1:17" ht="15.75" thickBot="1" x14ac:dyDescent="0.3">
      <c r="A365" s="26"/>
      <c r="B365" s="26"/>
      <c r="C365" s="26"/>
      <c r="D365" s="26"/>
      <c r="E365" s="26"/>
      <c r="F365" s="40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</row>
    <row r="366" spans="1:17" ht="15.75" thickBot="1" x14ac:dyDescent="0.3">
      <c r="A366" s="26"/>
      <c r="B366" s="26"/>
      <c r="C366" s="26"/>
      <c r="D366" s="26"/>
      <c r="E366" s="26"/>
      <c r="F366" s="40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</row>
    <row r="367" spans="1:17" ht="15.75" thickBot="1" x14ac:dyDescent="0.3">
      <c r="A367" s="26"/>
      <c r="B367" s="26"/>
      <c r="C367" s="26"/>
      <c r="D367" s="26"/>
      <c r="E367" s="26"/>
      <c r="F367" s="40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</row>
    <row r="368" spans="1:17" ht="15.75" thickBot="1" x14ac:dyDescent="0.3">
      <c r="A368" s="26"/>
      <c r="B368" s="26"/>
      <c r="C368" s="26"/>
      <c r="D368" s="26"/>
      <c r="E368" s="26"/>
      <c r="F368" s="40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</row>
    <row r="369" spans="1:17" ht="15.75" thickBot="1" x14ac:dyDescent="0.3">
      <c r="A369" s="26"/>
      <c r="B369" s="26"/>
      <c r="C369" s="26"/>
      <c r="D369" s="26"/>
      <c r="E369" s="26"/>
      <c r="F369" s="40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</row>
    <row r="370" spans="1:17" ht="15.75" thickBot="1" x14ac:dyDescent="0.3">
      <c r="A370" s="26"/>
      <c r="B370" s="26"/>
      <c r="C370" s="26"/>
      <c r="D370" s="26"/>
      <c r="E370" s="26"/>
      <c r="F370" s="40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</row>
    <row r="371" spans="1:17" ht="15.75" thickBot="1" x14ac:dyDescent="0.3">
      <c r="A371" s="26"/>
      <c r="B371" s="26"/>
      <c r="C371" s="26"/>
      <c r="D371" s="26"/>
      <c r="E371" s="26"/>
      <c r="F371" s="40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</row>
    <row r="372" spans="1:17" ht="15.75" thickBot="1" x14ac:dyDescent="0.3">
      <c r="A372" s="26"/>
      <c r="B372" s="26"/>
      <c r="C372" s="26"/>
      <c r="D372" s="26"/>
      <c r="E372" s="26"/>
      <c r="F372" s="40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</row>
    <row r="373" spans="1:17" ht="15.75" thickBot="1" x14ac:dyDescent="0.3">
      <c r="A373" s="26"/>
      <c r="B373" s="26"/>
      <c r="C373" s="26"/>
      <c r="D373" s="26"/>
      <c r="E373" s="26"/>
      <c r="F373" s="40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</row>
    <row r="374" spans="1:17" ht="15.75" thickBot="1" x14ac:dyDescent="0.3">
      <c r="A374" s="26"/>
      <c r="B374" s="26"/>
      <c r="C374" s="26"/>
      <c r="D374" s="26"/>
      <c r="E374" s="26"/>
      <c r="F374" s="40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</row>
    <row r="375" spans="1:17" ht="15.75" thickBot="1" x14ac:dyDescent="0.3">
      <c r="A375" s="26"/>
      <c r="B375" s="26"/>
      <c r="C375" s="26"/>
      <c r="D375" s="26"/>
      <c r="E375" s="26"/>
      <c r="F375" s="40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</row>
    <row r="376" spans="1:17" ht="15.75" thickBot="1" x14ac:dyDescent="0.3">
      <c r="A376" s="26"/>
      <c r="B376" s="26"/>
      <c r="C376" s="26"/>
      <c r="D376" s="26"/>
      <c r="E376" s="26"/>
      <c r="F376" s="40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</row>
    <row r="377" spans="1:17" ht="15.75" thickBot="1" x14ac:dyDescent="0.3">
      <c r="A377" s="26"/>
      <c r="B377" s="26"/>
      <c r="C377" s="26"/>
      <c r="D377" s="26"/>
      <c r="E377" s="26"/>
      <c r="F377" s="40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</row>
    <row r="378" spans="1:17" ht="15.75" thickBot="1" x14ac:dyDescent="0.3">
      <c r="A378" s="26"/>
      <c r="B378" s="26"/>
      <c r="C378" s="26"/>
      <c r="D378" s="26"/>
      <c r="E378" s="26"/>
      <c r="F378" s="40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</row>
    <row r="379" spans="1:17" ht="15.75" thickBot="1" x14ac:dyDescent="0.3">
      <c r="A379" s="26"/>
      <c r="B379" s="26"/>
      <c r="C379" s="26"/>
      <c r="D379" s="26"/>
      <c r="E379" s="26"/>
      <c r="F379" s="40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</row>
    <row r="380" spans="1:17" ht="15.75" thickBot="1" x14ac:dyDescent="0.3">
      <c r="A380" s="26"/>
      <c r="B380" s="26"/>
      <c r="C380" s="26"/>
      <c r="D380" s="26"/>
      <c r="E380" s="26"/>
      <c r="F380" s="40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</row>
    <row r="381" spans="1:17" ht="15.75" thickBot="1" x14ac:dyDescent="0.3">
      <c r="A381" s="26"/>
      <c r="B381" s="26"/>
      <c r="C381" s="26"/>
      <c r="D381" s="26"/>
      <c r="E381" s="26"/>
      <c r="F381" s="40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</row>
    <row r="382" spans="1:17" ht="15.75" thickBot="1" x14ac:dyDescent="0.3">
      <c r="A382" s="26"/>
      <c r="B382" s="26"/>
      <c r="C382" s="26"/>
      <c r="D382" s="26"/>
      <c r="E382" s="26"/>
      <c r="F382" s="40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</row>
    <row r="383" spans="1:17" ht="15.75" thickBot="1" x14ac:dyDescent="0.3">
      <c r="A383" s="26"/>
      <c r="B383" s="26"/>
      <c r="C383" s="26"/>
      <c r="D383" s="26"/>
      <c r="E383" s="26"/>
      <c r="F383" s="40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</row>
    <row r="384" spans="1:17" ht="15.75" thickBot="1" x14ac:dyDescent="0.3">
      <c r="A384" s="26"/>
      <c r="B384" s="26"/>
      <c r="C384" s="26"/>
      <c r="D384" s="26"/>
      <c r="E384" s="26"/>
      <c r="F384" s="40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</row>
    <row r="385" spans="1:17" ht="15.75" thickBot="1" x14ac:dyDescent="0.3">
      <c r="A385" s="26"/>
      <c r="B385" s="26"/>
      <c r="C385" s="26"/>
      <c r="D385" s="26"/>
      <c r="E385" s="26"/>
      <c r="F385" s="40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</row>
    <row r="386" spans="1:17" ht="15.75" thickBot="1" x14ac:dyDescent="0.3">
      <c r="A386" s="26"/>
      <c r="B386" s="26"/>
      <c r="C386" s="26"/>
      <c r="D386" s="26"/>
      <c r="E386" s="26"/>
      <c r="F386" s="40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</row>
    <row r="387" spans="1:17" ht="15.75" thickBot="1" x14ac:dyDescent="0.3">
      <c r="A387" s="26"/>
      <c r="B387" s="26"/>
      <c r="C387" s="26"/>
      <c r="D387" s="26"/>
      <c r="E387" s="26"/>
      <c r="F387" s="40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</row>
    <row r="388" spans="1:17" ht="15.75" thickBot="1" x14ac:dyDescent="0.3">
      <c r="A388" s="26"/>
      <c r="B388" s="26"/>
      <c r="C388" s="26"/>
      <c r="D388" s="26"/>
      <c r="E388" s="26"/>
      <c r="F388" s="40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</row>
    <row r="389" spans="1:17" ht="15.75" thickBot="1" x14ac:dyDescent="0.3">
      <c r="A389" s="26"/>
      <c r="B389" s="26"/>
      <c r="C389" s="26"/>
      <c r="D389" s="26"/>
      <c r="E389" s="26"/>
      <c r="F389" s="40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</row>
    <row r="390" spans="1:17" ht="15.75" thickBot="1" x14ac:dyDescent="0.3">
      <c r="A390" s="26"/>
      <c r="B390" s="26"/>
      <c r="C390" s="26"/>
      <c r="D390" s="26"/>
      <c r="E390" s="26"/>
      <c r="F390" s="40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</row>
    <row r="391" spans="1:17" ht="15.75" thickBot="1" x14ac:dyDescent="0.3">
      <c r="A391" s="26"/>
      <c r="B391" s="26"/>
      <c r="C391" s="26"/>
      <c r="D391" s="26"/>
      <c r="E391" s="26"/>
      <c r="F391" s="40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</row>
  </sheetData>
  <autoFilter ref="A4:Q270" xr:uid="{00000000-0001-0000-0000-000000000000}"/>
  <mergeCells count="23">
    <mergeCell ref="B164:B166"/>
    <mergeCell ref="B167:B181"/>
    <mergeCell ref="B182:B189"/>
    <mergeCell ref="B190:B208"/>
    <mergeCell ref="B91:B92"/>
    <mergeCell ref="B93:B94"/>
    <mergeCell ref="B95:B125"/>
    <mergeCell ref="B126:B127"/>
    <mergeCell ref="B128:B136"/>
    <mergeCell ref="B137:B140"/>
    <mergeCell ref="B141:B163"/>
    <mergeCell ref="M3:N3"/>
    <mergeCell ref="B5:B40"/>
    <mergeCell ref="B41:B72"/>
    <mergeCell ref="B74:B86"/>
    <mergeCell ref="B87:B90"/>
    <mergeCell ref="B253:B258"/>
    <mergeCell ref="B260:B270"/>
    <mergeCell ref="B210:B211"/>
    <mergeCell ref="B213:B215"/>
    <mergeCell ref="B217:B245"/>
    <mergeCell ref="B246:B250"/>
    <mergeCell ref="B251:B252"/>
  </mergeCells>
  <hyperlinks>
    <hyperlink ref="L126" r:id="rId1" display="http://gpsnhatquang.com.vn:16840/" xr:uid="{AB90547F-F453-4F0C-B327-359B946F5497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9"/>
  <sheetViews>
    <sheetView showZeros="0" workbookViewId="0">
      <selection activeCell="E8" sqref="E8"/>
    </sheetView>
  </sheetViews>
  <sheetFormatPr defaultRowHeight="15" x14ac:dyDescent="0.25"/>
  <cols>
    <col min="1" max="1" width="11.28515625" customWidth="1"/>
    <col min="2" max="2" width="19.7109375" customWidth="1"/>
    <col min="3" max="3" width="17.28515625" bestFit="1" customWidth="1"/>
    <col min="4" max="4" width="12.85546875" bestFit="1" customWidth="1"/>
    <col min="5" max="5" width="14.85546875" bestFit="1" customWidth="1"/>
    <col min="6" max="6" width="67.85546875" customWidth="1"/>
    <col min="7" max="7" width="12" bestFit="1" customWidth="1"/>
    <col min="8" max="8" width="14.28515625" bestFit="1" customWidth="1"/>
    <col min="9" max="9" width="3.5703125" bestFit="1" customWidth="1"/>
  </cols>
  <sheetData>
    <row r="1" spans="1:9" x14ac:dyDescent="0.25">
      <c r="A1" s="53" t="s">
        <v>638</v>
      </c>
      <c r="B1" s="54"/>
      <c r="C1" s="54"/>
      <c r="D1" s="54"/>
      <c r="E1" s="54"/>
      <c r="F1" s="54"/>
      <c r="G1" s="54"/>
      <c r="H1" s="54"/>
      <c r="I1" s="55"/>
    </row>
    <row r="2" spans="1:9" x14ac:dyDescent="0.25">
      <c r="A2" s="56"/>
      <c r="B2" s="57"/>
      <c r="C2" s="57"/>
      <c r="D2" s="57"/>
      <c r="E2" s="57"/>
      <c r="F2" s="58"/>
      <c r="G2" s="57"/>
      <c r="H2" s="57"/>
      <c r="I2" s="59"/>
    </row>
    <row r="3" spans="1:9" ht="15" customHeight="1" x14ac:dyDescent="0.25">
      <c r="A3" s="60" t="s">
        <v>67</v>
      </c>
      <c r="B3" s="61"/>
      <c r="C3" s="10" t="s">
        <v>14</v>
      </c>
      <c r="D3" s="10" t="s">
        <v>15</v>
      </c>
      <c r="E3" s="10" t="s">
        <v>16</v>
      </c>
      <c r="F3" s="28" t="s">
        <v>42</v>
      </c>
      <c r="G3" s="66" t="s">
        <v>17</v>
      </c>
      <c r="H3" s="67"/>
      <c r="I3" s="67"/>
    </row>
    <row r="4" spans="1:9" ht="15" customHeight="1" x14ac:dyDescent="0.25">
      <c r="A4" s="62"/>
      <c r="B4" s="63"/>
      <c r="C4" s="11" t="s">
        <v>118</v>
      </c>
      <c r="D4" s="8">
        <f>COUNTIFS(Sheet1!E:E,TongHopXLBH_2503!C4)</f>
        <v>41</v>
      </c>
      <c r="E4" s="8">
        <f>COUNTIFS(Sheet1!E:E,C4,Sheet1!D:D,"")</f>
        <v>19</v>
      </c>
      <c r="F4" s="28" t="s">
        <v>637</v>
      </c>
      <c r="G4" s="68" t="s">
        <v>18</v>
      </c>
      <c r="H4" s="68"/>
      <c r="I4" s="8">
        <f>COUNTIF(Sheet1!Q:Q,"Tùng")</f>
        <v>85</v>
      </c>
    </row>
    <row r="5" spans="1:9" ht="15.75" customHeight="1" x14ac:dyDescent="0.25">
      <c r="A5" s="62"/>
      <c r="B5" s="63"/>
      <c r="C5" s="11" t="s">
        <v>98</v>
      </c>
      <c r="D5" s="8">
        <f>COUNTIFS(Sheet1!E:E,TongHopXLBH_2503!C5)</f>
        <v>44</v>
      </c>
      <c r="E5" s="8">
        <f>COUNTIFS(Sheet1!E:E,C5,Sheet1!D:D,"")</f>
        <v>14</v>
      </c>
      <c r="F5" s="28" t="s">
        <v>637</v>
      </c>
      <c r="G5" s="69" t="s">
        <v>19</v>
      </c>
      <c r="H5" s="68"/>
      <c r="I5" s="8">
        <f>COUNTIF(Sheet1!Q:Q,"Hậu")</f>
        <v>125</v>
      </c>
    </row>
    <row r="6" spans="1:9" ht="15.75" customHeight="1" x14ac:dyDescent="0.25">
      <c r="A6" s="62"/>
      <c r="B6" s="63"/>
      <c r="C6" s="11" t="s">
        <v>107</v>
      </c>
      <c r="D6" s="8">
        <f>COUNTIFS(Sheet1!E:E,TongHopXLBH_2503!C6)</f>
        <v>37</v>
      </c>
      <c r="E6" s="8">
        <f>COUNTIFS(Sheet1!E:E,C6,Sheet1!D:D,"")</f>
        <v>13</v>
      </c>
      <c r="F6" s="21" t="s">
        <v>637</v>
      </c>
      <c r="G6" s="50" t="s">
        <v>70</v>
      </c>
      <c r="H6" s="51"/>
      <c r="I6" s="12">
        <f>COUNTIF(Sheet1!Q:Q,"Quang")</f>
        <v>0</v>
      </c>
    </row>
    <row r="7" spans="1:9" ht="15.75" customHeight="1" x14ac:dyDescent="0.25">
      <c r="A7" s="62"/>
      <c r="B7" s="63"/>
      <c r="C7" s="11" t="s">
        <v>36</v>
      </c>
      <c r="D7" s="8">
        <f>COUNTIFS(Sheet1!E:E,TongHopXLBH_2503!C7)</f>
        <v>24</v>
      </c>
      <c r="E7" s="8">
        <f>COUNTIFS(Sheet1!E:E,C7,Sheet1!D:D,"")</f>
        <v>23</v>
      </c>
      <c r="F7" s="21"/>
      <c r="G7" s="1"/>
      <c r="H7" s="1"/>
      <c r="I7" s="1"/>
    </row>
    <row r="8" spans="1:9" ht="15.75" customHeight="1" x14ac:dyDescent="0.25">
      <c r="A8" s="62"/>
      <c r="B8" s="63"/>
      <c r="C8" s="11" t="s">
        <v>231</v>
      </c>
      <c r="D8" s="8">
        <f>COUNTIFS(Sheet1!E:E,TongHopXLBH_2503!C8)</f>
        <v>4</v>
      </c>
      <c r="E8" s="8">
        <f>COUNTIFS(Sheet1!E:E,C8,Sheet1!D:D,"")</f>
        <v>0</v>
      </c>
      <c r="F8" s="21" t="s">
        <v>641</v>
      </c>
      <c r="G8" s="1"/>
      <c r="H8" s="1"/>
      <c r="I8" s="1"/>
    </row>
    <row r="9" spans="1:9" ht="15.75" customHeight="1" x14ac:dyDescent="0.25">
      <c r="A9" s="62"/>
      <c r="B9" s="63"/>
      <c r="C9" s="11" t="s">
        <v>127</v>
      </c>
      <c r="D9" s="8">
        <f>COUNTIFS(Sheet1!E:E,TongHopXLBH_2503!C9)</f>
        <v>23</v>
      </c>
      <c r="E9" s="8">
        <f>COUNTIFS(Sheet1!E:E,C9,Sheet1!D:D,"")</f>
        <v>10</v>
      </c>
      <c r="F9" s="21" t="s">
        <v>639</v>
      </c>
      <c r="G9" s="1"/>
      <c r="H9" s="1"/>
      <c r="I9" s="1"/>
    </row>
    <row r="10" spans="1:9" ht="15.75" customHeight="1" x14ac:dyDescent="0.25">
      <c r="A10" s="62"/>
      <c r="B10" s="63"/>
      <c r="C10" s="11" t="s">
        <v>279</v>
      </c>
      <c r="D10" s="8">
        <f>COUNTIFS(Sheet1!E:E,TongHopXLBH_2503!C10)</f>
        <v>7</v>
      </c>
      <c r="E10" s="8">
        <f>COUNTIFS(Sheet1!E:E,C10,Sheet1!D:D,"")</f>
        <v>2</v>
      </c>
      <c r="F10" s="21"/>
      <c r="G10" s="1"/>
      <c r="H10" s="1"/>
      <c r="I10" s="1"/>
    </row>
    <row r="11" spans="1:9" ht="15.75" customHeight="1" x14ac:dyDescent="0.25">
      <c r="A11" s="62"/>
      <c r="B11" s="63"/>
      <c r="C11" s="11" t="s">
        <v>366</v>
      </c>
      <c r="D11" s="8">
        <f>COUNTIFS(Sheet1!E:E,TongHopXLBH_2503!C11)</f>
        <v>3</v>
      </c>
      <c r="E11" s="8">
        <f>COUNTIFS(Sheet1!E:E,C11,Sheet1!D:D,"")</f>
        <v>2</v>
      </c>
      <c r="F11" s="21"/>
      <c r="G11" s="1"/>
      <c r="H11" s="1"/>
      <c r="I11" s="1"/>
    </row>
    <row r="12" spans="1:9" ht="15.75" customHeight="1" x14ac:dyDescent="0.25">
      <c r="A12" s="62"/>
      <c r="B12" s="63"/>
      <c r="C12" s="11" t="s">
        <v>35</v>
      </c>
      <c r="D12" s="8">
        <f>COUNTIFS(Sheet1!E:E,TongHopXLBH_2503!C12)</f>
        <v>8</v>
      </c>
      <c r="E12" s="8">
        <f>COUNTIFS(Sheet1!E:E,C12,Sheet1!D:D,"")</f>
        <v>6</v>
      </c>
      <c r="F12" s="21"/>
      <c r="G12" s="1"/>
      <c r="H12" s="1"/>
      <c r="I12" s="1"/>
    </row>
    <row r="13" spans="1:9" ht="15.75" customHeight="1" x14ac:dyDescent="0.25">
      <c r="A13" s="62"/>
      <c r="B13" s="63"/>
      <c r="C13" s="11" t="s">
        <v>33</v>
      </c>
      <c r="D13" s="8">
        <f>COUNTIFS(Sheet1!E:E,TongHopXLBH_2503!C13)</f>
        <v>0</v>
      </c>
      <c r="E13" s="8">
        <f>COUNTIFS(Sheet1!E:E,C13,Sheet1!D:D,"")</f>
        <v>0</v>
      </c>
      <c r="F13" s="21"/>
      <c r="G13" s="1"/>
      <c r="H13" s="1"/>
      <c r="I13" s="1"/>
    </row>
    <row r="14" spans="1:9" ht="15" customHeight="1" x14ac:dyDescent="0.25">
      <c r="A14" s="62"/>
      <c r="B14" s="63"/>
      <c r="C14" s="11" t="s">
        <v>8</v>
      </c>
      <c r="D14" s="8">
        <f>COUNTIFS(Sheet1!E:E,TongHopXLBH_2503!C14)</f>
        <v>8</v>
      </c>
      <c r="E14" s="8">
        <f>COUNTIFS(Sheet1!E:E,C14,Sheet1!D:D,"")</f>
        <v>7</v>
      </c>
      <c r="F14" s="21"/>
      <c r="G14" s="1"/>
      <c r="H14" s="1"/>
      <c r="I14" s="1"/>
    </row>
    <row r="15" spans="1:9" ht="15" customHeight="1" x14ac:dyDescent="0.25">
      <c r="A15" s="62"/>
      <c r="B15" s="63"/>
      <c r="C15" s="11" t="s">
        <v>21</v>
      </c>
      <c r="D15" s="8">
        <f>COUNTIFS(Sheet1!E:E,TongHopXLBH_2503!C15)</f>
        <v>3</v>
      </c>
      <c r="E15" s="8">
        <f>COUNTIFS(Sheet1!E:E,C15,Sheet1!D:D,"")</f>
        <v>1</v>
      </c>
      <c r="F15" s="21"/>
      <c r="G15" s="1"/>
      <c r="H15" s="1"/>
      <c r="I15" s="1"/>
    </row>
    <row r="16" spans="1:9" ht="15" customHeight="1" x14ac:dyDescent="0.25">
      <c r="A16" s="62"/>
      <c r="B16" s="63"/>
      <c r="C16" s="11" t="s">
        <v>20</v>
      </c>
      <c r="D16" s="8">
        <f>COUNTIFS(Sheet1!E:E,TongHopXLBH_2503!C16)</f>
        <v>5</v>
      </c>
      <c r="E16" s="8">
        <f>COUNTIFS(Sheet1!E:E,C16,Sheet1!D:D,"")</f>
        <v>2</v>
      </c>
      <c r="F16" s="21"/>
      <c r="G16" s="1"/>
      <c r="H16" s="1"/>
      <c r="I16" s="1"/>
    </row>
    <row r="17" spans="1:9" ht="15" customHeight="1" x14ac:dyDescent="0.25">
      <c r="A17" s="62"/>
      <c r="B17" s="63"/>
      <c r="C17" s="11" t="s">
        <v>4</v>
      </c>
      <c r="D17" s="8">
        <f>COUNTIFS(Sheet1!E:E,TongHopXLBH_2503!C17)</f>
        <v>47</v>
      </c>
      <c r="E17" s="8">
        <f>COUNTIFS(Sheet1!E:E,C17,Sheet1!D:D,"")</f>
        <v>17</v>
      </c>
      <c r="F17" s="21"/>
      <c r="G17" s="1"/>
      <c r="H17" s="1"/>
      <c r="I17" s="1"/>
    </row>
    <row r="18" spans="1:9" ht="15" customHeight="1" x14ac:dyDescent="0.25">
      <c r="A18" s="62"/>
      <c r="B18" s="63"/>
      <c r="C18" s="11" t="s">
        <v>68</v>
      </c>
      <c r="D18" s="8">
        <f>COUNTIFS(Sheet1!E:E,TongHopXLBH_2503!C18)</f>
        <v>10</v>
      </c>
      <c r="E18" s="8">
        <f>COUNTIFS(Sheet1!E:E,C18,Sheet1!D:D,"")</f>
        <v>8</v>
      </c>
      <c r="F18" s="21" t="s">
        <v>640</v>
      </c>
      <c r="G18" s="1"/>
      <c r="H18" s="1"/>
      <c r="I18" s="1"/>
    </row>
    <row r="19" spans="1:9" ht="15" customHeight="1" x14ac:dyDescent="0.25">
      <c r="A19" s="62"/>
      <c r="B19" s="63"/>
      <c r="C19" s="11" t="s">
        <v>21</v>
      </c>
      <c r="D19" s="8">
        <f>COUNTIFS(Sheet1!E:E,TongHopXLBH_2503!C19)</f>
        <v>3</v>
      </c>
      <c r="E19" s="8"/>
      <c r="F19" s="21"/>
      <c r="G19" s="1"/>
      <c r="H19" s="1"/>
      <c r="I19" s="1"/>
    </row>
    <row r="20" spans="1:9" ht="15" customHeight="1" x14ac:dyDescent="0.25">
      <c r="A20" s="62"/>
      <c r="B20" s="63"/>
      <c r="C20" s="11" t="s">
        <v>38</v>
      </c>
      <c r="D20" s="8">
        <f>COUNTIFS(Sheet1!E:E,TongHopXLBH_2503!C20)</f>
        <v>1</v>
      </c>
      <c r="E20" s="8">
        <f>COUNTIFS(Sheet1!E:E,C20,Sheet1!D:D,"")</f>
        <v>0</v>
      </c>
      <c r="F20" s="21"/>
      <c r="G20" s="1"/>
      <c r="H20" s="1"/>
      <c r="I20" s="1"/>
    </row>
    <row r="21" spans="1:9" ht="15" customHeight="1" x14ac:dyDescent="0.25">
      <c r="A21" s="62"/>
      <c r="B21" s="63"/>
      <c r="C21" s="11" t="s">
        <v>22</v>
      </c>
      <c r="D21" s="8">
        <f>COUNTIFS(Sheet1!E:E,"*PK_*")</f>
        <v>1</v>
      </c>
      <c r="E21" s="8">
        <f>COUNTIFS(Sheet1!E:E,C21,Sheet1!D:D,"")</f>
        <v>0</v>
      </c>
      <c r="F21" s="21"/>
      <c r="G21" s="1"/>
      <c r="H21" s="1"/>
      <c r="I21" s="1"/>
    </row>
    <row r="22" spans="1:9" ht="15" customHeight="1" x14ac:dyDescent="0.25">
      <c r="A22" s="64"/>
      <c r="B22" s="65"/>
      <c r="C22" s="9" t="s">
        <v>23</v>
      </c>
      <c r="D22" s="8">
        <f>SUM(D4:D21)</f>
        <v>269</v>
      </c>
      <c r="E22" s="8">
        <f>SUM(E4:E21)</f>
        <v>124</v>
      </c>
      <c r="F22" s="21"/>
      <c r="G22" s="1"/>
      <c r="H22" s="1"/>
      <c r="I22" s="1"/>
    </row>
    <row r="23" spans="1:9" x14ac:dyDescent="0.25">
      <c r="A23" s="1"/>
      <c r="B23" s="1"/>
      <c r="C23" s="1"/>
      <c r="D23" s="1"/>
      <c r="E23" s="1"/>
      <c r="F23" s="1"/>
      <c r="G23" s="1"/>
      <c r="H23" s="1"/>
      <c r="I23" s="1"/>
    </row>
    <row r="24" spans="1:9" x14ac:dyDescent="0.25">
      <c r="A24" s="1"/>
      <c r="B24" s="2"/>
      <c r="C24" s="2"/>
      <c r="D24" s="52"/>
      <c r="E24" s="52"/>
      <c r="F24" s="1"/>
      <c r="G24" s="1"/>
      <c r="H24" s="1"/>
      <c r="I24" s="1"/>
    </row>
    <row r="25" spans="1:9" x14ac:dyDescent="0.25">
      <c r="G25" s="2"/>
    </row>
    <row r="26" spans="1:9" x14ac:dyDescent="0.25">
      <c r="A26" s="5"/>
      <c r="B26" s="6"/>
      <c r="C26" s="6"/>
      <c r="D26" s="6"/>
      <c r="E26" s="6"/>
      <c r="G26" s="2"/>
    </row>
    <row r="27" spans="1:9" x14ac:dyDescent="0.25">
      <c r="A27" s="7"/>
      <c r="G27" s="3"/>
    </row>
    <row r="28" spans="1:9" x14ac:dyDescent="0.25">
      <c r="A28" s="4"/>
    </row>
    <row r="29" spans="1:9" x14ac:dyDescent="0.25">
      <c r="A29" s="4"/>
    </row>
    <row r="30" spans="1:9" x14ac:dyDescent="0.25">
      <c r="A30" s="4"/>
    </row>
    <row r="31" spans="1:9" x14ac:dyDescent="0.25">
      <c r="A31" s="4"/>
    </row>
    <row r="32" spans="1:9" x14ac:dyDescent="0.25">
      <c r="A32" s="4"/>
    </row>
    <row r="33" spans="1:1" x14ac:dyDescent="0.25">
      <c r="A33" s="4"/>
    </row>
    <row r="34" spans="1:1" x14ac:dyDescent="0.25">
      <c r="A34" s="4"/>
    </row>
    <row r="35" spans="1:1" x14ac:dyDescent="0.25">
      <c r="A35" s="4"/>
    </row>
    <row r="36" spans="1:1" x14ac:dyDescent="0.25">
      <c r="A36" s="4"/>
    </row>
    <row r="37" spans="1:1" x14ac:dyDescent="0.25">
      <c r="A37" s="4"/>
    </row>
    <row r="38" spans="1:1" x14ac:dyDescent="0.25">
      <c r="A38" s="4"/>
    </row>
    <row r="39" spans="1:1" x14ac:dyDescent="0.25">
      <c r="A39" s="4"/>
    </row>
  </sheetData>
  <mergeCells count="7">
    <mergeCell ref="G6:H6"/>
    <mergeCell ref="D24:E24"/>
    <mergeCell ref="A1:I2"/>
    <mergeCell ref="A3:B22"/>
    <mergeCell ref="G3:I3"/>
    <mergeCell ref="G4:H4"/>
    <mergeCell ref="G5:H5"/>
  </mergeCells>
  <phoneticPr fontId="1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TongHopXLBH_2503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BH-SX</dc:creator>
  <cp:lastModifiedBy>Hậu Văn</cp:lastModifiedBy>
  <dcterms:created xsi:type="dcterms:W3CDTF">2024-08-09T02:56:34Z</dcterms:created>
  <dcterms:modified xsi:type="dcterms:W3CDTF">2026-09-30T04:48:05Z</dcterms:modified>
</cp:coreProperties>
</file>