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VNET\3. G_Documents\4. Tài liệu\VNSH03\"/>
    </mc:Choice>
  </mc:AlternateContent>
  <xr:revisionPtr revIDLastSave="0" documentId="13_ncr:1_{EB0A5517-B5DC-4129-83C3-6FC3B8AA9D5F}" xr6:coauthVersionLast="47" xr6:coauthVersionMax="47" xr10:uidLastSave="{00000000-0000-0000-0000-000000000000}"/>
  <bookViews>
    <workbookView xWindow="-120" yWindow="-120" windowWidth="29040" windowHeight="16440" activeTab="2" xr2:uid="{F4D1D976-2D04-4FF3-8989-010921DC315D}"/>
  </bookViews>
  <sheets>
    <sheet name="Board GX" sheetId="5" r:id="rId1"/>
    <sheet name="BOX_CAM" sheetId="6" r:id="rId2"/>
    <sheet name="Board RK3562" sheetId="1" r:id="rId3"/>
    <sheet name="REF" sheetId="4" r:id="rId4"/>
    <sheet name="VNET-XF-2105" sheetId="7" r:id="rId5"/>
    <sheet name="VNET-XF_dự kiến lần 2" sheetId="8" r:id="rId6"/>
  </sheets>
  <externalReferences>
    <externalReference r:id="rId7"/>
  </externalReferences>
  <definedNames>
    <definedName name="_xlnm._FilterDatabase" localSheetId="0" hidden="1">'Board GX'!$A$6:$AJ$19</definedName>
    <definedName name="_xlnm._FilterDatabase" localSheetId="2" hidden="1">'Board RK3562'!$A$6:$AJ$149</definedName>
    <definedName name="_xlnm._FilterDatabase" localSheetId="1" hidden="1">BOX_CAM!$A$6:$AJ$27</definedName>
    <definedName name="_xlnm._FilterDatabase" localSheetId="3" hidden="1">REF!$A$2:$H$31</definedName>
    <definedName name="_xlnm._FilterDatabase" localSheetId="5" hidden="1">'VNET-XF_dự kiến lần 2'!$A$1:$G$42</definedName>
    <definedName name="_xlnm._FilterDatabase" localSheetId="4" hidden="1">'VNET-XF-2105'!$A$11:$D$145</definedName>
    <definedName name="_xlnm.Print_Area" localSheetId="4">'VNET-XF-2105'!$A$1:$E$154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84" i="1" l="1"/>
  <c r="AH19" i="6"/>
  <c r="AH20" i="6"/>
  <c r="AH21" i="6"/>
  <c r="AH22" i="6"/>
  <c r="AH26" i="6"/>
  <c r="AJ148" i="1"/>
  <c r="B18" i="6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27" i="6"/>
  <c r="B26" i="6"/>
  <c r="B25" i="6"/>
  <c r="B24" i="6"/>
  <c r="B23" i="6"/>
  <c r="B22" i="6"/>
  <c r="B21" i="6"/>
  <c r="B20" i="6"/>
  <c r="B17" i="6"/>
  <c r="B16" i="6"/>
  <c r="B15" i="6"/>
  <c r="B14" i="6"/>
  <c r="B13" i="6"/>
  <c r="B12" i="6"/>
  <c r="B11" i="6"/>
  <c r="B10" i="6"/>
  <c r="B9" i="6"/>
  <c r="B8" i="6"/>
  <c r="B7" i="6"/>
  <c r="AF148" i="1"/>
  <c r="AE144" i="1"/>
  <c r="AE143" i="1"/>
  <c r="AE142" i="1"/>
  <c r="AE141" i="1"/>
  <c r="AE140" i="1"/>
  <c r="AE139" i="1"/>
  <c r="AE137" i="1"/>
  <c r="AE136" i="1"/>
  <c r="AE135" i="1"/>
  <c r="AE134" i="1"/>
  <c r="AE133" i="1"/>
  <c r="AE132" i="1"/>
  <c r="AE131" i="1"/>
  <c r="AE130" i="1"/>
  <c r="AE129" i="1"/>
  <c r="AE128" i="1"/>
  <c r="AE127" i="1"/>
  <c r="AE126" i="1"/>
  <c r="AE125" i="1"/>
  <c r="AE124" i="1"/>
  <c r="AE123" i="1"/>
  <c r="AE122" i="1"/>
  <c r="AE121" i="1"/>
  <c r="AE120" i="1"/>
  <c r="AE119" i="1"/>
  <c r="AE118" i="1"/>
  <c r="AE116" i="1"/>
  <c r="AE115" i="1"/>
  <c r="AE113" i="1"/>
  <c r="AE112" i="1"/>
  <c r="AE111" i="1"/>
  <c r="AE110" i="1"/>
  <c r="AE109" i="1"/>
  <c r="AE108" i="1"/>
  <c r="AE107" i="1"/>
  <c r="AE106" i="1"/>
  <c r="AE105" i="1"/>
  <c r="AE104" i="1"/>
  <c r="AE103" i="1"/>
  <c r="AE102" i="1"/>
  <c r="AE101" i="1"/>
  <c r="AE100" i="1"/>
  <c r="AE98" i="1"/>
  <c r="AE97" i="1"/>
  <c r="AE96" i="1"/>
  <c r="AE95" i="1"/>
  <c r="AE94" i="1"/>
  <c r="AE93" i="1"/>
  <c r="AE92" i="1"/>
  <c r="AE91" i="1"/>
  <c r="AE90" i="1"/>
  <c r="AE88" i="1"/>
  <c r="AE87" i="1"/>
  <c r="AE86" i="1"/>
  <c r="AE85" i="1"/>
  <c r="AE84" i="1"/>
  <c r="AE83" i="1"/>
  <c r="AE82" i="1"/>
  <c r="AE81" i="1"/>
  <c r="AE80" i="1"/>
  <c r="AE79" i="1"/>
  <c r="AE78" i="1"/>
  <c r="AE77" i="1"/>
  <c r="AE76" i="1"/>
  <c r="AE75" i="1"/>
  <c r="AE74" i="1"/>
  <c r="AE73" i="1"/>
  <c r="AE72" i="1"/>
  <c r="AE71" i="1"/>
  <c r="AE70" i="1"/>
  <c r="AE69" i="1"/>
  <c r="AE68" i="1"/>
  <c r="AE67" i="1"/>
  <c r="AE66" i="1"/>
  <c r="AE65" i="1"/>
  <c r="AE64" i="1"/>
  <c r="AE62" i="1"/>
  <c r="AE60" i="1"/>
  <c r="AE59" i="1"/>
  <c r="AE57" i="1"/>
  <c r="AE56" i="1"/>
  <c r="AE55" i="1"/>
  <c r="AE54" i="1"/>
  <c r="AE53" i="1"/>
  <c r="AE52" i="1"/>
  <c r="AE51" i="1"/>
  <c r="AE50" i="1"/>
  <c r="AE48" i="1"/>
  <c r="AE47" i="1"/>
  <c r="AE46" i="1"/>
  <c r="AE45" i="1"/>
  <c r="AE44" i="1"/>
  <c r="AE43" i="1"/>
  <c r="AE42" i="1"/>
  <c r="AE41" i="1"/>
  <c r="AE40" i="1"/>
  <c r="AE39" i="1"/>
  <c r="AE38" i="1"/>
  <c r="AE37" i="1"/>
  <c r="AE36" i="1"/>
  <c r="AE35" i="1"/>
  <c r="AE34" i="1"/>
  <c r="AE33" i="1"/>
  <c r="AE32" i="1"/>
  <c r="AE31" i="1"/>
  <c r="AE30" i="1"/>
  <c r="AE29" i="1"/>
  <c r="AE28" i="1"/>
  <c r="AE27" i="1"/>
  <c r="AE26" i="1"/>
  <c r="AE25" i="1"/>
  <c r="AE24" i="1"/>
  <c r="AE23" i="1"/>
  <c r="AE22" i="1"/>
  <c r="AE21" i="1"/>
  <c r="AE20" i="1"/>
  <c r="AE19" i="1"/>
  <c r="AE18" i="1"/>
  <c r="AE17" i="1"/>
  <c r="AE16" i="1"/>
  <c r="AE15" i="1"/>
  <c r="AE14" i="1"/>
  <c r="AE13" i="1"/>
  <c r="AE12" i="1"/>
  <c r="AE11" i="1"/>
  <c r="AE10" i="1"/>
  <c r="AE8" i="1"/>
  <c r="AE99" i="1"/>
  <c r="AH23" i="6" l="1"/>
  <c r="AH11" i="6"/>
  <c r="AH12" i="6"/>
  <c r="AE146" i="1"/>
  <c r="AE145" i="1"/>
  <c r="AE138" i="1"/>
  <c r="AE117" i="1"/>
  <c r="AE114" i="1"/>
  <c r="AE89" i="1"/>
  <c r="AE63" i="1"/>
  <c r="AE61" i="1"/>
  <c r="AE58" i="1"/>
  <c r="AE49" i="1"/>
  <c r="AE9" i="1"/>
  <c r="AE7" i="1"/>
  <c r="O27" i="6" l="1"/>
  <c r="P27" i="6" s="1"/>
  <c r="F27" i="6"/>
  <c r="E27" i="6"/>
  <c r="D27" i="6"/>
  <c r="A27" i="6"/>
  <c r="O8" i="6"/>
  <c r="P8" i="6" s="1"/>
  <c r="AJ8" i="6" s="1"/>
  <c r="F8" i="6"/>
  <c r="E8" i="6"/>
  <c r="D8" i="6"/>
  <c r="A8" i="6"/>
  <c r="O7" i="6"/>
  <c r="P7" i="6" s="1"/>
  <c r="AJ7" i="6" s="1"/>
  <c r="F7" i="6"/>
  <c r="E7" i="6"/>
  <c r="D7" i="6"/>
  <c r="A7" i="6"/>
  <c r="O26" i="6"/>
  <c r="P26" i="6" s="1"/>
  <c r="F26" i="6"/>
  <c r="E26" i="6"/>
  <c r="D26" i="6"/>
  <c r="A26" i="6"/>
  <c r="O25" i="6"/>
  <c r="P25" i="6" s="1"/>
  <c r="F25" i="6"/>
  <c r="E25" i="6"/>
  <c r="D25" i="6"/>
  <c r="A25" i="6"/>
  <c r="O24" i="6"/>
  <c r="P24" i="6" s="1"/>
  <c r="F24" i="6"/>
  <c r="E24" i="6"/>
  <c r="D24" i="6"/>
  <c r="A24" i="6"/>
  <c r="O23" i="6"/>
  <c r="P23" i="6" s="1"/>
  <c r="F23" i="6"/>
  <c r="E23" i="6"/>
  <c r="D23" i="6"/>
  <c r="A23" i="6"/>
  <c r="O22" i="6"/>
  <c r="P22" i="6" s="1"/>
  <c r="F22" i="6"/>
  <c r="E22" i="6"/>
  <c r="D22" i="6"/>
  <c r="A22" i="6"/>
  <c r="O21" i="6"/>
  <c r="P21" i="6" s="1"/>
  <c r="F21" i="6"/>
  <c r="E21" i="6"/>
  <c r="D21" i="6"/>
  <c r="A21" i="6"/>
  <c r="O20" i="6"/>
  <c r="P20" i="6" s="1"/>
  <c r="F20" i="6"/>
  <c r="E20" i="6"/>
  <c r="D20" i="6"/>
  <c r="A20" i="6"/>
  <c r="O19" i="6"/>
  <c r="P19" i="6" s="1"/>
  <c r="F19" i="6"/>
  <c r="E19" i="6"/>
  <c r="D19" i="6"/>
  <c r="A19" i="6"/>
  <c r="O18" i="6"/>
  <c r="P18" i="6" s="1"/>
  <c r="F18" i="6"/>
  <c r="E18" i="6"/>
  <c r="D18" i="6"/>
  <c r="A18" i="6"/>
  <c r="O17" i="6"/>
  <c r="P17" i="6" s="1"/>
  <c r="F17" i="6"/>
  <c r="E17" i="6"/>
  <c r="D17" i="6"/>
  <c r="A17" i="6"/>
  <c r="O16" i="6"/>
  <c r="P16" i="6" s="1"/>
  <c r="F16" i="6"/>
  <c r="E16" i="6"/>
  <c r="D16" i="6"/>
  <c r="A16" i="6"/>
  <c r="O15" i="6"/>
  <c r="P15" i="6" s="1"/>
  <c r="F15" i="6"/>
  <c r="E15" i="6"/>
  <c r="D15" i="6"/>
  <c r="A15" i="6"/>
  <c r="O14" i="6"/>
  <c r="P14" i="6" s="1"/>
  <c r="F14" i="6"/>
  <c r="E14" i="6"/>
  <c r="D14" i="6"/>
  <c r="A14" i="6"/>
  <c r="O13" i="6"/>
  <c r="P13" i="6" s="1"/>
  <c r="F13" i="6"/>
  <c r="E13" i="6"/>
  <c r="D13" i="6"/>
  <c r="A13" i="6"/>
  <c r="O12" i="6"/>
  <c r="P12" i="6" s="1"/>
  <c r="F12" i="6"/>
  <c r="E12" i="6"/>
  <c r="D12" i="6"/>
  <c r="A12" i="6"/>
  <c r="O11" i="6"/>
  <c r="P11" i="6" s="1"/>
  <c r="F11" i="6"/>
  <c r="E11" i="6"/>
  <c r="D11" i="6"/>
  <c r="A11" i="6"/>
  <c r="O10" i="6"/>
  <c r="P10" i="6" s="1"/>
  <c r="F10" i="6"/>
  <c r="E10" i="6"/>
  <c r="D10" i="6"/>
  <c r="A10" i="6"/>
  <c r="O9" i="6"/>
  <c r="P9" i="6" s="1"/>
  <c r="F9" i="6"/>
  <c r="E9" i="6"/>
  <c r="D9" i="6"/>
  <c r="A9" i="6"/>
  <c r="O19" i="5"/>
  <c r="P19" i="5" s="1"/>
  <c r="F19" i="5"/>
  <c r="E19" i="5"/>
  <c r="D19" i="5"/>
  <c r="A19" i="5"/>
  <c r="O18" i="5"/>
  <c r="P18" i="5" s="1"/>
  <c r="AJ18" i="5" s="1"/>
  <c r="F18" i="5"/>
  <c r="E18" i="5"/>
  <c r="D18" i="5"/>
  <c r="A18" i="5"/>
  <c r="O17" i="5"/>
  <c r="P17" i="5" s="1"/>
  <c r="F17" i="5"/>
  <c r="E17" i="5"/>
  <c r="D17" i="5"/>
  <c r="A17" i="5"/>
  <c r="O16" i="5"/>
  <c r="P16" i="5" s="1"/>
  <c r="F16" i="5"/>
  <c r="E16" i="5"/>
  <c r="D16" i="5"/>
  <c r="A16" i="5"/>
  <c r="O15" i="5"/>
  <c r="P15" i="5" s="1"/>
  <c r="F15" i="5"/>
  <c r="E15" i="5"/>
  <c r="D15" i="5"/>
  <c r="A15" i="5"/>
  <c r="O14" i="5"/>
  <c r="P14" i="5" s="1"/>
  <c r="F14" i="5"/>
  <c r="E14" i="5"/>
  <c r="D14" i="5"/>
  <c r="A14" i="5"/>
  <c r="O13" i="5"/>
  <c r="P13" i="5" s="1"/>
  <c r="F13" i="5"/>
  <c r="E13" i="5"/>
  <c r="D13" i="5"/>
  <c r="A13" i="5"/>
  <c r="O12" i="5"/>
  <c r="F12" i="5"/>
  <c r="E12" i="5"/>
  <c r="D12" i="5"/>
  <c r="A12" i="5"/>
  <c r="O11" i="5"/>
  <c r="P11" i="5" s="1"/>
  <c r="F11" i="5"/>
  <c r="E11" i="5"/>
  <c r="D11" i="5"/>
  <c r="A11" i="5"/>
  <c r="O10" i="5"/>
  <c r="P10" i="5" s="1"/>
  <c r="F10" i="5"/>
  <c r="E10" i="5"/>
  <c r="D10" i="5"/>
  <c r="A10" i="5"/>
  <c r="O9" i="5"/>
  <c r="P9" i="5" s="1"/>
  <c r="F9" i="5"/>
  <c r="E9" i="5"/>
  <c r="D9" i="5"/>
  <c r="A9" i="5"/>
  <c r="O8" i="5"/>
  <c r="F8" i="5"/>
  <c r="E8" i="5"/>
  <c r="D8" i="5"/>
  <c r="A8" i="5"/>
  <c r="O7" i="5"/>
  <c r="P7" i="5" s="1"/>
  <c r="F7" i="5"/>
  <c r="E7" i="5"/>
  <c r="D7" i="5"/>
  <c r="A7" i="5"/>
  <c r="O8" i="1"/>
  <c r="P8" i="1" s="1"/>
  <c r="F8" i="1"/>
  <c r="E8" i="1"/>
  <c r="D8" i="1"/>
  <c r="A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7" i="1"/>
  <c r="P7" i="1" s="1"/>
  <c r="F149" i="1"/>
  <c r="E149" i="1"/>
  <c r="F148" i="1"/>
  <c r="E148" i="1"/>
  <c r="F147" i="1"/>
  <c r="E147" i="1"/>
  <c r="F146" i="1"/>
  <c r="E146" i="1"/>
  <c r="F145" i="1"/>
  <c r="E145" i="1"/>
  <c r="F144" i="1"/>
  <c r="E144" i="1"/>
  <c r="F143" i="1"/>
  <c r="E143" i="1"/>
  <c r="F142" i="1"/>
  <c r="E142" i="1"/>
  <c r="F141" i="1"/>
  <c r="E141" i="1"/>
  <c r="F140" i="1"/>
  <c r="E140" i="1"/>
  <c r="F139" i="1"/>
  <c r="E139" i="1"/>
  <c r="F138" i="1"/>
  <c r="E138" i="1"/>
  <c r="F137" i="1"/>
  <c r="E137" i="1"/>
  <c r="F136" i="1"/>
  <c r="E136" i="1"/>
  <c r="F135" i="1"/>
  <c r="E135" i="1"/>
  <c r="F134" i="1"/>
  <c r="E134" i="1"/>
  <c r="F133" i="1"/>
  <c r="E133" i="1"/>
  <c r="F132" i="1"/>
  <c r="E132" i="1"/>
  <c r="F131" i="1"/>
  <c r="E131" i="1"/>
  <c r="F130" i="1"/>
  <c r="E130" i="1"/>
  <c r="F129" i="1"/>
  <c r="E129" i="1"/>
  <c r="F128" i="1"/>
  <c r="E128" i="1"/>
  <c r="F127" i="1"/>
  <c r="E127" i="1"/>
  <c r="F126" i="1"/>
  <c r="E126" i="1"/>
  <c r="F125" i="1"/>
  <c r="E125" i="1"/>
  <c r="F124" i="1"/>
  <c r="E124" i="1"/>
  <c r="F123" i="1"/>
  <c r="E123" i="1"/>
  <c r="F122" i="1"/>
  <c r="E122" i="1"/>
  <c r="F121" i="1"/>
  <c r="E121" i="1"/>
  <c r="F120" i="1"/>
  <c r="E120" i="1"/>
  <c r="F119" i="1"/>
  <c r="E119" i="1"/>
  <c r="F118" i="1"/>
  <c r="E118" i="1"/>
  <c r="F117" i="1"/>
  <c r="E117" i="1"/>
  <c r="F116" i="1"/>
  <c r="E116" i="1"/>
  <c r="F115" i="1"/>
  <c r="E115" i="1"/>
  <c r="F114" i="1"/>
  <c r="E114" i="1"/>
  <c r="F113" i="1"/>
  <c r="E113" i="1"/>
  <c r="F112" i="1"/>
  <c r="E112" i="1"/>
  <c r="F111" i="1"/>
  <c r="E111" i="1"/>
  <c r="F110" i="1"/>
  <c r="E110" i="1"/>
  <c r="F109" i="1"/>
  <c r="E109" i="1"/>
  <c r="F108" i="1"/>
  <c r="E108" i="1"/>
  <c r="F107" i="1"/>
  <c r="E107" i="1"/>
  <c r="F106" i="1"/>
  <c r="E106" i="1"/>
  <c r="F105" i="1"/>
  <c r="E105" i="1"/>
  <c r="F104" i="1"/>
  <c r="E104" i="1"/>
  <c r="F103" i="1"/>
  <c r="E103" i="1"/>
  <c r="F102" i="1"/>
  <c r="E102" i="1"/>
  <c r="F101" i="1"/>
  <c r="E101" i="1"/>
  <c r="F100" i="1"/>
  <c r="E100" i="1"/>
  <c r="F99" i="1"/>
  <c r="E99" i="1"/>
  <c r="F98" i="1"/>
  <c r="E98" i="1"/>
  <c r="F97" i="1"/>
  <c r="E97" i="1"/>
  <c r="F96" i="1"/>
  <c r="E96" i="1"/>
  <c r="F95" i="1"/>
  <c r="E95" i="1"/>
  <c r="F94" i="1"/>
  <c r="E94" i="1"/>
  <c r="F93" i="1"/>
  <c r="E93" i="1"/>
  <c r="F92" i="1"/>
  <c r="E92" i="1"/>
  <c r="F91" i="1"/>
  <c r="E91" i="1"/>
  <c r="F90" i="1"/>
  <c r="E90" i="1"/>
  <c r="F89" i="1"/>
  <c r="E89" i="1"/>
  <c r="F88" i="1"/>
  <c r="E88" i="1"/>
  <c r="F87" i="1"/>
  <c r="E87" i="1"/>
  <c r="F86" i="1"/>
  <c r="E86" i="1"/>
  <c r="F85" i="1"/>
  <c r="E85" i="1"/>
  <c r="F84" i="1"/>
  <c r="E84" i="1"/>
  <c r="F83" i="1"/>
  <c r="E83" i="1"/>
  <c r="F82" i="1"/>
  <c r="E82" i="1"/>
  <c r="F81" i="1"/>
  <c r="E81" i="1"/>
  <c r="F80" i="1"/>
  <c r="E80" i="1"/>
  <c r="F79" i="1"/>
  <c r="E79" i="1"/>
  <c r="F78" i="1"/>
  <c r="E78" i="1"/>
  <c r="F77" i="1"/>
  <c r="E77" i="1"/>
  <c r="F76" i="1"/>
  <c r="E76" i="1"/>
  <c r="F75" i="1"/>
  <c r="E75" i="1"/>
  <c r="F74" i="1"/>
  <c r="E74" i="1"/>
  <c r="F73" i="1"/>
  <c r="E73" i="1"/>
  <c r="F72" i="1"/>
  <c r="E72" i="1"/>
  <c r="F71" i="1"/>
  <c r="E71" i="1"/>
  <c r="F70" i="1"/>
  <c r="E70" i="1"/>
  <c r="F69" i="1"/>
  <c r="E69" i="1"/>
  <c r="F68" i="1"/>
  <c r="E68" i="1"/>
  <c r="F67" i="1"/>
  <c r="E67" i="1"/>
  <c r="F66" i="1"/>
  <c r="E66" i="1"/>
  <c r="F65" i="1"/>
  <c r="E65" i="1"/>
  <c r="F64" i="1"/>
  <c r="E64" i="1"/>
  <c r="F63" i="1"/>
  <c r="E63" i="1"/>
  <c r="F62" i="1"/>
  <c r="E62" i="1"/>
  <c r="F61" i="1"/>
  <c r="E61" i="1"/>
  <c r="F60" i="1"/>
  <c r="E60" i="1"/>
  <c r="F59" i="1"/>
  <c r="E59" i="1"/>
  <c r="F58" i="1"/>
  <c r="E58" i="1"/>
  <c r="F57" i="1"/>
  <c r="E57" i="1"/>
  <c r="F56" i="1"/>
  <c r="E56" i="1"/>
  <c r="F55" i="1"/>
  <c r="E55" i="1"/>
  <c r="F54" i="1"/>
  <c r="E54" i="1"/>
  <c r="F53" i="1"/>
  <c r="E53" i="1"/>
  <c r="F52" i="1"/>
  <c r="E52" i="1"/>
  <c r="F51" i="1"/>
  <c r="E51" i="1"/>
  <c r="F50" i="1"/>
  <c r="E50" i="1"/>
  <c r="F49" i="1"/>
  <c r="E49" i="1"/>
  <c r="F48" i="1"/>
  <c r="E48" i="1"/>
  <c r="F47" i="1"/>
  <c r="E47" i="1"/>
  <c r="F46" i="1"/>
  <c r="E46" i="1"/>
  <c r="F45" i="1"/>
  <c r="E45" i="1"/>
  <c r="F44" i="1"/>
  <c r="E44" i="1"/>
  <c r="F43" i="1"/>
  <c r="E43" i="1"/>
  <c r="F42" i="1"/>
  <c r="E42" i="1"/>
  <c r="F41" i="1"/>
  <c r="E41" i="1"/>
  <c r="F40" i="1"/>
  <c r="E40" i="1"/>
  <c r="F39" i="1"/>
  <c r="E39" i="1"/>
  <c r="F38" i="1"/>
  <c r="E38" i="1"/>
  <c r="F37" i="1"/>
  <c r="E37" i="1"/>
  <c r="F36" i="1"/>
  <c r="E36" i="1"/>
  <c r="F35" i="1"/>
  <c r="E35" i="1"/>
  <c r="F34" i="1"/>
  <c r="E34" i="1"/>
  <c r="F33" i="1"/>
  <c r="E33" i="1"/>
  <c r="F32" i="1"/>
  <c r="E32" i="1"/>
  <c r="F31" i="1"/>
  <c r="E31" i="1"/>
  <c r="F30" i="1"/>
  <c r="E30" i="1"/>
  <c r="F29" i="1"/>
  <c r="E29" i="1"/>
  <c r="F28" i="1"/>
  <c r="E28" i="1"/>
  <c r="F27" i="1"/>
  <c r="E27" i="1"/>
  <c r="F26" i="1"/>
  <c r="E26" i="1"/>
  <c r="F25" i="1"/>
  <c r="E25" i="1"/>
  <c r="F24" i="1"/>
  <c r="E24" i="1"/>
  <c r="F23" i="1"/>
  <c r="E23" i="1"/>
  <c r="F22" i="1"/>
  <c r="E22" i="1"/>
  <c r="F21" i="1"/>
  <c r="E21" i="1"/>
  <c r="F20" i="1"/>
  <c r="E20" i="1"/>
  <c r="F19" i="1"/>
  <c r="E19" i="1"/>
  <c r="F18" i="1"/>
  <c r="E18" i="1"/>
  <c r="F17" i="1"/>
  <c r="E17" i="1"/>
  <c r="F16" i="1"/>
  <c r="E16" i="1"/>
  <c r="F15" i="1"/>
  <c r="E15" i="1"/>
  <c r="F14" i="1"/>
  <c r="E14" i="1"/>
  <c r="F13" i="1"/>
  <c r="E13" i="1"/>
  <c r="F12" i="1"/>
  <c r="E12" i="1"/>
  <c r="F11" i="1"/>
  <c r="E11" i="1"/>
  <c r="F10" i="1"/>
  <c r="E10" i="1"/>
  <c r="F9" i="1"/>
  <c r="E9" i="1"/>
  <c r="F7" i="1"/>
  <c r="E7" i="1"/>
  <c r="AH8" i="1" l="1"/>
  <c r="AG7" i="1"/>
  <c r="AF19" i="5"/>
  <c r="AJ19" i="5"/>
  <c r="AF17" i="5"/>
  <c r="AJ17" i="5"/>
  <c r="AF16" i="5"/>
  <c r="AJ16" i="5"/>
  <c r="AF15" i="5"/>
  <c r="AJ15" i="5"/>
  <c r="AF14" i="5"/>
  <c r="AJ14" i="5"/>
  <c r="AF9" i="5"/>
  <c r="AJ9" i="5"/>
  <c r="AF7" i="5"/>
  <c r="AF27" i="6"/>
  <c r="AJ27" i="6"/>
  <c r="AF26" i="6"/>
  <c r="AJ26" i="6"/>
  <c r="AF25" i="6"/>
  <c r="AJ25" i="6"/>
  <c r="AF24" i="6"/>
  <c r="AJ24" i="6"/>
  <c r="AF23" i="6"/>
  <c r="AJ23" i="6"/>
  <c r="AF22" i="6"/>
  <c r="AJ22" i="6"/>
  <c r="AF21" i="6"/>
  <c r="AJ21" i="6"/>
  <c r="AF20" i="6"/>
  <c r="AJ20" i="6"/>
  <c r="AF19" i="6"/>
  <c r="AJ19" i="6"/>
  <c r="AF18" i="6"/>
  <c r="AJ18" i="6"/>
  <c r="AF17" i="6"/>
  <c r="AJ17" i="6"/>
  <c r="AF16" i="6"/>
  <c r="AJ16" i="6"/>
  <c r="AF15" i="6"/>
  <c r="AJ15" i="6"/>
  <c r="AF14" i="6"/>
  <c r="AJ14" i="6"/>
  <c r="AF13" i="6"/>
  <c r="AJ13" i="6"/>
  <c r="AF12" i="6"/>
  <c r="AJ12" i="6"/>
  <c r="AF11" i="6"/>
  <c r="AJ11" i="6"/>
  <c r="AF10" i="6"/>
  <c r="AJ10" i="6"/>
  <c r="AF9" i="6"/>
  <c r="AJ9" i="6"/>
  <c r="P8" i="5"/>
  <c r="P12" i="5"/>
  <c r="AF8" i="1"/>
  <c r="AF7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7" i="1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7" i="4"/>
  <c r="A25" i="4"/>
  <c r="A26" i="4"/>
  <c r="A28" i="4"/>
  <c r="A29" i="4"/>
  <c r="A30" i="4"/>
  <c r="A31" i="4"/>
  <c r="A3" i="4"/>
  <c r="P9" i="1"/>
  <c r="P10" i="1"/>
  <c r="AJ10" i="1" s="1"/>
  <c r="P11" i="1"/>
  <c r="P12" i="1"/>
  <c r="P13" i="1"/>
  <c r="P14" i="1"/>
  <c r="P15" i="1"/>
  <c r="P16" i="1"/>
  <c r="P17" i="1"/>
  <c r="P18" i="1"/>
  <c r="P19" i="1"/>
  <c r="P20" i="1"/>
  <c r="P21" i="1"/>
  <c r="AJ21" i="1" s="1"/>
  <c r="P22" i="1"/>
  <c r="P23" i="1"/>
  <c r="P24" i="1"/>
  <c r="P25" i="1"/>
  <c r="P26" i="1"/>
  <c r="P27" i="1"/>
  <c r="P28" i="1"/>
  <c r="P29" i="1"/>
  <c r="P30" i="1"/>
  <c r="P31" i="1"/>
  <c r="P32" i="1"/>
  <c r="P33" i="1"/>
  <c r="AJ33" i="1" s="1"/>
  <c r="P34" i="1"/>
  <c r="P35" i="1"/>
  <c r="P36" i="1"/>
  <c r="P37" i="1"/>
  <c r="P38" i="1"/>
  <c r="AJ38" i="1" s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AJ82" i="1" s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AJ97" i="1" s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AJ134" i="1" s="1"/>
  <c r="P135" i="1"/>
  <c r="P136" i="1"/>
  <c r="P137" i="1"/>
  <c r="P138" i="1"/>
  <c r="P139" i="1"/>
  <c r="P140" i="1"/>
  <c r="P141" i="1"/>
  <c r="P142" i="1"/>
  <c r="AJ142" i="1" s="1"/>
  <c r="P143" i="1"/>
  <c r="P144" i="1"/>
  <c r="AJ144" i="1" s="1"/>
  <c r="P145" i="1"/>
  <c r="P146" i="1"/>
  <c r="P147" i="1"/>
  <c r="AJ147" i="1" s="1"/>
  <c r="P149" i="1"/>
  <c r="AJ149" i="1" s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7" i="1"/>
  <c r="AJ8" i="1" l="1"/>
  <c r="AH11" i="1"/>
  <c r="AH7" i="5" s="1"/>
  <c r="AJ7" i="5" s="1"/>
  <c r="AH29" i="1"/>
  <c r="AH47" i="1"/>
  <c r="AJ7" i="1"/>
  <c r="AG9" i="1"/>
  <c r="AJ9" i="1" s="1"/>
  <c r="AG12" i="1"/>
  <c r="AJ12" i="1" s="1"/>
  <c r="AG13" i="1"/>
  <c r="AJ13" i="1" s="1"/>
  <c r="AG14" i="1"/>
  <c r="AJ14" i="1" s="1"/>
  <c r="AG15" i="1"/>
  <c r="AJ15" i="1" s="1"/>
  <c r="AG16" i="1"/>
  <c r="AJ16" i="1" s="1"/>
  <c r="AG17" i="1"/>
  <c r="AJ17" i="1" s="1"/>
  <c r="AG18" i="1"/>
  <c r="AG19" i="1"/>
  <c r="AJ19" i="1" s="1"/>
  <c r="AG20" i="1"/>
  <c r="AJ20" i="1" s="1"/>
  <c r="AG22" i="1"/>
  <c r="AJ22" i="1" s="1"/>
  <c r="AG23" i="1"/>
  <c r="AJ23" i="1" s="1"/>
  <c r="AG24" i="1"/>
  <c r="AJ24" i="1" s="1"/>
  <c r="AG25" i="1"/>
  <c r="AJ25" i="1" s="1"/>
  <c r="AG26" i="1"/>
  <c r="AJ26" i="1" s="1"/>
  <c r="AG27" i="1"/>
  <c r="AG28" i="1"/>
  <c r="AG30" i="1"/>
  <c r="AJ30" i="1" s="1"/>
  <c r="AG31" i="1"/>
  <c r="AJ31" i="1" s="1"/>
  <c r="AG32" i="1"/>
  <c r="AJ32" i="1" s="1"/>
  <c r="AG34" i="1"/>
  <c r="AJ34" i="1" s="1"/>
  <c r="AG35" i="1"/>
  <c r="AG36" i="1"/>
  <c r="AJ36" i="1" s="1"/>
  <c r="AG37" i="1"/>
  <c r="AJ37" i="1" s="1"/>
  <c r="AG39" i="1"/>
  <c r="AJ39" i="1" s="1"/>
  <c r="AG40" i="1"/>
  <c r="AJ40" i="1" s="1"/>
  <c r="AG41" i="1"/>
  <c r="AJ41" i="1" s="1"/>
  <c r="AG42" i="1"/>
  <c r="AG43" i="1"/>
  <c r="AJ43" i="1" s="1"/>
  <c r="AG44" i="1"/>
  <c r="AG45" i="1"/>
  <c r="AJ45" i="1" s="1"/>
  <c r="AG46" i="1"/>
  <c r="AJ46" i="1" s="1"/>
  <c r="AG48" i="1"/>
  <c r="AJ48" i="1" s="1"/>
  <c r="AG49" i="1"/>
  <c r="AJ49" i="1" s="1"/>
  <c r="AG50" i="1"/>
  <c r="AG51" i="1"/>
  <c r="AJ51" i="1" s="1"/>
  <c r="AG52" i="1"/>
  <c r="AJ52" i="1" s="1"/>
  <c r="AG53" i="1"/>
  <c r="AJ53" i="1" s="1"/>
  <c r="AG54" i="1"/>
  <c r="AG55" i="1"/>
  <c r="AG56" i="1"/>
  <c r="AJ56" i="1" s="1"/>
  <c r="AG57" i="1"/>
  <c r="AJ57" i="1" s="1"/>
  <c r="AG58" i="1"/>
  <c r="AJ58" i="1" s="1"/>
  <c r="AG59" i="1"/>
  <c r="AJ59" i="1" s="1"/>
  <c r="AG60" i="1"/>
  <c r="AJ60" i="1" s="1"/>
  <c r="AG61" i="1"/>
  <c r="AJ61" i="1" s="1"/>
  <c r="AG62" i="1"/>
  <c r="AJ62" i="1" s="1"/>
  <c r="AG63" i="1"/>
  <c r="AJ63" i="1" s="1"/>
  <c r="AG64" i="1"/>
  <c r="AJ64" i="1" s="1"/>
  <c r="AG65" i="1"/>
  <c r="AJ65" i="1" s="1"/>
  <c r="AG66" i="1"/>
  <c r="AJ66" i="1" s="1"/>
  <c r="AG67" i="1"/>
  <c r="AJ67" i="1" s="1"/>
  <c r="AG68" i="1"/>
  <c r="AJ68" i="1" s="1"/>
  <c r="AG69" i="1"/>
  <c r="AJ69" i="1" s="1"/>
  <c r="AG70" i="1"/>
  <c r="AJ70" i="1" s="1"/>
  <c r="AG71" i="1"/>
  <c r="AJ71" i="1" s="1"/>
  <c r="AG72" i="1"/>
  <c r="AJ72" i="1" s="1"/>
  <c r="AG73" i="1"/>
  <c r="AJ73" i="1" s="1"/>
  <c r="AG74" i="1"/>
  <c r="AJ74" i="1" s="1"/>
  <c r="AG75" i="1"/>
  <c r="AJ75" i="1" s="1"/>
  <c r="AG76" i="1"/>
  <c r="AJ76" i="1" s="1"/>
  <c r="AG77" i="1"/>
  <c r="AJ77" i="1" s="1"/>
  <c r="AG78" i="1"/>
  <c r="AJ78" i="1" s="1"/>
  <c r="AG79" i="1"/>
  <c r="AJ79" i="1" s="1"/>
  <c r="AG80" i="1"/>
  <c r="AJ80" i="1" s="1"/>
  <c r="AG81" i="1"/>
  <c r="AJ81" i="1" s="1"/>
  <c r="AG83" i="1"/>
  <c r="AJ83" i="1" s="1"/>
  <c r="AG84" i="1"/>
  <c r="AJ84" i="1" s="1"/>
  <c r="AG85" i="1"/>
  <c r="AJ85" i="1" s="1"/>
  <c r="AG86" i="1"/>
  <c r="AG87" i="1"/>
  <c r="AJ87" i="1" s="1"/>
  <c r="AG88" i="1"/>
  <c r="AJ88" i="1" s="1"/>
  <c r="AG89" i="1"/>
  <c r="AJ89" i="1" s="1"/>
  <c r="AG90" i="1"/>
  <c r="AG91" i="1"/>
  <c r="AJ91" i="1" s="1"/>
  <c r="AG92" i="1"/>
  <c r="AG93" i="1"/>
  <c r="AJ93" i="1" s="1"/>
  <c r="AG94" i="1"/>
  <c r="AJ94" i="1" s="1"/>
  <c r="AG95" i="1"/>
  <c r="AJ95" i="1" s="1"/>
  <c r="AG96" i="1"/>
  <c r="AJ96" i="1" s="1"/>
  <c r="AG98" i="1"/>
  <c r="AG99" i="1"/>
  <c r="AG100" i="1"/>
  <c r="AJ100" i="1" s="1"/>
  <c r="AG101" i="1"/>
  <c r="AJ101" i="1" s="1"/>
  <c r="AG102" i="1"/>
  <c r="AJ102" i="1" s="1"/>
  <c r="AG103" i="1"/>
  <c r="AJ103" i="1" s="1"/>
  <c r="AG104" i="1"/>
  <c r="AJ104" i="1" s="1"/>
  <c r="AG105" i="1"/>
  <c r="AJ105" i="1" s="1"/>
  <c r="AG106" i="1"/>
  <c r="AJ106" i="1" s="1"/>
  <c r="AG107" i="1"/>
  <c r="AG108" i="1"/>
  <c r="AJ108" i="1" s="1"/>
  <c r="AG109" i="1"/>
  <c r="AJ109" i="1" s="1"/>
  <c r="AG110" i="1"/>
  <c r="AJ110" i="1" s="1"/>
  <c r="AG111" i="1"/>
  <c r="AJ111" i="1" s="1"/>
  <c r="AG112" i="1"/>
  <c r="AG113" i="1"/>
  <c r="AJ113" i="1" s="1"/>
  <c r="AG114" i="1"/>
  <c r="AG115" i="1"/>
  <c r="AJ115" i="1" s="1"/>
  <c r="AG116" i="1"/>
  <c r="AJ116" i="1" s="1"/>
  <c r="AG117" i="1"/>
  <c r="AG118" i="1"/>
  <c r="AJ118" i="1" s="1"/>
  <c r="AG119" i="1"/>
  <c r="AJ119" i="1" s="1"/>
  <c r="AG120" i="1"/>
  <c r="AG121" i="1"/>
  <c r="AJ121" i="1" s="1"/>
  <c r="AG122" i="1"/>
  <c r="AJ122" i="1" s="1"/>
  <c r="AG123" i="1"/>
  <c r="AG124" i="1"/>
  <c r="AJ124" i="1" s="1"/>
  <c r="AG125" i="1"/>
  <c r="AJ125" i="1" s="1"/>
  <c r="AG126" i="1"/>
  <c r="AJ126" i="1" s="1"/>
  <c r="AG127" i="1"/>
  <c r="AJ127" i="1" s="1"/>
  <c r="AG128" i="1"/>
  <c r="AJ128" i="1" s="1"/>
  <c r="AG129" i="1"/>
  <c r="AJ129" i="1" s="1"/>
  <c r="AG130" i="1"/>
  <c r="AG131" i="1"/>
  <c r="AJ131" i="1" s="1"/>
  <c r="AG132" i="1"/>
  <c r="AJ132" i="1" s="1"/>
  <c r="AG133" i="1"/>
  <c r="AJ133" i="1" s="1"/>
  <c r="AG135" i="1"/>
  <c r="AG136" i="1"/>
  <c r="AJ136" i="1" s="1"/>
  <c r="AG137" i="1"/>
  <c r="AJ137" i="1" s="1"/>
  <c r="AG138" i="1"/>
  <c r="AG139" i="1"/>
  <c r="AJ139" i="1" s="1"/>
  <c r="AG140" i="1"/>
  <c r="AJ140" i="1" s="1"/>
  <c r="AG141" i="1"/>
  <c r="AJ141" i="1" s="1"/>
  <c r="AG143" i="1"/>
  <c r="AJ143" i="1" s="1"/>
  <c r="AG145" i="1"/>
  <c r="AJ145" i="1" s="1"/>
  <c r="AG146" i="1"/>
  <c r="AJ146" i="1" s="1"/>
  <c r="AF8" i="5"/>
  <c r="AJ8" i="5"/>
  <c r="AF12" i="5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3" i="1"/>
  <c r="AF94" i="1"/>
  <c r="AF95" i="1"/>
  <c r="AF96" i="1"/>
  <c r="AF97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9" i="1"/>
  <c r="AF123" i="1"/>
  <c r="AF13" i="5"/>
  <c r="AF98" i="1"/>
  <c r="AF11" i="5"/>
  <c r="AF92" i="1"/>
  <c r="AF10" i="5"/>
  <c r="AJ11" i="1" l="1"/>
  <c r="AJ47" i="1"/>
  <c r="AJ29" i="1"/>
  <c r="AG10" i="5"/>
  <c r="AG11" i="5"/>
  <c r="AJ11" i="5" s="1"/>
  <c r="AJ98" i="1"/>
  <c r="AG12" i="5"/>
  <c r="AG13" i="5"/>
  <c r="AH18" i="1"/>
  <c r="AJ18" i="1" s="1"/>
  <c r="AH138" i="1"/>
  <c r="AJ138" i="1" s="1"/>
  <c r="AH135" i="1"/>
  <c r="AJ135" i="1" s="1"/>
  <c r="AH130" i="1"/>
  <c r="AJ130" i="1" s="1"/>
  <c r="AH92" i="1"/>
  <c r="AH10" i="5" s="1"/>
  <c r="AH99" i="1"/>
  <c r="AH12" i="5" s="1"/>
  <c r="AH54" i="1"/>
  <c r="AJ54" i="1" s="1"/>
  <c r="AH90" i="1"/>
  <c r="AJ90" i="1" s="1"/>
  <c r="AH117" i="1"/>
  <c r="AJ117" i="1" s="1"/>
  <c r="AH112" i="1"/>
  <c r="AJ112" i="1" s="1"/>
  <c r="AH123" i="1"/>
  <c r="AH13" i="5" s="1"/>
  <c r="AH107" i="1"/>
  <c r="AJ107" i="1" s="1"/>
  <c r="AH27" i="1"/>
  <c r="AJ27" i="1" s="1"/>
  <c r="AH35" i="1"/>
  <c r="AJ35" i="1" s="1"/>
  <c r="AH42" i="1"/>
  <c r="AJ42" i="1" s="1"/>
  <c r="AH50" i="1"/>
  <c r="AJ50" i="1" s="1"/>
  <c r="AH120" i="1"/>
  <c r="AJ120" i="1" s="1"/>
  <c r="AH86" i="1"/>
  <c r="AJ86" i="1" s="1"/>
  <c r="AH114" i="1"/>
  <c r="AJ114" i="1" s="1"/>
  <c r="AH28" i="1"/>
  <c r="AJ28" i="1" s="1"/>
  <c r="AH44" i="1"/>
  <c r="AJ44" i="1" s="1"/>
  <c r="AH55" i="1"/>
  <c r="AJ55" i="1" s="1"/>
  <c r="AJ13" i="5" l="1"/>
  <c r="AJ10" i="5"/>
  <c r="AJ12" i="5"/>
  <c r="AJ92" i="1"/>
  <c r="AJ99" i="1"/>
  <c r="AJ123" i="1"/>
</calcChain>
</file>

<file path=xl/sharedStrings.xml><?xml version="1.0" encoding="utf-8"?>
<sst xmlns="http://schemas.openxmlformats.org/spreadsheetml/2006/main" count="3608" uniqueCount="919">
  <si>
    <t>No</t>
  </si>
  <si>
    <t>RefDes</t>
  </si>
  <si>
    <t>Category</t>
  </si>
  <si>
    <t>BOM Level</t>
  </si>
  <si>
    <t>Board Name</t>
  </si>
  <si>
    <t>Description</t>
  </si>
  <si>
    <t>Package / Footprint</t>
  </si>
  <si>
    <t>Mounting type</t>
  </si>
  <si>
    <t>SMD</t>
  </si>
  <si>
    <t>ASM</t>
  </si>
  <si>
    <t>PN1</t>
  </si>
  <si>
    <t>PN2</t>
  </si>
  <si>
    <t>Qty/Set</t>
  </si>
  <si>
    <t>Unit</t>
  </si>
  <si>
    <t>Board Qty</t>
  </si>
  <si>
    <t>Ref Link / Datasheet</t>
  </si>
  <si>
    <t>Engineer Note</t>
  </si>
  <si>
    <t>Total Engineer Qty</t>
  </si>
  <si>
    <t>Internal Code</t>
  </si>
  <si>
    <t>Ref Supplier</t>
  </si>
  <si>
    <t>Change Note</t>
  </si>
  <si>
    <t>L1-PCBA</t>
  </si>
  <si>
    <t>PCB Rev</t>
  </si>
  <si>
    <t>BOM Rev</t>
  </si>
  <si>
    <t>LCSC</t>
  </si>
  <si>
    <t>Manufacturer 1</t>
  </si>
  <si>
    <t>Manufacturer 2</t>
  </si>
  <si>
    <t>Mount Status'</t>
  </si>
  <si>
    <t>Mounted</t>
  </si>
  <si>
    <t>AVL Status</t>
  </si>
  <si>
    <t>Supply Type</t>
  </si>
  <si>
    <t>XFEMS Buy</t>
  </si>
  <si>
    <t>Do Not Buy</t>
  </si>
  <si>
    <t>Customer Supplied</t>
  </si>
  <si>
    <t>Release Status</t>
  </si>
  <si>
    <t>Draft</t>
  </si>
  <si>
    <t>For Quote</t>
  </si>
  <si>
    <t>Released</t>
  </si>
  <si>
    <t>Approved</t>
  </si>
  <si>
    <t>Customer Specified</t>
  </si>
  <si>
    <t>Not Yet Approved</t>
  </si>
  <si>
    <t>Substitution Rule</t>
  </si>
  <si>
    <t>No Substitute</t>
  </si>
  <si>
    <t>Critical Level</t>
  </si>
  <si>
    <t>pcs</t>
  </si>
  <si>
    <t>Column</t>
  </si>
  <si>
    <t>Meaning / Ý nghĩa</t>
  </si>
  <si>
    <t>Giá trị cần điền</t>
  </si>
  <si>
    <t>Ví dụ</t>
  </si>
  <si>
    <t>Bắt buộc</t>
  </si>
  <si>
    <t>Số thứ tự dòng BOM</t>
  </si>
  <si>
    <t>Số tăng dần, không trùng</t>
  </si>
  <si>
    <t>1, 2, 3</t>
  </si>
  <si>
    <t>Có</t>
  </si>
  <si>
    <t>Cấp BOM, dùng cho BOM đa cấp</t>
  </si>
  <si>
    <t>Tên bo mạch/module chứa linh kiện</t>
  </si>
  <si>
    <t>Tên board theo thiết kế</t>
  </si>
  <si>
    <t>Main Board, IO Board</t>
  </si>
  <si>
    <t>Phiên bản PCB/layout</t>
  </si>
  <si>
    <t>Theo revision layout đã release</t>
  </si>
  <si>
    <t>Rev.A, Rev.B</t>
  </si>
  <si>
    <t>Phiên bản BOM</t>
  </si>
  <si>
    <t>Theo version BOM phát hành</t>
  </si>
  <si>
    <t>Rev.A.01</t>
  </si>
  <si>
    <t>RefDes / Designator</t>
  </si>
  <si>
    <t>Vị trí linh kiện trên PCB</t>
  </si>
  <si>
    <t>Ghi đầy đủ designator, có thể gom nhiều vị trí cùng spec</t>
  </si>
  <si>
    <t>R1,R2,R3 hoặc U1</t>
  </si>
  <si>
    <t>Nhóm linh kiện</t>
  </si>
  <si>
    <t>Chọn theo dropdown</t>
  </si>
  <si>
    <t>Resistor, Capacitor, IC, Connector</t>
  </si>
  <si>
    <t>Mô tả kỹ thuật ngắn gọn</t>
  </si>
  <si>
    <t>Mô tả đủ để sourcing hiểu đúng</t>
  </si>
  <si>
    <t>Resistor 10k ±1% 0603</t>
  </si>
  <si>
    <t>Nên có</t>
  </si>
  <si>
    <t>Package/footprint theo layout</t>
  </si>
  <si>
    <t>0603, SOT-23, QFN-48</t>
  </si>
  <si>
    <t>Mounting Type</t>
  </si>
  <si>
    <t>Kiểu lắp ráp</t>
  </si>
  <si>
    <t>SMD, THT, ASM, Mechanical</t>
  </si>
  <si>
    <t>Mount Status</t>
  </si>
  <si>
    <t>Trạng thái có lắp hay không</t>
  </si>
  <si>
    <t>Mounted, DNP, Optional</t>
  </si>
  <si>
    <t>Hãng của mã ưu tiên PN1</t>
  </si>
  <si>
    <t>Tên hãng sản xuất linh kiện</t>
  </si>
  <si>
    <t>Yageo, TI, ST, Murata</t>
  </si>
  <si>
    <t>Có nếu có PN1</t>
  </si>
  <si>
    <t>Mã linh kiện ưu tiên mua</t>
  </si>
  <si>
    <t>Full Manufacturer Part Number, không ghi tắt</t>
  </si>
  <si>
    <t>RC0603FR-0710KL</t>
  </si>
  <si>
    <t>Hãng của mã thay thế PN2</t>
  </si>
  <si>
    <t>Tên hãng sản xuất thay thế</t>
  </si>
  <si>
    <t>UniOhm, Walsin, Samsung</t>
  </si>
  <si>
    <t>Mã linh kiện thay thế</t>
  </si>
  <si>
    <t>Full Manufacturer Part Number thay thế đã được kỹ sư đề xuất</t>
  </si>
  <si>
    <t>0603WAF1002T5E</t>
  </si>
  <si>
    <t>Trạng thái phê duyệt mã linh kiện</t>
  </si>
  <si>
    <t>Approved, Conditional, Not Yet Approved</t>
  </si>
  <si>
    <t>Quy tắc thay thế linh kiện</t>
  </si>
  <si>
    <t>No Substitute, Approved AVL Only</t>
  </si>
  <si>
    <t>Mức độ quan trọng của linh kiện</t>
  </si>
  <si>
    <t>A-Critical, B-Important, C-Normal</t>
  </si>
  <si>
    <t>Đơn vị tính</t>
  </si>
  <si>
    <t>pcs, set, m, roll…</t>
  </si>
  <si>
    <t>Số lượng linh kiện dùng cho 1 board/set</t>
  </si>
  <si>
    <t>Số lượng thực tế theo thiết kế</t>
  </si>
  <si>
    <t>1, 2, 4</t>
  </si>
  <si>
    <t>Số lượng board/set cần sản xuất</t>
  </si>
  <si>
    <t>Nhập theo lot sản xuất hoặc kế hoạch mẫu</t>
  </si>
  <si>
    <t>10, 100, 1000</t>
  </si>
  <si>
    <t>Tổng số lượng kỹ thuật trước khi tính hao hụt/MOQ/SPQ</t>
  </si>
  <si>
    <t>Công thức = Qty/Set × Board Qty, loại trừ DNP/Do Not Buy nếu có</t>
  </si>
  <si>
    <t>Mã linh kiện nội bộ của XFORCE EMS</t>
  </si>
  <si>
    <t>Nếu chưa có thì để trống, kho/mua hàng cập nhật sau</t>
  </si>
  <si>
    <t>Trạng thái phát hành BOM</t>
  </si>
  <si>
    <t>Draft, For Quote, Released</t>
  </si>
  <si>
    <t>Nguồn cấp vật tư</t>
  </si>
  <si>
    <t>XFEMS Buy, Customer Supplied, Do Not Buy</t>
  </si>
  <si>
    <t>Nhà cung cấp tham khảo</t>
  </si>
  <si>
    <t>Ghi nhà cung cấp kỹ sư/mua hàng gợi ý</t>
  </si>
  <si>
    <t>DigiKey, Mouser, LCSC</t>
  </si>
  <si>
    <t>Ghi chú kỹ thuật cho dòng BOM</t>
  </si>
  <si>
    <t>Ghi điều kiện thay thế, lưu ý mounting, polarity, critical note</t>
  </si>
  <si>
    <t>Do not replace without approval</t>
  </si>
  <si>
    <t>Ghi chú thay đổi so với BOM Rev trước</t>
  </si>
  <si>
    <t>Ghi rõ thay đổi nếu có</t>
  </si>
  <si>
    <t>Change R10 from 10k to 4.7k</t>
  </si>
  <si>
    <t>Khi có thay đổi</t>
  </si>
  <si>
    <t>Link datasheet hoặc link tham khảo</t>
  </si>
  <si>
    <t>Link datasheet hãng, distributor hoặc tài liệu kỹ thuật</t>
  </si>
  <si>
    <t>Link datasheet TI/Murata</t>
  </si>
  <si>
    <t>Dropdown list</t>
  </si>
  <si>
    <t>Chọn theo dropdown:
L1-PCBA, L2-Box, L3-Acc</t>
  </si>
  <si>
    <t>Chọn theo dropdown:
SMD, THT, ASM, ME</t>
  </si>
  <si>
    <t>Chọn theo dropdown:
Mounted, Do Not Process, Optional</t>
  </si>
  <si>
    <t>Note</t>
  </si>
  <si>
    <t>Mua hàng ưu tiên mua mã 1</t>
  </si>
  <si>
    <t>Mounted,
Do Not Process,
Optional</t>
  </si>
  <si>
    <t>Approved
Conditional
Customer Specified
Not Yet Approved</t>
  </si>
  <si>
    <t>Approval Required
Same spec Allowed
No Substitute</t>
  </si>
  <si>
    <t>A-Critical
B-Important
C-Normal
D-Commodity</t>
  </si>
  <si>
    <t>XFEMS Buy
Customer Supplied
Do Not Buy</t>
  </si>
  <si>
    <t>Draft
For Quote
Released
Hold</t>
  </si>
  <si>
    <t>Logic thứ tự cột: Thông tin BOM → thông tin thiết kế → thông tin kỹ thuật linh kiện → trạng thái lắp → số lượng → PN/AVL → kiểm soát thay thế → release/supply/sourcing → note/datasheet</t>
  </si>
  <si>
    <t>L1-PCBA,
L2-BOX,
L3-ACC,
L4-PCK</t>
  </si>
  <si>
    <t>SMD,
THT,
ASM,
ME</t>
  </si>
  <si>
    <t>Do Not Process</t>
  </si>
  <si>
    <t>Resistor</t>
  </si>
  <si>
    <t>DigiKey</t>
  </si>
  <si>
    <t>Capacitor</t>
  </si>
  <si>
    <t>set</t>
  </si>
  <si>
    <t>Mouser</t>
  </si>
  <si>
    <t>Inductor</t>
  </si>
  <si>
    <t>m</t>
  </si>
  <si>
    <t>Consigned</t>
  </si>
  <si>
    <t>Ferrite Bead</t>
  </si>
  <si>
    <t>cm</t>
  </si>
  <si>
    <t>Arrow</t>
  </si>
  <si>
    <t>Diode</t>
  </si>
  <si>
    <t>mm</t>
  </si>
  <si>
    <t>Avnet</t>
  </si>
  <si>
    <t>LED</t>
  </si>
  <si>
    <t>roll</t>
  </si>
  <si>
    <t>TME</t>
  </si>
  <si>
    <t>Transistor</t>
  </si>
  <si>
    <t>panel</t>
  </si>
  <si>
    <t>RS</t>
  </si>
  <si>
    <t>IC</t>
  </si>
  <si>
    <t>pair</t>
  </si>
  <si>
    <t>Farnell</t>
  </si>
  <si>
    <t>Customer</t>
  </si>
  <si>
    <t>Crystal/Oscillator</t>
  </si>
  <si>
    <t>box</t>
  </si>
  <si>
    <t>Sensor</t>
  </si>
  <si>
    <t>bag</t>
  </si>
  <si>
    <t>Connector</t>
  </si>
  <si>
    <t>Module</t>
  </si>
  <si>
    <t>Switch/Button</t>
  </si>
  <si>
    <t>Relay</t>
  </si>
  <si>
    <t>Fuse/Protection</t>
  </si>
  <si>
    <t>Cable/Harness</t>
  </si>
  <si>
    <t>Label/Packaging</t>
  </si>
  <si>
    <t>PCB</t>
  </si>
  <si>
    <t>Others</t>
  </si>
  <si>
    <t>Stencil</t>
  </si>
  <si>
    <t>L2-BOX</t>
  </si>
  <si>
    <t>L3-ACC</t>
  </si>
  <si>
    <t>XFORCE EMS - ENGINEERING BOM RELEASE TEMPLATE</t>
  </si>
  <si>
    <t>Project Name</t>
  </si>
  <si>
    <t>Product Name</t>
  </si>
  <si>
    <t>Dessigned By</t>
  </si>
  <si>
    <t>Approved By</t>
  </si>
  <si>
    <t>Lot Qty</t>
  </si>
  <si>
    <t>Change Ref / ECN No.</t>
  </si>
  <si>
    <t>Modified Date</t>
  </si>
  <si>
    <t>fcn</t>
  </si>
  <si>
    <t>Date Created</t>
  </si>
  <si>
    <t>must fill</t>
  </si>
  <si>
    <t>select</t>
  </si>
  <si>
    <t>Cấn Văn Lịch</t>
  </si>
  <si>
    <t>Đỗ Việt Đức</t>
  </si>
  <si>
    <t>M2</t>
  </si>
  <si>
    <t>J10</t>
  </si>
  <si>
    <t>U11, U14, U15</t>
  </si>
  <si>
    <t>L3</t>
  </si>
  <si>
    <t>C140, C146</t>
  </si>
  <si>
    <t>LED1, LED2</t>
  </si>
  <si>
    <t>U3</t>
  </si>
  <si>
    <t>U1</t>
  </si>
  <si>
    <t>D3</t>
  </si>
  <si>
    <t>J23</t>
  </si>
  <si>
    <t>D39, D40, D41, D44, D45</t>
  </si>
  <si>
    <t>J14, J15, J16</t>
  </si>
  <si>
    <t>Q3</t>
  </si>
  <si>
    <t>J4</t>
  </si>
  <si>
    <t>U5, U8, U9, U10</t>
  </si>
  <si>
    <t>BZ1</t>
  </si>
  <si>
    <t>R21</t>
  </si>
  <si>
    <t>L2</t>
  </si>
  <si>
    <t>L1</t>
  </si>
  <si>
    <t>D31</t>
  </si>
  <si>
    <t>Q22</t>
  </si>
  <si>
    <t>U19</t>
  </si>
  <si>
    <t>U21</t>
  </si>
  <si>
    <t>J26</t>
  </si>
  <si>
    <t>C13</t>
  </si>
  <si>
    <t>D6</t>
  </si>
  <si>
    <t>X1</t>
  </si>
  <si>
    <t>C2, C19</t>
  </si>
  <si>
    <t>C3, C21</t>
  </si>
  <si>
    <t>U18</t>
  </si>
  <si>
    <t>D54, D55</t>
  </si>
  <si>
    <t>R236</t>
  </si>
  <si>
    <t>D52</t>
  </si>
  <si>
    <t>J17</t>
  </si>
  <si>
    <t>D7, D35</t>
  </si>
  <si>
    <t>E7, E8, E9, E10, E11, E12, E13, E14, E17, E18, E19, E20, E21</t>
  </si>
  <si>
    <t>R1</t>
  </si>
  <si>
    <t>C142</t>
  </si>
  <si>
    <t>C23</t>
  </si>
  <si>
    <t>L7</t>
  </si>
  <si>
    <t>R3</t>
  </si>
  <si>
    <t>D53</t>
  </si>
  <si>
    <t>C141</t>
  </si>
  <si>
    <t>L9</t>
  </si>
  <si>
    <t>C24</t>
  </si>
  <si>
    <t>C26</t>
  </si>
  <si>
    <t>C27</t>
  </si>
  <si>
    <t>C53</t>
  </si>
  <si>
    <t>R54</t>
  </si>
  <si>
    <t>R77, R81, R82, R85, R87, R88, R91, R92, R151, R253</t>
  </si>
  <si>
    <t>R200</t>
  </si>
  <si>
    <t>C11</t>
  </si>
  <si>
    <t>R8</t>
  </si>
  <si>
    <t>R11</t>
  </si>
  <si>
    <t>R12</t>
  </si>
  <si>
    <t>R19</t>
  </si>
  <si>
    <t>R20</t>
  </si>
  <si>
    <t>R22</t>
  </si>
  <si>
    <t>R26, R241</t>
  </si>
  <si>
    <t>R55</t>
  </si>
  <si>
    <t>R79, R84, R89, R93</t>
  </si>
  <si>
    <t>R101</t>
  </si>
  <si>
    <t>R239</t>
  </si>
  <si>
    <t>R4</t>
  </si>
  <si>
    <t>R7</t>
  </si>
  <si>
    <t>R42</t>
  </si>
  <si>
    <t>R203</t>
  </si>
  <si>
    <t>C14</t>
  </si>
  <si>
    <t>R14</t>
  </si>
  <si>
    <t>R237</t>
  </si>
  <si>
    <t>J6</t>
  </si>
  <si>
    <t>GNSS Module with GPS, GLONASS, BDS, Galileo, QZSS, High Sensitivity, Low Power Consumption</t>
  </si>
  <si>
    <t>RJ45Receptacle 1 WithLED Plugin Ethernet Connectors / Modular Connectors (RJ45 RJ11) ROHS</t>
  </si>
  <si>
    <t>IC DRVR/RCVR MULTCH RS232 16SOIC</t>
  </si>
  <si>
    <t>3.3A 22uH ±20% 7A SMD,12.2x12.2mm Arrays, Signal Transformers RoHS</t>
  </si>
  <si>
    <t>100uF ±20% 16V Ceramic Capacitor X5R 1210</t>
  </si>
  <si>
    <t>CAP CER 10uF 16V X5R 0805</t>
  </si>
  <si>
    <t>60mA Red Lens 615nm~635nm -20℃~+85℃ Red 50° 150mW 1.8V~2.2V DIP-6-2.54mm LED Indication - Discrete ROHS</t>
  </si>
  <si>
    <t>10uF 50V Ceramic Capacitor X7R 1210</t>
  </si>
  <si>
    <t>2.5MHz Buck Adjustable 800mV~28V 5A SOIC-8-EP Voltage Regulators - DC DC Switching Regulators RoHS</t>
  </si>
  <si>
    <t>275A 1 Independent 60V 620mV@7A 7A Power-DI-5 Single Diodes RoHS</t>
  </si>
  <si>
    <t>Card Connector NANO SIM Hinged Lid Surface Mount</t>
  </si>
  <si>
    <t>43.6A 9.2V 400W 6.4V Unidirectional 5V SOD-123 TVS Diodes RoHS</t>
  </si>
  <si>
    <t>2mm 2mm 2 12P 2x6P -40℃~+105℃ 4.3mm Top 2A Square Hole Through Hole Through Hole,P=2mm Headers, Receptacles, Female Sockets RoHS</t>
  </si>
  <si>
    <t>MOSFET</t>
  </si>
  <si>
    <t>100V 15A 49mΩ@10V,5A 2.8W 3.2V 1 N-Channel VSONP-8(3.1x3.1) MOSFETs ROHS</t>
  </si>
  <si>
    <t>9P Male D-Sub Bend insert 2 3A -50℃~+105℃ Push-Pull D-Sub / VGA Connectors ROHS</t>
  </si>
  <si>
    <t>DFN1006-2 TVS Diodes ROHS</t>
  </si>
  <si>
    <t>SOT-23-3 MOSFETs P-Chanel ROHS</t>
  </si>
  <si>
    <t>500mA, low IQ, high precision, adjustable ultra-low dropout voltage regulator with enable function</t>
  </si>
  <si>
    <t>Buck 1MHz Adjustable 600mV~7.3V 3A SOT23-5 Voltage Regulators - DC DC Switching Regulators RoHS</t>
  </si>
  <si>
    <t>0402 Varistors ROHS</t>
  </si>
  <si>
    <t>Speaker</t>
  </si>
  <si>
    <t>85dB Active Buzzer (Built-in Driving Circuit) Electromagnetic 3kHz Through Hole,D=9mm Buzzers ROHS</t>
  </si>
  <si>
    <t>10mΩ ±25% 10Ω@100MHz 0603 Ferrite Beads and Chips RoHS</t>
  </si>
  <si>
    <t>500mW Thin Film Resistor ±100ppm/℃ ±0.5% 15mΩ 1206 Chip Resistor - Surface Mount ROHS</t>
  </si>
  <si>
    <t>TRANS NPN 40V 0.2A SOT23</t>
  </si>
  <si>
    <t>6A 6.8uH ±20% 39mΩ 10A SMD,7.1x6.6mm Fixed Inductors RoHS</t>
  </si>
  <si>
    <t>16V 47uF X5R ±20% 1206 Multilayer Ceramic Capacitors MLCC - SMD/SMT ROHS</t>
  </si>
  <si>
    <t>N-Channel 30V 0.1A 0.35W Surface Mount SOT-23</t>
  </si>
  <si>
    <t>1 Inner pin IPEX Board-End 1.25mm -40℃~+90℃ 3GHz 50Ω 2mm SMD Coaxial Connectors (RF) ROHS</t>
  </si>
  <si>
    <t>8A 2.2uH ±20% 8.8A 12.5mΩ SMD,7x6.6mm Fixed Inductors RoHS</t>
  </si>
  <si>
    <t>FERRITE BEAD 1 KOHM 0805 1.5A</t>
  </si>
  <si>
    <t>DIODE GEN PURP 1KV 1A SMA</t>
  </si>
  <si>
    <t>CAP CER 1UF 50V X5R 0603</t>
  </si>
  <si>
    <t>LED YELLOW CLEAR 0603 SMD</t>
  </si>
  <si>
    <t>50V 200mA 225mW 5.6Ω@2.75V,200mA 500mV 1 N-channel SOT-23 MOSFETs ROHS</t>
  </si>
  <si>
    <t>CAP CER 10uF 50V X5R 1206</t>
  </si>
  <si>
    <t>4.7uF 35V ±10% 0603 Multilayer Ceramic Capacitors MLCC - SMD/SMT ROHS</t>
  </si>
  <si>
    <t>SOT-26 ESD and Surge Protection (TVS/ESD) ROHS</t>
  </si>
  <si>
    <t>2mV 25nA Dual channel SOIC-8 Comparators ROHS</t>
  </si>
  <si>
    <t>XH Header Male Pin 0.098"(2.50mm) 2 Through Hole Wire To Board / Wire To Wire Connector RoHS</t>
  </si>
  <si>
    <t>470uF ±20% 16V Aluminum Electrolytic Capacitors 2000hrs@105℃</t>
  </si>
  <si>
    <t>100uF 50V 146mA@120Hz ±20% SMD,D8xL10.2mm Aluminum Electrolytic Capacitors - SMD ROHS</t>
  </si>
  <si>
    <t>Unidirectional 5V (Max) 6.2V 18.6V 9.4A SOD-523 TVS RoHs</t>
  </si>
  <si>
    <t>40V Independent 500mV@3A 3A SMA(DO-214AC) Schottky Diodes ROHS</t>
  </si>
  <si>
    <t>16V 100nF X7R ±10% 0402 Multilayer Ceramic Capacitors MLCC - SMD/SMT ROHS</t>
  </si>
  <si>
    <t>Crystal 27MHz 10ppm 20pF 60Ω SMD2016-4P</t>
  </si>
  <si>
    <t>100V 2.2uF X7R ±10% 1206 Multilayer Ceramic Capacitors MLCC - SMD/SMT ROHS</t>
  </si>
  <si>
    <t>100V 100nF X7R ±10% 1206 Multilayer Ceramic Capacitors MLCC - SMD/SMT ROHS</t>
  </si>
  <si>
    <t>10uF 100V 63mA@120Hz ±20% SMD,D6.3xL5.4mm Aluminum Electrolytic Capacitors - SMD ROHS</t>
  </si>
  <si>
    <t>SOT-363-6 ESD and Surge Protection (TVS/ESD) ROHS</t>
  </si>
  <si>
    <t>RES 0 OHM 1206 JUMPER 1/4W SMD</t>
  </si>
  <si>
    <t>DIODE SCHOTTKY 60V 3A SMAF</t>
  </si>
  <si>
    <t>Without bracket 50mA 3.5mm 100000 Times 260gf 12V 3mm 2mm Round Button Standing paste SPST SMD Tactile Switches ROHS</t>
  </si>
  <si>
    <t>Thermistor</t>
  </si>
  <si>
    <t>10kΩ ±1% 310uA 3435K 100mW ±1% 0603 NTC Thermistors ROHS</t>
  </si>
  <si>
    <t>Independent Type 10A 1.1V@10A 1kV SMC(DO-214AB) Diodes - General Purpose ROHS</t>
  </si>
  <si>
    <t>90Ω@100MHz 5Ω 2 SMD-4P,0.8x0.6mm Common Mode Filters ROHS</t>
  </si>
  <si>
    <t>3A@8/20us 23V 70W@8/20us 6V 5V DFN1006-2L TVS Diodes RoHS</t>
  </si>
  <si>
    <t>60Ω@100MHz 1 Line Ferrite Bead 0402 600mA 150mΩ</t>
  </si>
  <si>
    <t>RES SMD 1 OHM 1% 1/10W 0603</t>
  </si>
  <si>
    <t>50V 10pF C0G ±5% 0805 Multilayer Ceramic Capacitors MLCC - SMD/SMT ROHS</t>
  </si>
  <si>
    <t>50V 470nF X7R ±10% 0603 Multilayer Ceramic Capacitors MLCC - SMD/SMT ROHS</t>
  </si>
  <si>
    <t>2A 2.2uH Magnetic Shielded Inductor ±20% 2A 60mΩ SMD,3x3mm Fixed Inductors RoHS</t>
  </si>
  <si>
    <t>62.5mW 118kΩ 50V Thick Film Resistor ±100ppm/℃ ±0.5% 0402 Chip Resistor - Surface Mount RoHS</t>
  </si>
  <si>
    <t>50V 100nF X7R ±10% 0603 Multilayer Ceramic Capacitors MLCC - SMD/SMT ROHS</t>
  </si>
  <si>
    <t>20mA 180mcd Colorless Transparent Lens 565nm~575nm -20℃~+85℃ Positive Stick Yellow-green 120° 50mW 2.4V 0603 LED Indication - Discrete ROH</t>
  </si>
  <si>
    <t>Unidirectional 36V 40V 58.1V 3.4A SOD-123FL TVS RoHS</t>
  </si>
  <si>
    <t>50V 33pF C0G ±5% 0805 Multilayer Ceramic Capacitors MLCC - SMD/SMT ROHS</t>
  </si>
  <si>
    <t>CAP CER 0.1UF 50V X7R 0603</t>
  </si>
  <si>
    <t>180mA 68nH ±5% 1.4Ω 0402 Fixed Inductors RoHS</t>
  </si>
  <si>
    <t>2.2uF ±10% 6.3V X5R 0603 Multilayer Ceramic Capacitors MLCC - SMD/SMT RoHS</t>
  </si>
  <si>
    <t>20mA 225mcd Colorless Transparent Lens -20℃~+85℃ Positive Stick 620nm~630nm Red 120° 50mW 2.3V 0603 LED Indication - Discrete ROH</t>
  </si>
  <si>
    <t>700mA 47nH 160mΩ ±5% 0402 Fixed Inductors RoHS</t>
  </si>
  <si>
    <t>C0G 33pF 50V ±5% 0402 Multilayer Ceramic Capacitors MLCC - SMD/SMT ROHS</t>
  </si>
  <si>
    <t>50V 100pF NP0 ±1% 0402 Multilayer Ceramic Capacitors MLCC - SMD/SMT ROHS</t>
  </si>
  <si>
    <t>62.5mW Thick Film Resistor 50V ±100ppm/℃ ±1% 10kΩ 0402 Chip Resistor - Surface Mount ROHS</t>
  </si>
  <si>
    <t>560 pF ±10% 50V Ceramic Capacitor X7R 0603 (1608 Metric)</t>
  </si>
  <si>
    <t>50V 75pF NP0 ±5% 0603 Multilayer Ceramic Capacitors MLCC - SMD/SMT ROHS</t>
  </si>
  <si>
    <t>50V 56nF X7R ±10% 0603 Multilayer Ceramic Capacitors MLCC - SMD/SMT ROHS</t>
  </si>
  <si>
    <t>CAP CER 22UF 6.3V X5R 0603</t>
  </si>
  <si>
    <t>62.5mW Thick Film Resistor 50V ±100ppm/℃ ±1% 1kΩ 0402 Chip Resistor - Surface Mount ROHS</t>
  </si>
  <si>
    <t>62.5mW 4.02Ω 50V Thick Film Resistor ±1% ±200ppm/℃ 0402 Chip Resistor - Surface Mount RoHS</t>
  </si>
  <si>
    <t>62.5mW Thick Film Resistors 50V ±100ppm/℃ ±1% 4.7kΩ 0402 Chip Resistor - Surface Mount ROHS</t>
  </si>
  <si>
    <t>62.5mW Thick Film Resistor 50V ±1% ±200ppm/℃ 10Ω 0402 Chip Resistor - Surface Mount ROHS</t>
  </si>
  <si>
    <t>62.5mW Thick Film Resistor 50V ±100ppm/℃ ±1% 2.2kΩ 0402 Chip Resistor - Surface Mount ROHS</t>
  </si>
  <si>
    <t>62.5mW 0Ω 50V ±1% Thick Film Resistors 0402 Chip Resistor - Surface Mount ROHS</t>
  </si>
  <si>
    <t>62.5mW 2.2Ω 50V Thick Film Resistor ±1% ±200ppm/℃ 0402 Chip Resistor - Surface Mount RoHS</t>
  </si>
  <si>
    <t>RES SMD 10K OHM 1% 1/10W 0603</t>
  </si>
  <si>
    <t>22pF ±5% 50V Ceramic Capacitor NP0 0402</t>
  </si>
  <si>
    <t>50V Thick Film Resistors 62.5mW 22Ω ±1% ±100ppm/℃ 0402 Chip Resistor - Surface Mount ROHS</t>
  </si>
  <si>
    <t>62.5mW Thick Film Resistor 50V ±100ppm/℃ ±1% 47kΩ 0402 Chip Resistor - Surface Mount ROHS</t>
  </si>
  <si>
    <t>62.5mW Thick Film Resistor 50V ±100ppm/℃ ±1% 590kΩ 0402 Chip Resistor - Surface Mount ROHS</t>
  </si>
  <si>
    <t>680pF ±10% 50V Ceramic Capacitor X7R 0402</t>
  </si>
  <si>
    <t>62.5mW Thick Film Resistor 50V ±100ppm/℃ ±1% 100kΩ 0402 Chip Resistor - Surface Mount ROHS</t>
  </si>
  <si>
    <t>12kΩ 62.5mW 50V Thick Film Resistor ±100ppm/℃ ±1% 0402 Chip Resistor - Surface Mount RoHS</t>
  </si>
  <si>
    <t>62.5mW Thick Film Resistor 50V ±100ppm/℃ ±1% 105kΩ 0402 Chip Resistor - Surface Mount ROHS</t>
  </si>
  <si>
    <t>62.5mW Thick Film Resistor 50V ±100ppm/℃ ±1% 1.91kΩ 0402 Chip Resistor - Surface Mount ROHS</t>
  </si>
  <si>
    <t>62.5mW Thick Film Resistor 50V ±100ppm/℃ ±1% 34kΩ 0402 Chip Resistor - Surface Mount ROHS</t>
  </si>
  <si>
    <t>62.5mW 499kΩ 50V Thick Film Resistor ±100ppm/℃ ±1% 0402 Chip Resistor - Surface Mount RoHS</t>
  </si>
  <si>
    <t>62.5mW Thick Film Resistor 50V ±100ppm/℃ ±1% 15kΩ 0402 Chip Resistor - Surface Mount ROHS</t>
  </si>
  <si>
    <t>1.2kΩ ±1% 62.5mW 0402 Thick Film Resistor</t>
  </si>
  <si>
    <t>62.5mW Thick Film Resistor 50V ±100ppm/℃ ±1% 75Ω 0402 Chip Resistor - Surface Mount ROHS</t>
  </si>
  <si>
    <t>220Ω 62.5mW 50V Thick Film Resistor ±100ppm/℃ ±1% 0402 Chip Resistor - Surface Mount RoHS</t>
  </si>
  <si>
    <t>62.5mW Thick Film Resistor 50V ±100ppm/℃ ±1% 68kΩ 0402 Chip Resistor - Surface Mount ROHS</t>
  </si>
  <si>
    <t>51.1kΩ 62.5mW 50V Thick Film Resistor ±100ppm/℃ ±1% 0402 Chip Resistor - Surface Mount RoHS</t>
  </si>
  <si>
    <t>62.5mW Thick Film Resistor 50V ±100ppm/℃ ±1% 100Ω 0402 Chip Resistor - Surface Mount ROHS</t>
  </si>
  <si>
    <t>62.5mW 1MΩ 50V Thick Film Resistor ±100ppm/℃ ±1% 0402 Chip Resistor - Surface Mount RoHS</t>
  </si>
  <si>
    <t>62.5mW Thick Film Resistor 50V ±100ppm/℃ ±1% 3.3kΩ 0402 Chip Resistor - Surface Mount ROHS</t>
  </si>
  <si>
    <t>62.5mW Thick Film Resistor 50V ±100ppm/℃ ±1% 470Ω 0402 Chip Resistor - Surface Mount ROHS</t>
  </si>
  <si>
    <t>8.2nF ±10% 50V Ceramic Capacitor X7R 0402</t>
  </si>
  <si>
    <t>62.5mW Thick Film Resistor 50V ±100ppm/℃ ±1% 84.5kΩ 0402 Chip Resistor - Surface Mount ROHS</t>
  </si>
  <si>
    <t>226kΩ 62.5mW 50V Thick Film Resistor ±100ppm/℃ ±1% 0402 Chip Resistor - Surface Mount RoHS</t>
  </si>
  <si>
    <t>NANO SIM+TF /NANO SIM*2</t>
  </si>
  <si>
    <t>0603</t>
  </si>
  <si>
    <t>0402</t>
  </si>
  <si>
    <t>0805</t>
  </si>
  <si>
    <t>1206</t>
  </si>
  <si>
    <t>Phải khớp footprint PCB
Chỉ cần điền các con nhỏ, như 0402, 0603, 0805, 1206</t>
  </si>
  <si>
    <t>SIMCom Wireless Solutions</t>
  </si>
  <si>
    <t>SIM65M-C</t>
  </si>
  <si>
    <t>HANRUN(Zhongshan HanRun Elec)</t>
  </si>
  <si>
    <t>HR911105A</t>
  </si>
  <si>
    <t>Texas Instruments</t>
  </si>
  <si>
    <t>MAX3232CDR</t>
  </si>
  <si>
    <t>Sumida</t>
  </si>
  <si>
    <t>CDRCH12D78BNP-220MC</t>
  </si>
  <si>
    <t>Taiyo Yuden</t>
  </si>
  <si>
    <t>EMK325ABJ107MM-T</t>
  </si>
  <si>
    <t>Hottech</t>
  </si>
  <si>
    <t>C0805X5R106K160NT</t>
  </si>
  <si>
    <t>XINGLIGHT</t>
  </si>
  <si>
    <t>XL-DZ304SURD/3</t>
  </si>
  <si>
    <t>LM3481MMX/NOPB</t>
  </si>
  <si>
    <t>SAMWHA</t>
  </si>
  <si>
    <t>CS3225X7R106K500NRL</t>
  </si>
  <si>
    <t>TI</t>
  </si>
  <si>
    <t>LMR14050SDDAR</t>
  </si>
  <si>
    <t>DIODES</t>
  </si>
  <si>
    <t>PDS760-13</t>
  </si>
  <si>
    <t>etasolution</t>
  </si>
  <si>
    <t>C7802-02</t>
  </si>
  <si>
    <t>FUXINSEMI</t>
  </si>
  <si>
    <t>PTVS5V0S1UR</t>
  </si>
  <si>
    <t>XFCN</t>
  </si>
  <si>
    <t>PM200V-12-12-H43</t>
  </si>
  <si>
    <t>CSD19538Q3A</t>
  </si>
  <si>
    <t>Ckmtw(Shenzhen Cankemeng)</t>
  </si>
  <si>
    <t>D-DMR009PM-D002</t>
  </si>
  <si>
    <t>Leiditech</t>
  </si>
  <si>
    <t>LM-AZ6118-01F</t>
  </si>
  <si>
    <t>TECH PUBLIC</t>
  </si>
  <si>
    <t>SI2333CDS</t>
  </si>
  <si>
    <t>TLV75801PDBVR</t>
  </si>
  <si>
    <t>ETA3409S2F</t>
  </si>
  <si>
    <t>TDK</t>
  </si>
  <si>
    <t>B72590D50H160</t>
  </si>
  <si>
    <t>Huaneng</t>
  </si>
  <si>
    <t>HNB09A05</t>
  </si>
  <si>
    <t>YJYCOIN</t>
  </si>
  <si>
    <t>YI160808U100-5R0T</t>
  </si>
  <si>
    <t>Yageo</t>
  </si>
  <si>
    <t>PE1206DRF7W0R015L</t>
  </si>
  <si>
    <t>Micro Commercial Co</t>
  </si>
  <si>
    <t>MMBT3904-TP</t>
  </si>
  <si>
    <t>PROD Tech</t>
  </si>
  <si>
    <t>PSPMAA0605H-6R8M-ANP</t>
  </si>
  <si>
    <t>EMK316BBJ476ML-T</t>
  </si>
  <si>
    <t>JSCJ</t>
  </si>
  <si>
    <t>2SK3018</t>
  </si>
  <si>
    <t>Shenzhen Kinghelm Elec</t>
  </si>
  <si>
    <t>KH-IPEX-K501-29</t>
  </si>
  <si>
    <t>zoomdo electronics</t>
  </si>
  <si>
    <t>ZD0650-2R2M</t>
  </si>
  <si>
    <t>Sunlord</t>
  </si>
  <si>
    <t>UPZ2012E102-1R5TF</t>
  </si>
  <si>
    <t>ZE</t>
  </si>
  <si>
    <t>ZNR3015ST2R2M</t>
  </si>
  <si>
    <t>C0603X5R105K500NT</t>
  </si>
  <si>
    <t>LRC</t>
  </si>
  <si>
    <t>LBSS139LT1G</t>
  </si>
  <si>
    <t>YAGEO</t>
  </si>
  <si>
    <t>C0603X5R475K350NT</t>
  </si>
  <si>
    <t>SR05-04A</t>
  </si>
  <si>
    <t>LM393DR</t>
  </si>
  <si>
    <t xml:space="preserve"> 	BOOMELE(Boom Precision Elec)</t>
  </si>
  <si>
    <t>XH-2A</t>
  </si>
  <si>
    <t>ROQANG</t>
  </si>
  <si>
    <t>RVT1C471M0810</t>
  </si>
  <si>
    <t>RT1H101M0810</t>
  </si>
  <si>
    <t>Tak cheong</t>
  </si>
  <si>
    <t>ESD5Z5V0</t>
  </si>
  <si>
    <t>Guangdong Hottech</t>
  </si>
  <si>
    <t>SS34A</t>
  </si>
  <si>
    <t>CC0402KRX7R7BB104</t>
  </si>
  <si>
    <t>MDH</t>
  </si>
  <si>
    <t>2.D.1.270002002</t>
  </si>
  <si>
    <t>CCTC</t>
  </si>
  <si>
    <t>CCTC TCC1206X7R225K101HT</t>
  </si>
  <si>
    <t>CC1206KKX7R0BB104</t>
  </si>
  <si>
    <t>RVT2A100M0605</t>
  </si>
  <si>
    <t>SMF05CT1G-P</t>
  </si>
  <si>
    <t>HY</t>
  </si>
  <si>
    <t>SS36F</t>
  </si>
  <si>
    <t>XUNPU</t>
  </si>
  <si>
    <t>TS-1090S-AR02026</t>
  </si>
  <si>
    <t>Nanjing Shiheng Elec</t>
  </si>
  <si>
    <t>CMFA 103F3435</t>
  </si>
  <si>
    <t>GOODWORK</t>
  </si>
  <si>
    <t>S10M</t>
  </si>
  <si>
    <t>Murata Electronics</t>
  </si>
  <si>
    <t>DLM0NSN900HY2D</t>
  </si>
  <si>
    <t>BOOMELE(Boom Precision Elec)</t>
  </si>
  <si>
    <t>XH-2AW</t>
  </si>
  <si>
    <t>Wayon</t>
  </si>
  <si>
    <t>WE05DGCF-B</t>
  </si>
  <si>
    <t>FH</t>
  </si>
  <si>
    <t>CBW100505U600T</t>
  </si>
  <si>
    <t>PSA(Prosperity Dielectrics)</t>
  </si>
  <si>
    <t>FN21N100J500PAG</t>
  </si>
  <si>
    <t>CC0603KRX7R9BB474</t>
  </si>
  <si>
    <t>RC0402DR-07118KL</t>
  </si>
  <si>
    <t>CC0603KRX7R9BB104</t>
  </si>
  <si>
    <t>XL-1608SYGC-04</t>
  </si>
  <si>
    <t>MDD(Microdiode Semiconductor)</t>
  </si>
  <si>
    <t>SMF36A</t>
  </si>
  <si>
    <t>FH(Guangdong Fenghua Advanced Tech)</t>
  </si>
  <si>
    <t>0805CG330J500NT</t>
  </si>
  <si>
    <t>C0603X7R104K500NT</t>
  </si>
  <si>
    <t>VHF100505HQ68NJT</t>
  </si>
  <si>
    <t xml:space="preserve">	Samsung Electro-Mechanics</t>
  </si>
  <si>
    <t>CL10A225KQ8NNNC</t>
  </si>
  <si>
    <t>XL-1608SURC-06</t>
  </si>
  <si>
    <t>VHF100505HQ47NJT</t>
  </si>
  <si>
    <t>Samsung Electro-Mechanics</t>
  </si>
  <si>
    <t>CL05C330JB5NNNC</t>
  </si>
  <si>
    <t>CC0402FRNPO9BN101</t>
  </si>
  <si>
    <t>RC0402FR-0710KL</t>
  </si>
  <si>
    <t>CC0603KRX7R9BB561</t>
  </si>
  <si>
    <t>CC0603JRNPO9BN750</t>
  </si>
  <si>
    <t>CC0603KRX7R9BB563</t>
  </si>
  <si>
    <t>CL10A226MQ8NRNE</t>
  </si>
  <si>
    <t>RC0402FR-071KL</t>
  </si>
  <si>
    <t>RC0402FR-074R02L</t>
  </si>
  <si>
    <t>RC0402FR-074K7L</t>
  </si>
  <si>
    <t>RC0402FR-0710RL</t>
  </si>
  <si>
    <t>RC0402FR-072K2L</t>
  </si>
  <si>
    <t>RC0402FR-070RL</t>
  </si>
  <si>
    <t>YAGEO RC0402FR-072R2L</t>
  </si>
  <si>
    <t>CC0402JRNPO9BN220</t>
  </si>
  <si>
    <t>RC0402FR-0722RL</t>
  </si>
  <si>
    <t>RC0402FR-0747KL</t>
  </si>
  <si>
    <t>AC0402FR-07590KL</t>
  </si>
  <si>
    <t>FCC0402B681K500AT</t>
  </si>
  <si>
    <t>RC0402FR-07100KL</t>
  </si>
  <si>
    <t>RC0402FR-0712KL</t>
  </si>
  <si>
    <t>RC0402FR-07105KL</t>
  </si>
  <si>
    <t>RC0402FR-071K91L</t>
  </si>
  <si>
    <t>RC0402FR-0734KL</t>
  </si>
  <si>
    <t>RC0402FR-07499KL</t>
  </si>
  <si>
    <t>RC0402FR-078K45L</t>
  </si>
  <si>
    <t>RC0402FR-0715KL</t>
  </si>
  <si>
    <t>RC0402FR-071K2L</t>
  </si>
  <si>
    <t>RC0402FR-0775RL</t>
  </si>
  <si>
    <t>RC0402FR-07220RL</t>
  </si>
  <si>
    <t>RC0402FR-07357KL</t>
  </si>
  <si>
    <t>RC0402FR-0768KL</t>
  </si>
  <si>
    <t>RC0402FR-0751K1L</t>
  </si>
  <si>
    <t>RC0402FR-07100RL</t>
  </si>
  <si>
    <t>RC0402FR-071ML</t>
  </si>
  <si>
    <t>RC0402FR-073K3L</t>
  </si>
  <si>
    <t>RC0402FR-07470RL</t>
  </si>
  <si>
    <t>CC0402KRX7R9BB822</t>
  </si>
  <si>
    <t>RC0402FR-0784K5L</t>
  </si>
  <si>
    <t>AC0402FR-07226KL</t>
  </si>
  <si>
    <t>MUP</t>
  </si>
  <si>
    <t>JLCPCB</t>
  </si>
  <si>
    <t>Important / High</t>
  </si>
  <si>
    <t>Normal / Low</t>
  </si>
  <si>
    <t>Approval Required</t>
  </si>
  <si>
    <t>Board RK3562</t>
  </si>
  <si>
    <t>CAMBOX V4- RK3562</t>
  </si>
  <si>
    <t>VNET</t>
  </si>
  <si>
    <t>Gerber_CAMBOX_RK3562_lot500_2505</t>
  </si>
  <si>
    <t>U6</t>
  </si>
  <si>
    <t>H1</t>
  </si>
  <si>
    <t>M1</t>
  </si>
  <si>
    <t>C1, C15, C49, C57, C59, C139</t>
  </si>
  <si>
    <t>C4, C7, C10, C16, C18</t>
  </si>
  <si>
    <t>C5, C8, C9, C22, C25, C35, C37, C106, C156, C158, C193,C198</t>
  </si>
  <si>
    <t>C6, C17</t>
  </si>
  <si>
    <t>C12, C32, C39, C42, C43, C50, C51, C52, C54, C56, C58, C60, C61, C62, C63, C64, C65, C66, C67, C68, C69, C72, C73, C74, C75, C76, C77, C78, C79, C80, C82, C84, C86, C87, C88, C89, C91, C93, C94, C96, C97, C98, C99, C100, C102, C103, C108, C111, C113, C116, C118, C119, C120, C121, C124, C125, C126, C127, C128, C129, C130, C131, C132, C135, C137, C144, C145, C148, C160, C166, C167, C169, C171, C172, C173, C175, C178, C181, C182, C183, C184, C186, C189, C191, C192</t>
  </si>
  <si>
    <t xml:space="preserve"> C45</t>
  </si>
  <si>
    <t>C197</t>
  </si>
  <si>
    <t>C20, C196</t>
  </si>
  <si>
    <t>C28, C29, C40, C41, C44, C143, C152, C153, C161, C162</t>
  </si>
  <si>
    <t>C30</t>
  </si>
  <si>
    <t>C31, C38, C55, C70, C71, C81, C83, C85, C90, C92, C95, C101, C104, C107, C110, C112, C115, C117, C122, C123, C136, C138, C155, C165, C168, C185, C188, C190</t>
  </si>
  <si>
    <t>C34, C36, C157</t>
  </si>
  <si>
    <t>C46, C47, C149, C150, C151, C159, C176, C177</t>
  </si>
  <si>
    <t>C105</t>
  </si>
  <si>
    <t>C133, C134</t>
  </si>
  <si>
    <t>C195</t>
  </si>
  <si>
    <t>C154</t>
  </si>
  <si>
    <t>C170, C174, C199</t>
  </si>
  <si>
    <t>C179, C180</t>
  </si>
  <si>
    <t>J5</t>
  </si>
  <si>
    <t>J7, J8, J9</t>
  </si>
  <si>
    <t>J13</t>
  </si>
  <si>
    <t>X2</t>
  </si>
  <si>
    <t>X3</t>
  </si>
  <si>
    <t>D1, D5, D30</t>
  </si>
  <si>
    <t>D2, D4, D42, D43, D50, D51</t>
  </si>
  <si>
    <t>D12, D13, D18, D20, D23, D24, D25, D26, D27, D28, D29, D32, D37, D38, D49, D57, D58, D59</t>
  </si>
  <si>
    <t>D19</t>
  </si>
  <si>
    <t>D47, D48</t>
  </si>
  <si>
    <t>E1, E2, E3, E4, E16, E22, E30, E31, E32, E33</t>
  </si>
  <si>
    <t>E6, E15, E25, E26, E27, E28</t>
  </si>
  <si>
    <t>E23, E24</t>
  </si>
  <si>
    <t>U2, U7</t>
  </si>
  <si>
    <t>U4</t>
  </si>
  <si>
    <t>U12, U13</t>
  </si>
  <si>
    <t>U16</t>
  </si>
  <si>
    <t>U20</t>
  </si>
  <si>
    <t>L4, L6</t>
  </si>
  <si>
    <t>L5</t>
  </si>
  <si>
    <t>[NoValue], D21, D36, D56</t>
  </si>
  <si>
    <t>D22, D33, D46</t>
  </si>
  <si>
    <t>Q1, Q2, Q5, Q6, Q7, Q8, Q9, Q10, Q11, Q42, Q43</t>
  </si>
  <si>
    <t>Q13, Q14, Q20, Q35, Q36, Q39</t>
  </si>
  <si>
    <t>R2, R27, R40, R44, R46, R71, R114, R238, R240, R242, R269</t>
  </si>
  <si>
    <t>R5, R16, R18, R29, R39, R49, R100, R104, R105, R106, R113, R115, R116, R120, R121, R128, R140, R142, R147, R155, R158, R185, R186, R187, R191, R192, R193, R194, R195, R198, R199, R201, R202, R205, R228, R229, R230, R234, R246, R271</t>
  </si>
  <si>
    <t>R6, R25, R37, R38, R45, R64, R73, R74, R80, R103, R107, R108, R132, R134, R135, R141, R143, R144, R148, R175, R178, R179, R181, R182, R206, R211, R213, R218, R220, R221, R244, R247, R257, R260, R262</t>
  </si>
  <si>
    <t>R9, R166</t>
  </si>
  <si>
    <t>R15, R33, R36, R152, R153</t>
  </si>
  <si>
    <t xml:space="preserve"> R30, R31, R56, R57, R58, R59, R61, R65, R66, R67, R68, R70, R119, R138, R154, R226, R227, R231, R232, R254, R255, R270, R275,R273</t>
  </si>
  <si>
    <t>R24, R34, R35, R51, R52, R63, R72, R76, R129, R130, R131, R208, R209, R210, R215, R216, R217, R256, R259, R261</t>
  </si>
  <si>
    <t>R41, R43, R47, R48, R60, R62, R69, R96, R97, R98, R99, R109, R110, R122, R123, R124, R125, R126, R127, R162, R163, R164, R165, R167, R168, R171, R172, R157</t>
  </si>
  <si>
    <t>R50, R139, R272</t>
  </si>
  <si>
    <t>R53, R78, R83, R86, R90, R94, R95, R102, R111, R112, R149, R156, R159, R161, R188, R189, R190, R196, R204, R233, R249, R251, R252, R263, R264</t>
  </si>
  <si>
    <t>R133, R136, R137, R145, R146, R150, R207, R212, R214, R219, R222, R223, R243, R245, R248, R258</t>
  </si>
  <si>
    <t>R169</t>
  </si>
  <si>
    <t>R173</t>
  </si>
  <si>
    <t>R197</t>
  </si>
  <si>
    <t>R224</t>
  </si>
  <si>
    <t>R235</t>
  </si>
  <si>
    <t>R250</t>
  </si>
  <si>
    <t>R265, R266, R276</t>
  </si>
  <si>
    <t>K1, K3, K4</t>
  </si>
  <si>
    <t>SW1</t>
  </si>
  <si>
    <t>Q4, Q12, Q15, Q16, Q17, Q18, Q19, Q21, Q23, Q24, Q25, Q26, Q27, Q28, Q29, Q30, Q31, Q32, Q33, Q34, Q37, Q38, Q40, Q41</t>
  </si>
  <si>
    <t>J18</t>
  </si>
  <si>
    <t>SMT</t>
  </si>
  <si>
    <t>4Ch HD/SD Analog Video Decoder</t>
  </si>
  <si>
    <t>62x62x15mm</t>
  </si>
  <si>
    <t>RK3562 SOM - System on Module</t>
  </si>
  <si>
    <t>47uF ±20% 25V Aluminum Electrolytic Capacitors 2000hrs@125℃</t>
  </si>
  <si>
    <t>50V 12pF NP0 ±1% 0402 Multilayer Ceramic Capacitors MLCC - SMD/SMT ROHS</t>
  </si>
  <si>
    <t>16V 1uF X5R ±10% 0402 Multilayer Ceramic Capacitors MLCC - SMD/SMT ROHS</t>
  </si>
  <si>
    <t>10V 1Ω@100kHz 47uF ±10% CASE-B-3528-21(mm) Tantalum Capacitors ROHS</t>
  </si>
  <si>
    <t>Battery Clip Nickel -25℃~+85℃ Phosphor Bronze CR2016 SMD Blade Type Power Connector Assemblies RoHS</t>
  </si>
  <si>
    <t>67P Surface Mount, Right Angle SMD,P=0.5mm,Surface Mount,Right Angle Centronics Connectors ROHS</t>
  </si>
  <si>
    <t>CRYSTAL 32.7680KHZ 12.5PF SMD</t>
  </si>
  <si>
    <t>25MHz 9pF ±10ppm SMD2016-4P Crystals ROHS</t>
  </si>
  <si>
    <t>30V 400mV 200mA SOT-23 Schottky Diodes ROHS</t>
  </si>
  <si>
    <t>50mΩ ±25% 10Ω@100MHz 0603 Ferrite Beads and Chips RoHS</t>
  </si>
  <si>
    <t>IC REG CTRLR MULT TOP 10MSOP</t>
  </si>
  <si>
    <t>LTE CAT 1 module, 4G + (GNSS)</t>
  </si>
  <si>
    <t>16-bit I2C-bus I/O port with interrupt</t>
  </si>
  <si>
    <t>SOP-8 Real Time Clocks ROHS</t>
  </si>
  <si>
    <t>Ethernet Transceiver 3.3V QFN-32-EP(5x5) Drivers, Receivers, Transceivers RoHS</t>
  </si>
  <si>
    <t>CMC 400mA 2LN 67Ω SMD</t>
  </si>
  <si>
    <t>62.5mW 8.45kΩ 50V Thick Film Resistor ±100ppm/℃ ±1% 0402 Chip Resistor - Surface Mount RoHS</t>
  </si>
  <si>
    <t>62.5mW 52.3kΩ 50V Thick Film Resistor ±100ppm/℃ ±1% 0402 Chip Resistor - Surface Mount RoHS</t>
  </si>
  <si>
    <t>25.5kΩ 62.5mW 50V ±100ppm/℃ Thick Film Resistor ±1% 0402 Chip Resistor - Surface Mount RoHS</t>
  </si>
  <si>
    <t>62.5mW 1.5kΩ 50V Thick Film Resistor ±100ppm/℃ ±1% 0402 Chip Resistor - Surface Mount RoHS</t>
  </si>
  <si>
    <t>1/16W Thick Film Resistors 50V ±100ppm/℃ ±1% 2.49kΩ 0402 Chip Resistor - Surface Mount ROHS</t>
  </si>
  <si>
    <t>62.5mW Thick Film Resistor 50V ±100ppm/℃ ±1% 5.6kΩ 0402 Chip Resistor - Surface Mount ROHS</t>
  </si>
  <si>
    <t>357kΩ 62.5mW 50V Thick Film Resistor ±100ppm/℃ ±1% 0402 Chip Resistor - Surface Mount RoHS</t>
  </si>
  <si>
    <t>Tactile Switch 180gf 3.5mm 7.7mm x 3.55mm Surface Mount, Right Angle</t>
  </si>
  <si>
    <t>JUMP-2.0-4PIN-FM-TH</t>
  </si>
  <si>
    <t>PCB, 6 layer, 134 mm* 135.1 mm, PCB Thickness: 1.6mm</t>
  </si>
  <si>
    <t>Stencil RK3562</t>
  </si>
  <si>
    <t xml:space="preserve">SMT mạch PCB RK3562 </t>
  </si>
  <si>
    <t>TH</t>
  </si>
  <si>
    <t>CHIPUP</t>
  </si>
  <si>
    <t>XS9922B</t>
  </si>
  <si>
    <t>Promise</t>
  </si>
  <si>
    <t>TannhietSOM</t>
  </si>
  <si>
    <t>RONGPIN</t>
  </si>
  <si>
    <t>RK3562</t>
  </si>
  <si>
    <t>FOJAN</t>
  </si>
  <si>
    <t>RT1E470M0605</t>
  </si>
  <si>
    <t>SANYEAR</t>
  </si>
  <si>
    <t>C1206X5R106K500NT</t>
  </si>
  <si>
    <t>CC0402FRNPO9BN120</t>
  </si>
  <si>
    <t>CL05A105KO5NNNC</t>
  </si>
  <si>
    <t>Kyocera AVX</t>
  </si>
  <si>
    <t>TAJB476K010RNJ</t>
  </si>
  <si>
    <t>MYOUNG</t>
  </si>
  <si>
    <t>MY-2016-02</t>
  </si>
  <si>
    <t>M6110-01</t>
  </si>
  <si>
    <t>LOTES</t>
  </si>
  <si>
    <t>APCI0146-P001A</t>
  </si>
  <si>
    <t>Abracon LLC</t>
  </si>
  <si>
    <t>ABS07-32.768KHZ-T</t>
  </si>
  <si>
    <t>TKD</t>
  </si>
  <si>
    <t>SX20Y025000B91T002</t>
  </si>
  <si>
    <t>LBAT54CLT1G</t>
  </si>
  <si>
    <t>M7</t>
  </si>
  <si>
    <t>CBG160808U100T</t>
  </si>
  <si>
    <t>SIMCOM</t>
  </si>
  <si>
    <t>A7677S</t>
  </si>
  <si>
    <t>NOVOSENSE</t>
  </si>
  <si>
    <t>NCA9555</t>
  </si>
  <si>
    <t>LANKE</t>
  </si>
  <si>
    <t>LK8563T</t>
  </si>
  <si>
    <t>Motorcomm</t>
  </si>
  <si>
    <t>YT8512H</t>
  </si>
  <si>
    <t>DLW21SN670SQ2L</t>
  </si>
  <si>
    <t>Wurth Electronics Inc.</t>
  </si>
  <si>
    <t>150060YS75000</t>
  </si>
  <si>
    <t>RI0603L1R00FT</t>
  </si>
  <si>
    <t>RI1206L000JT</t>
  </si>
  <si>
    <t>RC0402FR-0752K3L</t>
  </si>
  <si>
    <t>AC0402FR-0725K5L</t>
  </si>
  <si>
    <t>RC0402FR-071K5L</t>
  </si>
  <si>
    <t>RC0402FR-072K49L</t>
  </si>
  <si>
    <t>RC0402FR-075K6L</t>
  </si>
  <si>
    <t>RI0603L1002FT</t>
  </si>
  <si>
    <t>BZCN</t>
  </si>
  <si>
    <t>TSB001A3518A</t>
  </si>
  <si>
    <t>MKP</t>
  </si>
  <si>
    <t>SL thêm 1: C13 từ 100uF sang 470 uF</t>
  </si>
  <si>
    <t>SL giảm từ 7 còn 6 do C48 DNP</t>
  </si>
  <si>
    <t>Số lượng 11 lên 12: Thêm C198</t>
  </si>
  <si>
    <t>số lượng 86 giảm còn 83: C33, C144,C145 DNP</t>
  </si>
  <si>
    <t>SL giảm từ 2 xuống 1: C13 chuyển sang dòng 470uF</t>
  </si>
  <si>
    <t>Thêm 1</t>
  </si>
  <si>
    <t>SL giảm từ 1 xuống 0 : C20 DNP,Thêm  C196 : DNP</t>
  </si>
  <si>
    <t>SL giảm 11 xuống 9, DNP C194,C29</t>
  </si>
  <si>
    <t>SL thêm 1:Thêm C195</t>
  </si>
  <si>
    <t>SL tăng 2 lên 3: Thêm C199</t>
  </si>
  <si>
    <t>SL giảm 11 xuống 3: DNP D8,9,10,11,14,15,16,17</t>
  </si>
  <si>
    <t>SL tăng 17 lên 18: Thêm D59</t>
  </si>
  <si>
    <t>Tăng 1 do L5 đổi mã</t>
  </si>
  <si>
    <t>SL giảm từ 1 xuống 0 do đổi mã khác</t>
  </si>
  <si>
    <t>Led  NoValue chỗ NETSTATUS - sheet 4G không có tên- Bản prototype không hàn, Note lưu ý sửa file pick and place khi SMT</t>
  </si>
  <si>
    <t>SL tăng từ 10 lên 11: thêm R269</t>
  </si>
  <si>
    <t>SL tăng từ 39 lên 40 do thêm R271</t>
  </si>
  <si>
    <t>SL tăng từ 23 lên 24: thêm R270,275,R273, DNP R17,R23</t>
  </si>
  <si>
    <t>Thêm 1 từ 27 lên 28 do bỏ DNP R157</t>
  </si>
  <si>
    <t>SL tăng 2 lên 3: Thêm R272</t>
  </si>
  <si>
    <t>SL tăng 2 lên 3: Thêm R276</t>
  </si>
  <si>
    <t>Thêm 1 do chưa có PCB</t>
  </si>
  <si>
    <t>Change Ref: BOM_CameraBox_2026-04-14 new 250526.xlsx</t>
  </si>
  <si>
    <t>Crystal</t>
  </si>
  <si>
    <t>Switch</t>
  </si>
  <si>
    <t>1210</t>
  </si>
  <si>
    <t>DFN1006-2L</t>
  </si>
  <si>
    <t>DFN1006-2</t>
  </si>
  <si>
    <t>Heatsink</t>
  </si>
  <si>
    <t>Thêm 1 do chưa có Stencil, 500 bộ chỉ cần 1 stencil- chưa có chỗ mua cụ thể</t>
  </si>
  <si>
    <t>2x2P 4P Micro-Fit(MX 3.0) 3mm 2 2 3mm Direct Insert Plugin,P=3mm Wire To Board Connector ROHS</t>
  </si>
  <si>
    <t>2x6P 12P Gold Brass -40℃~+105℃ Pin Header Black 2mm 2mm 250V 3A 2 2mm SMD,P=2mm Headers, Male Pins ROHS</t>
  </si>
  <si>
    <t>TRANS NPN 60V 0.5A SOT23</t>
  </si>
  <si>
    <t>Giắc GX12-2P 2 Chân (Đực)</t>
  </si>
  <si>
    <t>Giắc GX12-4P 12mm 4 Chân (Đực)</t>
  </si>
  <si>
    <t>PCB, 2 layer, 113.94 mm* 23.58 mm, PCB Thickness: 1.6mm, Gerber_Camerabox-gx_2025-11-24_Y2413</t>
  </si>
  <si>
    <t>Stencil GX</t>
  </si>
  <si>
    <t>SMT mạch GX</t>
  </si>
  <si>
    <t>3.0-2*2A</t>
  </si>
  <si>
    <t>XKB Connection</t>
  </si>
  <si>
    <t>X4621WRS-2x06I-C40D64</t>
  </si>
  <si>
    <t>ON Semiconductor</t>
  </si>
  <si>
    <t>MMBTA05LT1G</t>
  </si>
  <si>
    <t>LKTC</t>
  </si>
  <si>
    <t>GX12-2P</t>
  </si>
  <si>
    <t>GX12-4P</t>
  </si>
  <si>
    <t>CL10A105KB8NNNC</t>
  </si>
  <si>
    <t>X4621WRS-2x03I-C40D64</t>
  </si>
  <si>
    <t>C1, C2, C3, C4</t>
  </si>
  <si>
    <t>J7, J9, J10, J11, J12, J13</t>
  </si>
  <si>
    <t>J8, J14, J15</t>
  </si>
  <si>
    <t>Q1, Q2, Q5, Q6</t>
  </si>
  <si>
    <t>R1, R2, R7, R8,</t>
  </si>
  <si>
    <t>R3, R4, R9, R10</t>
  </si>
  <si>
    <t>R5, R6, R11, R12</t>
  </si>
  <si>
    <t>Q3, Q4, Q7, Q8</t>
  </si>
  <si>
    <t>J1</t>
  </si>
  <si>
    <t>J2, J3, J5, J6</t>
  </si>
  <si>
    <t>Board GX</t>
  </si>
  <si>
    <t>BOX_CAM</t>
  </si>
  <si>
    <t>AHGG.101 Ăng Ten GPS/BD Box Đầu SMA Đực Dây Dài 2m</t>
  </si>
  <si>
    <t>AH3G.403 Ăng Ten 2G/3G/4G Đầu SMA Đực Dây Dài 2m</t>
  </si>
  <si>
    <t>tản nhiệt SOM 62x62x15mm</t>
  </si>
  <si>
    <t>Pin CR2016</t>
  </si>
  <si>
    <t>402030 200mAh 3.7V Lithium Polymer Battery for Smart Bracelet Voice Recorder GPS Tablet PC Pet Training Tool Webcam Cell</t>
  </si>
  <si>
    <t xml:space="preserve">Vỏ hộp </t>
  </si>
  <si>
    <t>Cáp RF Đầu SMA Cái Nối 1.13Ipex Dài 10cm</t>
  </si>
  <si>
    <t>Miếng dẫn nhiệt thermal pad 5W/mK cho vga, chipset, ic dày 0.5, 1, 1.5, 2, 2.5, 3, 5mm .kienstore358</t>
  </si>
  <si>
    <t>Quạt làm mát Mini EIbbkg 12V 25mm 2510 25x25x10mm 2 chân DC Nhỏ Micro Cooler 2 gói mới</t>
  </si>
  <si>
    <t>10 cái M3 M4 M5 Bulong lục giác chìm đầu bằng đen thép mạ cấp bền 10.9 M3 M4 M5</t>
  </si>
  <si>
    <t>Set 50, 20 Tán Dẹp Ecu Inox 304, thép thôi, thép mạ Cho ốc M3, M4, M5, M6, M8 Set 10 con đai ốc inox loại tốt</t>
  </si>
  <si>
    <t>Ốc vít Máy tính Laptop PC ổ cứng SSD HDD Main fan Linh kiện | M2 M2x3 M2.5x5 M3x5 M3.5x6 M4 M5</t>
  </si>
  <si>
    <t>Set 50, 20 cái long đền vênh vòng đệm vênh ốc M2 M3 M4 M5 M6 các loại</t>
  </si>
  <si>
    <t>Dây điện connector 4P</t>
  </si>
  <si>
    <t>Dây Cáp Nhôm 4 Lõi UL2464-24AWG-4C 4x0.2mm2 Vỏ PVC</t>
  </si>
  <si>
    <t>Giắc GX12-2P 2 Chân (Cái) Đấu Dây</t>
  </si>
  <si>
    <t>Antenna</t>
  </si>
  <si>
    <t>Heat sink</t>
  </si>
  <si>
    <t>Battery</t>
  </si>
  <si>
    <t>TGIC</t>
  </si>
  <si>
    <t>AHGG.101</t>
  </si>
  <si>
    <t>AH3G.403</t>
  </si>
  <si>
    <t>Linh kiện điện tử SMD</t>
  </si>
  <si>
    <t>CR2016</t>
  </si>
  <si>
    <t>Aliexpress</t>
  </si>
  <si>
    <t>200mAh 3.7V</t>
  </si>
  <si>
    <t>KDT-2526</t>
  </si>
  <si>
    <t>1.13Ipex</t>
  </si>
  <si>
    <t>100x100x2mm</t>
  </si>
  <si>
    <t>Lò Xo Kẹp 17.6mm</t>
  </si>
  <si>
    <t>M3x16mm</t>
  </si>
  <si>
    <t>M3 Inox304</t>
  </si>
  <si>
    <t>M2x4mm</t>
  </si>
  <si>
    <t>M3</t>
  </si>
  <si>
    <t>MAV-WH161</t>
  </si>
  <si>
    <t>L2464-24AWG-4C</t>
  </si>
  <si>
    <t>GX12-2P (Cái)</t>
  </si>
  <si>
    <t>Thêm mới do prototype không mua</t>
  </si>
  <si>
    <t>giảm 1 xuống 0.2 do 1 tấm sử dụng được cho 10-15 mạch</t>
  </si>
  <si>
    <t>Vít cho quạt</t>
  </si>
  <si>
    <t>Bulong hàn cho quạt</t>
  </si>
  <si>
    <t>Vít M2 SSD</t>
  </si>
  <si>
    <t>Vênh cho quạt</t>
  </si>
  <si>
    <t>Board_GX</t>
  </si>
  <si>
    <t>Board_RK3562</t>
  </si>
  <si>
    <t>Fan</t>
  </si>
  <si>
    <t>DOW</t>
  </si>
  <si>
    <t>Keo silicone cố định linh kiện</t>
  </si>
  <si>
    <t>Thêm 1, chưa rõ nhà cung cấp</t>
  </si>
  <si>
    <t>Antena</t>
  </si>
  <si>
    <t>Thêm mới để cố định linh kiện mạch, 1 lọ 90ml cho 10-20 mạch</t>
  </si>
  <si>
    <t>link</t>
  </si>
  <si>
    <t>MKP tự thiết kế đặt mua, chưa tiết lộ nguồn cung cấp</t>
  </si>
  <si>
    <t>SL giảm 1 về 0 do DNP J26</t>
  </si>
  <si>
    <t>SL giảm từ 1 về 0 do chỉ lắp nguyên BOX_CAM</t>
  </si>
  <si>
    <t>Dow Corning 3140 RTV</t>
  </si>
  <si>
    <t>Thêm SMT</t>
  </si>
  <si>
    <t>SL giảm về 0 do chuyển sang BOX_CAM</t>
  </si>
  <si>
    <t>SL đã có trong kho chị HÀ</t>
  </si>
  <si>
    <t>SL cần mua</t>
  </si>
  <si>
    <t>PivotCol</t>
  </si>
  <si>
    <t>BOM_CameraBox_2026-04-14 2205</t>
  </si>
  <si>
    <t>Gerber_CAMBOX_GX_lot500_2505</t>
  </si>
  <si>
    <t>Naisi là đối tác gia công SMT sẽ mua</t>
  </si>
  <si>
    <t>Naisi SMT</t>
  </si>
  <si>
    <t>Đã mua ngày 26/05</t>
  </si>
  <si>
    <t>SL VNET Đã Bàn Giao CHO XFORCE</t>
  </si>
  <si>
    <t>SL XF EMS đã mua bổ sung đợt 1</t>
  </si>
  <si>
    <t>SL cần mua bổ sung đợt 2</t>
  </si>
  <si>
    <t>XF EMS đã mua bổ sung đợt 1</t>
  </si>
  <si>
    <t>VNES</t>
  </si>
  <si>
    <t>Sửa lại mô tả, đây là quạt 5V:
"5V Ball/Sleeve Axial Cooler Hydraulic Bearing 25x25x10mm Mini Cooling Fan 2510 25mm Centrifugal Electric 3D Printer Fan
Cable length: &gt;50mm with XH2.5mm connector"</t>
  </si>
  <si>
    <t>SYD2510HSL</t>
  </si>
  <si>
    <t>SHENGYIDA</t>
  </si>
  <si>
    <t>Lịch CV rà soát</t>
  </si>
  <si>
    <t>17.6mm Plastic Nail Southbridge Northbridge Cooling Fan Plastic Spring Clips Secure Mounting</t>
  </si>
  <si>
    <t>China / GEMAY</t>
  </si>
  <si>
    <t>Đã mua bổ sung 500 ở đợt 1</t>
  </si>
  <si>
    <t>Đã mua bổ sung 1000 ở đợt 1</t>
  </si>
  <si>
    <t>Sửa lại mô tả: Heatsink 8.8 x 8.8 x 12mm
Adhesive backing – peel-and-stick thermal tape.
Black Color</t>
  </si>
  <si>
    <t>Heatsink 8.8 x 8.8 x 12mm</t>
  </si>
  <si>
    <t>Heatsink 8.8 x 8.8 x 12mm
Adhesive backing – peel-and-stick thermal tape.
Black Color</t>
  </si>
  <si>
    <t>SL VNET dự kiến Bàn giao lần 2</t>
  </si>
  <si>
    <t>VNET bàn giao tổng cộng 3470pcs, mạch RK3562 cần 3000pcs, mạch GX cần 2000pcs</t>
  </si>
  <si>
    <t xml:space="preserve">
</t>
  </si>
  <si>
    <t>Công Ty Cổ Phần Công Nghệ Điện Tử &amp; Viễn  Thông Việt Nam</t>
  </si>
  <si>
    <t>Địa chỉ: A46 TT19 Nguyễn Khuyến, P. Văn Quán, Q. Hà Đông, TP. Hà Nội</t>
  </si>
  <si>
    <t>Điện thoại: 0243 6400 767</t>
  </si>
  <si>
    <t>Website: https://vnetgps.vn/</t>
  </si>
  <si>
    <t>BIÊN BẢN BÀN GIAO LINH KIỆN</t>
  </si>
  <si>
    <t>Bên bàn giao: Công Ty Cổ Phần Công Nghệ Điện Tử &amp; Viễn  Thông Việt Nam</t>
  </si>
  <si>
    <t>Hà Nội, ngày 21 tháng 05 năm 2026</t>
  </si>
  <si>
    <t>Bên nhận bàn giao: Công ty X-Force</t>
  </si>
  <si>
    <t>Nội dung: Bàn giao linh kiện gia công thiết bị đầu ghi camera</t>
  </si>
  <si>
    <t>STT</t>
  </si>
  <si>
    <t>Mã Linh Kiện</t>
  </si>
  <si>
    <t>Đơn Vị Tính</t>
  </si>
  <si>
    <t>Số lượng</t>
  </si>
  <si>
    <t>Ghi Chú</t>
  </si>
  <si>
    <t>Chiếc</t>
  </si>
  <si>
    <t>Linh kiện gia công thiết bị đầu ghi camera</t>
  </si>
  <si>
    <t>0603X105K500NT</t>
  </si>
  <si>
    <t>0805X106K160NT</t>
  </si>
  <si>
    <t>1206X106K500NT</t>
  </si>
  <si>
    <t>M6110-31</t>
  </si>
  <si>
    <t>1X027000CP</t>
  </si>
  <si>
    <t>dr</t>
  </si>
  <si>
    <t>MÃ lk thay thế: MLK 000061</t>
  </si>
  <si>
    <t>RC0402FR-072R2L</t>
  </si>
  <si>
    <t>Đại Diện Bên Bàn Giao</t>
  </si>
  <si>
    <t>Đại Diện Bên Nhận Bàn Giao</t>
  </si>
  <si>
    <t>(Ký, ghi rõ họ tên)</t>
  </si>
  <si>
    <t>SI No</t>
  </si>
  <si>
    <t>HSN Code</t>
  </si>
  <si>
    <t>Item Description</t>
  </si>
  <si>
    <t>Quantity</t>
  </si>
  <si>
    <t>Rate</t>
  </si>
  <si>
    <t>Battery Clip Nickel -25°C~+85°C Phosphor Bronze CR2016 SMD Blade Type Power Connector Assemblies RoHS</t>
  </si>
  <si>
    <t>VHF10050511Q47NJT</t>
  </si>
  <si>
    <t>YAGEORC0402FR-072R2L</t>
  </si>
  <si>
    <t>62.5mW 2.2Ω 50V Thick Film Resistor ±1% ±200ppm/°C 0402 Chip Resistor Surface Mount RoHS</t>
  </si>
  <si>
    <t>PZ200V-11-04P</t>
  </si>
  <si>
    <t>XII-2AW</t>
  </si>
  <si>
    <t>Connector Header 2 position 2.5mm Pitch Right Angle</t>
  </si>
  <si>
    <t>1 Inner pin IPEX Board-End 1.25mm -40°C~+90°C 3GHz 50Ω 2mm SMD Coaxial Connectors (RF) ROHS</t>
  </si>
  <si>
    <t>Unidirectional 5V (Max) 6.2V 18.6V 9.4A SOD-523 TVS ROHS</t>
  </si>
  <si>
    <t>3A@8/20us 23V 70W@8/20us 6V 5V DFN1006-2L TVS Diodes ROHS</t>
  </si>
  <si>
    <t>20mA 180mcd Colorless Transparent Lens 565nm-575nm -20°C-+85°C</t>
  </si>
  <si>
    <t>N-Channel 30V 0.1A 0.35W Surface Mount SOT-21</t>
  </si>
  <si>
    <t>SOT-23-3 MOSFETs P-Channel ROHS</t>
  </si>
  <si>
    <t>62.5mW Thick Film Resistors 50V ±100ppm/°C ±1% 4.7kΩ 0402 Chip Resistor - Surface Mount ROHS</t>
  </si>
  <si>
    <t>62.5mW Thick Film Resistor 50V ±100ppm/°C ±1% 2.2kΩ 0402 Chip Resistor - Surface Mount ROHS</t>
  </si>
  <si>
    <t>50V Thick Film Resistors 62.5mW 22Ω ±1% ±100ppm/°C 0402 Chip Resistor Surface Mount ROHS</t>
  </si>
  <si>
    <t>62.5mW Thick Film Resistor 50V ±100ppm/°C ±1% 1kΩ 0402 Chip Resistor - Surface Mount ROHS</t>
  </si>
  <si>
    <t>62.5mW Thick Film Resistor 50V ±1% ±200ppm/°C 10Ω 0402 Chip Resistor Surface Mount ROHS</t>
  </si>
  <si>
    <t>62.5mW Thick Film Resistor 50V ±100ppm/°C ±1% 47kΩ 0402 Chip Resistor - Surface Mount ROHS</t>
  </si>
  <si>
    <t>50mA 3.5mm 100000 Times 260gf 12V 3mm 2mm Round Button Standing paste SPST</t>
  </si>
  <si>
    <t>1.13lpex</t>
  </si>
  <si>
    <t>Cáp RF Đầu SMA Cái Nối 1.13lpex Dài 10cm</t>
  </si>
  <si>
    <t>9x9x12mm</t>
  </si>
  <si>
    <t>Tản nhiệt nhôm CPU 9x9x5mm trắng</t>
  </si>
  <si>
    <t>Black White Push Pins Hex Rivet Fastern Nail With Spring for Heat Sink Cooling Fan GPU</t>
  </si>
  <si>
    <t>Vít Máy KM M3 x 16mm</t>
  </si>
  <si>
    <t>Đai Ốc M3 Inox 304</t>
  </si>
  <si>
    <t>Ốc M2 SSD (Dùng gắn SSD M.2 PCIe, M.2 SATA trên main laptop)</t>
  </si>
  <si>
    <t>Long Đèn Hở M3 Inox 304</t>
  </si>
  <si>
    <t>Giắc GX12-2P 2 Chân (Cái) Dấu Dây</t>
  </si>
  <si>
    <t>Mã này bỏ không hàn</t>
  </si>
  <si>
    <t>Part 2 có 13360pcs</t>
  </si>
  <si>
    <t>VNET đã bàn giao</t>
  </si>
  <si>
    <t>P/N_Board RK3562</t>
  </si>
  <si>
    <t>Note_Board RK3562</t>
  </si>
  <si>
    <t>VNET đã bàn giao khay để cài Pin CR2026</t>
  </si>
  <si>
    <t>Không tìm thấy trong BOM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</si>
</sst>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;@"/>
    <numFmt numFmtId="165" formatCode="_-* #,##0\ _₫_-;\-* #,##0\ _₫_-;_-* &quot;-&quot;\ _₫_-;_-@_-"/>
    <numFmt numFmtId="166" formatCode="_-* #,##0.00_-;\-* #,##0.00_-;_-* &quot;-&quot;??_-;_-@_-"/>
    <numFmt numFmtId="167" formatCode="_-* #,##0_-;\-* #,##0_-;_-* &quot;-&quot;??_-;_-@_-"/>
  </numFmts>
  <fonts count="28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color theme="0"/>
      <name val="Times New Roman"/>
      <family val="1"/>
    </font>
    <font>
      <sz val="11"/>
      <color rgb="FF0070C0"/>
      <name val="Times New Roman"/>
      <family val="1"/>
    </font>
    <font>
      <b/>
      <sz val="11"/>
      <color theme="1"/>
      <name val="Times New Roman"/>
      <family val="1"/>
    </font>
    <font>
      <sz val="8"/>
      <name val="Aptos Narrow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u/>
      <sz val="11"/>
      <color theme="10"/>
      <name val="Aptos Narrow"/>
      <family val="2"/>
      <scheme val="minor"/>
    </font>
    <font>
      <sz val="10"/>
      <color theme="1"/>
      <name val="Times New Roman"/>
      <family val="1"/>
    </font>
    <font>
      <u/>
      <sz val="13"/>
      <color theme="10"/>
      <name val="Times New Roman"/>
      <family val="1"/>
    </font>
    <font>
      <sz val="11"/>
      <color theme="1"/>
      <name val="Times New Roman"/>
      <family val="1"/>
      <charset val="163"/>
    </font>
    <font>
      <u/>
      <sz val="11"/>
      <color theme="1"/>
      <name val="Aptos Display"/>
      <family val="1"/>
      <scheme val="major"/>
    </font>
    <font>
      <sz val="11"/>
      <color theme="1"/>
      <name val="Aptos Display"/>
      <family val="1"/>
      <scheme val="major"/>
    </font>
    <font>
      <sz val="10"/>
      <name val="Arial"/>
      <family val="2"/>
    </font>
    <font>
      <b/>
      <sz val="15"/>
      <color theme="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i/>
      <sz val="8"/>
      <color theme="1"/>
      <name val="Times New Roman"/>
      <family val="1"/>
    </font>
    <font>
      <b/>
      <sz val="10"/>
      <name val="Times New Roman"/>
      <family val="1"/>
    </font>
    <font>
      <i/>
      <sz val="9"/>
      <name val="Times New Roman"/>
      <family val="1"/>
    </font>
    <font>
      <b/>
      <i/>
      <sz val="10"/>
      <name val="Times New Roman"/>
      <family val="1"/>
    </font>
    <font>
      <b/>
      <i/>
      <sz val="12"/>
      <name val="Times New Roman"/>
      <family val="1"/>
    </font>
    <font>
      <sz val="11"/>
      <color theme="1"/>
      <name val="Aptos Narrow"/>
      <family val="2"/>
      <charset val="1"/>
      <scheme val="minor"/>
    </font>
    <font>
      <sz val="11"/>
      <color rgb="FF00000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1" fillId="0" borderId="0" applyNumberFormat="0" applyFill="0" applyBorder="0" applyAlignment="0" applyProtection="0"/>
    <xf numFmtId="0" fontId="17" fillId="0" borderId="0"/>
    <xf numFmtId="0" fontId="26" fillId="0" borderId="0"/>
    <xf numFmtId="166" fontId="26" fillId="0" borderId="0" applyFont="0" applyFill="0" applyBorder="0" applyAlignment="0" applyProtection="0"/>
  </cellStyleXfs>
  <cellXfs count="10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10" fillId="0" borderId="1" xfId="0" applyFont="1" applyBorder="1" applyAlignment="1">
      <alignment horizontal="left" vertical="center" wrapText="1"/>
    </xf>
    <xf numFmtId="0" fontId="1" fillId="0" borderId="1" xfId="0" quotePrefix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12" fillId="4" borderId="1" xfId="0" quotePrefix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vertical="center" wrapText="1"/>
    </xf>
    <xf numFmtId="0" fontId="1" fillId="4" borderId="1" xfId="0" quotePrefix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vertical="center" wrapText="1"/>
    </xf>
    <xf numFmtId="0" fontId="15" fillId="4" borderId="1" xfId="1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vertical="center" wrapText="1"/>
    </xf>
    <xf numFmtId="0" fontId="12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vertical="center" wrapText="1"/>
    </xf>
    <xf numFmtId="0" fontId="12" fillId="6" borderId="1" xfId="0" quotePrefix="1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12" fillId="8" borderId="1" xfId="0" quotePrefix="1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14" fillId="8" borderId="1" xfId="0" applyFont="1" applyFill="1" applyBorder="1" applyAlignment="1">
      <alignment vertical="center" wrapText="1"/>
    </xf>
    <xf numFmtId="0" fontId="13" fillId="8" borderId="1" xfId="1" applyFont="1" applyFill="1" applyBorder="1" applyAlignment="1">
      <alignment horizontal="center"/>
    </xf>
    <xf numFmtId="0" fontId="1" fillId="8" borderId="1" xfId="0" applyFont="1" applyFill="1" applyBorder="1" applyAlignment="1">
      <alignment vertical="center" wrapText="1"/>
    </xf>
    <xf numFmtId="0" fontId="1" fillId="8" borderId="0" xfId="0" applyFont="1" applyFill="1" applyAlignment="1">
      <alignment vertical="center" wrapText="1"/>
    </xf>
    <xf numFmtId="0" fontId="15" fillId="8" borderId="1" xfId="1" applyFont="1" applyFill="1" applyBorder="1" applyAlignment="1">
      <alignment horizontal="center" vertical="center"/>
    </xf>
    <xf numFmtId="0" fontId="20" fillId="0" borderId="0" xfId="2" applyFont="1"/>
    <xf numFmtId="0" fontId="12" fillId="0" borderId="12" xfId="2" applyFont="1" applyBorder="1" applyAlignment="1">
      <alignment horizontal="left" vertical="center" indent="1"/>
    </xf>
    <xf numFmtId="0" fontId="12" fillId="0" borderId="0" xfId="2" applyFont="1" applyAlignment="1">
      <alignment vertical="center" wrapText="1"/>
    </xf>
    <xf numFmtId="0" fontId="21" fillId="0" borderId="13" xfId="2" applyFont="1" applyBorder="1" applyAlignment="1">
      <alignment horizontal="right" vertical="center" wrapText="1"/>
    </xf>
    <xf numFmtId="0" fontId="12" fillId="0" borderId="13" xfId="2" applyFont="1" applyBorder="1" applyAlignment="1">
      <alignment vertical="center" wrapText="1"/>
    </xf>
    <xf numFmtId="0" fontId="12" fillId="0" borderId="7" xfId="2" applyFont="1" applyBorder="1" applyAlignment="1">
      <alignment vertical="center" wrapText="1"/>
    </xf>
    <xf numFmtId="0" fontId="12" fillId="0" borderId="2" xfId="2" applyFont="1" applyBorder="1" applyAlignment="1">
      <alignment vertical="center" wrapText="1"/>
    </xf>
    <xf numFmtId="0" fontId="12" fillId="0" borderId="14" xfId="2" applyFont="1" applyBorder="1" applyAlignment="1">
      <alignment vertical="center" wrapText="1"/>
    </xf>
    <xf numFmtId="0" fontId="2" fillId="4" borderId="1" xfId="2" applyFont="1" applyFill="1" applyBorder="1" applyAlignment="1">
      <alignment horizontal="center" vertical="center" wrapText="1"/>
    </xf>
    <xf numFmtId="0" fontId="20" fillId="0" borderId="0" xfId="2" applyFont="1" applyAlignment="1">
      <alignment vertical="center" wrapText="1"/>
    </xf>
    <xf numFmtId="0" fontId="12" fillId="4" borderId="1" xfId="2" applyFont="1" applyFill="1" applyBorder="1" applyAlignment="1">
      <alignment horizontal="center" vertical="center" wrapText="1"/>
    </xf>
    <xf numFmtId="0" fontId="12" fillId="0" borderId="1" xfId="2" applyFont="1" applyBorder="1" applyAlignment="1">
      <alignment horizontal="center" vertical="center"/>
    </xf>
    <xf numFmtId="0" fontId="22" fillId="0" borderId="0" xfId="2" applyFont="1" applyAlignment="1">
      <alignment vertical="center"/>
    </xf>
    <xf numFmtId="0" fontId="20" fillId="0" borderId="0" xfId="2" applyFont="1" applyAlignment="1">
      <alignment vertical="center"/>
    </xf>
    <xf numFmtId="0" fontId="23" fillId="0" borderId="0" xfId="2" applyFont="1" applyAlignment="1">
      <alignment horizontal="right" vertical="center"/>
    </xf>
    <xf numFmtId="0" fontId="23" fillId="0" borderId="0" xfId="2" applyFont="1" applyAlignment="1">
      <alignment vertical="center"/>
    </xf>
    <xf numFmtId="165" fontId="20" fillId="0" borderId="0" xfId="2" applyNumberFormat="1" applyFont="1" applyAlignment="1">
      <alignment vertical="center" wrapText="1"/>
    </xf>
    <xf numFmtId="0" fontId="24" fillId="0" borderId="0" xfId="2" applyFont="1" applyAlignment="1">
      <alignment vertical="center"/>
    </xf>
    <xf numFmtId="0" fontId="25" fillId="0" borderId="0" xfId="2" applyFont="1" applyAlignment="1">
      <alignment horizontal="center" vertical="center" wrapText="1"/>
    </xf>
    <xf numFmtId="0" fontId="27" fillId="0" borderId="0" xfId="3" applyFont="1"/>
    <xf numFmtId="0" fontId="26" fillId="0" borderId="0" xfId="3"/>
    <xf numFmtId="0" fontId="27" fillId="9" borderId="0" xfId="3" applyFont="1" applyFill="1"/>
    <xf numFmtId="0" fontId="26" fillId="9" borderId="0" xfId="3" applyFill="1"/>
    <xf numFmtId="167" fontId="27" fillId="0" borderId="0" xfId="4" applyNumberFormat="1" applyFont="1"/>
    <xf numFmtId="0" fontId="1" fillId="6" borderId="1" xfId="0" quotePrefix="1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right" vertical="center" wrapText="1"/>
    </xf>
    <xf numFmtId="0" fontId="10" fillId="0" borderId="5" xfId="0" applyFont="1" applyBorder="1" applyAlignment="1">
      <alignment horizontal="right" vertical="center" wrapText="1"/>
    </xf>
    <xf numFmtId="0" fontId="10" fillId="0" borderId="4" xfId="0" applyFont="1" applyBorder="1" applyAlignment="1">
      <alignment horizontal="right" vertical="center" wrapText="1"/>
    </xf>
    <xf numFmtId="0" fontId="10" fillId="0" borderId="1" xfId="0" applyFont="1" applyBorder="1" applyAlignment="1">
      <alignment horizontal="right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164" fontId="9" fillId="0" borderId="3" xfId="0" applyNumberFormat="1" applyFont="1" applyBorder="1" applyAlignment="1">
      <alignment horizontal="left" vertical="center" wrapText="1"/>
    </xf>
    <xf numFmtId="164" fontId="9" fillId="0" borderId="5" xfId="0" applyNumberFormat="1" applyFont="1" applyBorder="1" applyAlignment="1">
      <alignment horizontal="left" vertical="center" wrapText="1"/>
    </xf>
    <xf numFmtId="164" fontId="9" fillId="0" borderId="4" xfId="0" applyNumberFormat="1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22" fillId="0" borderId="0" xfId="2" applyFont="1" applyAlignment="1">
      <alignment horizontal="center" vertical="center"/>
    </xf>
    <xf numFmtId="0" fontId="12" fillId="0" borderId="9" xfId="2" applyFont="1" applyBorder="1" applyAlignment="1">
      <alignment horizontal="left" vertical="center" wrapText="1"/>
    </xf>
    <xf numFmtId="0" fontId="12" fillId="0" borderId="10" xfId="2" applyFont="1" applyBorder="1" applyAlignment="1">
      <alignment horizontal="left" vertical="center" wrapText="1"/>
    </xf>
    <xf numFmtId="0" fontId="12" fillId="0" borderId="11" xfId="2" applyFont="1" applyBorder="1" applyAlignment="1">
      <alignment horizontal="left" vertical="center" wrapText="1"/>
    </xf>
    <xf numFmtId="0" fontId="12" fillId="4" borderId="1" xfId="2" applyFont="1" applyFill="1" applyBorder="1" applyAlignment="1">
      <alignment horizontal="center" vertical="center" wrapText="1"/>
    </xf>
    <xf numFmtId="0" fontId="23" fillId="0" borderId="0" xfId="2" applyFont="1" applyAlignment="1">
      <alignment horizontal="center" vertical="center"/>
    </xf>
    <xf numFmtId="0" fontId="18" fillId="0" borderId="1" xfId="2" applyFont="1" applyBorder="1" applyAlignment="1">
      <alignment horizontal="center" vertical="center"/>
    </xf>
    <xf numFmtId="0" fontId="18" fillId="0" borderId="6" xfId="2" applyFont="1" applyBorder="1" applyAlignment="1">
      <alignment horizontal="center" vertical="center"/>
    </xf>
    <xf numFmtId="0" fontId="18" fillId="0" borderId="1" xfId="2" applyFont="1" applyBorder="1" applyAlignment="1">
      <alignment horizontal="center" vertical="center" wrapText="1"/>
    </xf>
    <xf numFmtId="0" fontId="18" fillId="0" borderId="8" xfId="2" applyFont="1" applyBorder="1" applyAlignment="1">
      <alignment horizontal="center" vertical="center" wrapText="1"/>
    </xf>
    <xf numFmtId="0" fontId="19" fillId="0" borderId="1" xfId="2" applyFont="1" applyBorder="1" applyAlignment="1">
      <alignment horizontal="center" vertical="center"/>
    </xf>
    <xf numFmtId="0" fontId="20" fillId="0" borderId="1" xfId="2" applyFont="1" applyBorder="1" applyAlignment="1">
      <alignment horizontal="center" vertical="center" wrapText="1"/>
    </xf>
  </cellXfs>
  <cellStyles count="5">
    <cellStyle name="Comma 2" xfId="4" xr:uid="{1AB7B105-EFE8-4800-A277-50374F2B0F35}"/>
    <cellStyle name="Hyperlink" xfId="1" builtinId="8"/>
    <cellStyle name="Normal" xfId="0" builtinId="0"/>
    <cellStyle name="Normal 2" xfId="2" xr:uid="{3842D442-92E5-4630-9CE5-6191F9F8EAF8}"/>
    <cellStyle name="Normal 3" xfId="3" xr:uid="{546E4E6A-5258-4F07-9AB6-CFECDEB829A7}"/>
  </cellStyles>
  <dxfs count="2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488016</xdr:colOff>
      <xdr:row>34</xdr:row>
      <xdr:rowOff>0</xdr:rowOff>
    </xdr:from>
    <xdr:to>
      <xdr:col>14</xdr:col>
      <xdr:colOff>305135</xdr:colOff>
      <xdr:row>145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3F999705-49FF-42BE-8B72-975556E2A7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664526" y="23298150"/>
          <a:ext cx="1704974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87924</xdr:colOff>
      <xdr:row>0</xdr:row>
      <xdr:rowOff>95250</xdr:rowOff>
    </xdr:from>
    <xdr:to>
      <xdr:col>1</xdr:col>
      <xdr:colOff>1544076</xdr:colOff>
      <xdr:row>3</xdr:row>
      <xdr:rowOff>56670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A2EFAA0-EC58-46DD-8596-262A97C673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924" y="95250"/>
          <a:ext cx="1919067" cy="47005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HARDWARE\GitDVD\Cambox_RK3562_A7677S_AITHINGS\Project%20Outputs%20for%20Camera_Box_RK3562\BOM\BOM_CameraBox_2026-04-14%20220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X Board"/>
      <sheetName val="Vat_tu_phu"/>
      <sheetName val="Cambox V4"/>
      <sheetName val="Board_RK3562"/>
      <sheetName val="Bộ RFID gia thanh sx"/>
      <sheetName val="VNSH03 gia thanh sx "/>
      <sheetName val="All Board (2)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6">
          <cell r="F6" t="str">
            <v>XS9922B</v>
          </cell>
          <cell r="G6">
            <v>500</v>
          </cell>
        </row>
        <row r="7">
          <cell r="F7" t="str">
            <v>TannhietSOM</v>
          </cell>
          <cell r="G7">
            <v>500</v>
          </cell>
        </row>
        <row r="8">
          <cell r="F8" t="str">
            <v>RK3562</v>
          </cell>
          <cell r="G8">
            <v>500</v>
          </cell>
        </row>
        <row r="9">
          <cell r="F9" t="str">
            <v>RVT1C471M0810</v>
          </cell>
          <cell r="G9">
            <v>500</v>
          </cell>
        </row>
        <row r="10">
          <cell r="F10" t="str">
            <v>C0603X5R105K500NT</v>
          </cell>
          <cell r="G10">
            <v>2500</v>
          </cell>
        </row>
        <row r="11">
          <cell r="F11" t="str">
            <v>CC1206KKX7R0BB104</v>
          </cell>
          <cell r="G11">
            <v>1000</v>
          </cell>
        </row>
        <row r="12">
          <cell r="F12" t="str">
            <v>RVT2A100M0605</v>
          </cell>
          <cell r="G12">
            <v>1000</v>
          </cell>
        </row>
        <row r="13">
          <cell r="F13" t="str">
            <v>CS3225X7R106K500NRL</v>
          </cell>
          <cell r="G13">
            <v>3500</v>
          </cell>
        </row>
        <row r="14">
          <cell r="F14" t="str">
            <v>CC0603KRX7R9BB104</v>
          </cell>
          <cell r="G14">
            <v>6500</v>
          </cell>
        </row>
        <row r="15">
          <cell r="F15" t="str">
            <v>CC0402JRNPO9BN220</v>
          </cell>
          <cell r="G15">
            <v>1500</v>
          </cell>
        </row>
        <row r="16">
          <cell r="F16" t="str">
            <v>FCC0402B681K500AT</v>
          </cell>
          <cell r="G16">
            <v>500</v>
          </cell>
        </row>
        <row r="17">
          <cell r="F17" t="str">
            <v>CC0402KRX7R7BB104</v>
          </cell>
          <cell r="G17">
            <v>41000</v>
          </cell>
        </row>
        <row r="18">
          <cell r="F18" t="str">
            <v>RT1H101M0810</v>
          </cell>
          <cell r="G18">
            <v>1000</v>
          </cell>
        </row>
        <row r="19">
          <cell r="F19" t="str">
            <v>CC0402KRX7R9BB822</v>
          </cell>
          <cell r="G19">
            <v>500</v>
          </cell>
        </row>
        <row r="20">
          <cell r="F20" t="str">
            <v>RT1E470M0605</v>
          </cell>
          <cell r="G20">
            <v>500</v>
          </cell>
        </row>
        <row r="21">
          <cell r="F21" t="str">
            <v>EMK316BBJ476ML-T</v>
          </cell>
          <cell r="G21">
            <v>500</v>
          </cell>
        </row>
        <row r="22">
          <cell r="F22" t="str">
            <v>CC0603KRX7R9BB474</v>
          </cell>
          <cell r="G22">
            <v>500</v>
          </cell>
        </row>
        <row r="23">
          <cell r="F23" t="str">
            <v>CC0603KRX7R9BB561</v>
          </cell>
          <cell r="G23">
            <v>500</v>
          </cell>
        </row>
        <row r="24">
          <cell r="F24" t="str">
            <v>CC0603JRNPO9BN750</v>
          </cell>
          <cell r="G24">
            <v>500</v>
          </cell>
        </row>
        <row r="25">
          <cell r="F25" t="str">
            <v>CC0603KRX7R9BB563</v>
          </cell>
          <cell r="G25">
            <v>500</v>
          </cell>
        </row>
        <row r="26">
          <cell r="F26" t="str">
            <v>CC0402FRNPO9BN101</v>
          </cell>
          <cell r="G26">
            <v>4000</v>
          </cell>
        </row>
        <row r="27">
          <cell r="F27" t="str">
            <v>C0603X7R104K500NT</v>
          </cell>
          <cell r="G27">
            <v>500</v>
          </cell>
        </row>
        <row r="28">
          <cell r="F28" t="str">
            <v>C0805X5R106K160NT</v>
          </cell>
          <cell r="G28">
            <v>13500</v>
          </cell>
        </row>
        <row r="29">
          <cell r="F29" t="str">
            <v>C0603X5R475K350NT</v>
          </cell>
          <cell r="G29">
            <v>1500</v>
          </cell>
        </row>
        <row r="30">
          <cell r="F30" t="str">
            <v>CL05C330JB5NNNC</v>
          </cell>
          <cell r="G30">
            <v>4000</v>
          </cell>
        </row>
        <row r="31">
          <cell r="F31" t="str">
            <v>CL10A226MQ8NRNE</v>
          </cell>
          <cell r="G31">
            <v>500</v>
          </cell>
        </row>
        <row r="32">
          <cell r="F32" t="str">
            <v>C1206X5R106K500NT</v>
          </cell>
          <cell r="G32">
            <v>500</v>
          </cell>
        </row>
        <row r="33">
          <cell r="F33" t="str">
            <v>CC0402FRNPO9BN120</v>
          </cell>
          <cell r="G33">
            <v>1000</v>
          </cell>
        </row>
        <row r="34">
          <cell r="F34" t="str">
            <v>EMK325ABJ107MM-T</v>
          </cell>
          <cell r="G34">
            <v>1000</v>
          </cell>
        </row>
        <row r="35">
          <cell r="F35" t="str">
            <v>0805CG330J500NT</v>
          </cell>
          <cell r="G35">
            <v>1000</v>
          </cell>
        </row>
        <row r="36">
          <cell r="F36" t="str">
            <v>FN21N100J500PAG</v>
          </cell>
          <cell r="G36">
            <v>500</v>
          </cell>
        </row>
        <row r="37">
          <cell r="F37" t="str">
            <v>CCTC TCC1206X7R225K101HT</v>
          </cell>
        </row>
        <row r="38">
          <cell r="F38" t="str">
            <v>CL10A225KQ8NNNC</v>
          </cell>
          <cell r="G38">
            <v>500</v>
          </cell>
        </row>
        <row r="39">
          <cell r="F39" t="str">
            <v>CL05A105KO5NNNC</v>
          </cell>
          <cell r="G39">
            <v>1000</v>
          </cell>
        </row>
        <row r="40">
          <cell r="F40" t="str">
            <v>TAJB476K010RNJ</v>
          </cell>
          <cell r="G40">
            <v>1000</v>
          </cell>
        </row>
        <row r="41">
          <cell r="F41" t="str">
            <v>MY-2016-02</v>
          </cell>
          <cell r="G41">
            <v>500</v>
          </cell>
        </row>
        <row r="42">
          <cell r="F42" t="str">
            <v>M6110-01</v>
          </cell>
          <cell r="G42">
            <v>500</v>
          </cell>
        </row>
        <row r="43">
          <cell r="F43" t="str">
            <v>KH-IPEX-K501-29</v>
          </cell>
          <cell r="G43">
            <v>1000</v>
          </cell>
        </row>
        <row r="44">
          <cell r="F44" t="str">
            <v>APCI0146-P001A</v>
          </cell>
          <cell r="G44">
            <v>500</v>
          </cell>
        </row>
        <row r="45">
          <cell r="F45" t="str">
            <v>C7802-02</v>
          </cell>
          <cell r="G45">
            <v>500</v>
          </cell>
        </row>
        <row r="46">
          <cell r="F46" t="str">
            <v>2.D.1.270002002</v>
          </cell>
          <cell r="G46">
            <v>500</v>
          </cell>
        </row>
        <row r="47">
          <cell r="F47" t="str">
            <v>ABS07-32.768KHZ-T</v>
          </cell>
          <cell r="G47">
            <v>500</v>
          </cell>
        </row>
        <row r="48">
          <cell r="F48" t="str">
            <v>SX20Y025000B91T002</v>
          </cell>
          <cell r="G48">
            <v>500</v>
          </cell>
        </row>
        <row r="49">
          <cell r="F49" t="str">
            <v>ESD5Z5V0</v>
          </cell>
          <cell r="G49">
            <v>4500</v>
          </cell>
        </row>
        <row r="50">
          <cell r="F50" t="str">
            <v>LM-AZ6118-01F</v>
          </cell>
          <cell r="G50">
            <v>3000</v>
          </cell>
        </row>
        <row r="51">
          <cell r="F51" t="str">
            <v>PDS760-13</v>
          </cell>
          <cell r="G51">
            <v>500</v>
          </cell>
        </row>
        <row r="52">
          <cell r="F52" t="str">
            <v>SS34A</v>
          </cell>
          <cell r="G52">
            <v>500</v>
          </cell>
        </row>
        <row r="53">
          <cell r="F53" t="str">
            <v>WE05DGCF-B</v>
          </cell>
          <cell r="G53">
            <v>500</v>
          </cell>
        </row>
        <row r="54">
          <cell r="F54" t="str">
            <v>B72590D50H160</v>
          </cell>
          <cell r="G54">
            <v>7000</v>
          </cell>
        </row>
        <row r="55">
          <cell r="F55" t="str">
            <v>LBAT54CLT1G</v>
          </cell>
          <cell r="G55">
            <v>500</v>
          </cell>
        </row>
        <row r="56">
          <cell r="F56" t="str">
            <v>PTVS5V0S1UR</v>
          </cell>
          <cell r="G56">
            <v>2500</v>
          </cell>
        </row>
        <row r="57">
          <cell r="F57" t="str">
            <v>M7</v>
          </cell>
          <cell r="G57">
            <v>1000</v>
          </cell>
        </row>
        <row r="58">
          <cell r="F58" t="str">
            <v>S10M</v>
          </cell>
          <cell r="G58">
            <v>500</v>
          </cell>
        </row>
        <row r="59">
          <cell r="F59" t="str">
            <v>SMF36A</v>
          </cell>
          <cell r="G59">
            <v>500</v>
          </cell>
        </row>
        <row r="60">
          <cell r="F60" t="str">
            <v>SS36F</v>
          </cell>
          <cell r="G60">
            <v>1000</v>
          </cell>
        </row>
        <row r="61">
          <cell r="F61" t="str">
            <v>YI160808U100-5R0T</v>
          </cell>
          <cell r="G61">
            <v>6000</v>
          </cell>
        </row>
        <row r="62">
          <cell r="F62" t="str">
            <v>UPZ2012E102-1R5TF</v>
          </cell>
          <cell r="G62">
            <v>3000</v>
          </cell>
        </row>
        <row r="63">
          <cell r="F63" t="str">
            <v>CBW100505U600T</v>
          </cell>
          <cell r="G63">
            <v>6500</v>
          </cell>
        </row>
        <row r="64">
          <cell r="F64" t="str">
            <v>CBG160808U100T</v>
          </cell>
          <cell r="G64">
            <v>1000</v>
          </cell>
        </row>
        <row r="65">
          <cell r="F65" t="str">
            <v>LMR14050SDDAR</v>
          </cell>
          <cell r="G65">
            <v>500</v>
          </cell>
        </row>
        <row r="66">
          <cell r="F66" t="str">
            <v>ETA3409S2F</v>
          </cell>
          <cell r="G66">
            <v>1500</v>
          </cell>
        </row>
        <row r="67">
          <cell r="F67" t="str">
            <v>LM3481MMX/NOPB</v>
          </cell>
          <cell r="G67">
            <v>500</v>
          </cell>
        </row>
        <row r="68">
          <cell r="F68" t="str">
            <v>A7677S</v>
          </cell>
          <cell r="G68">
            <v>500</v>
          </cell>
        </row>
        <row r="69">
          <cell r="F69" t="str">
            <v>TLV75801PDBVR</v>
          </cell>
          <cell r="G69">
            <v>2000</v>
          </cell>
        </row>
        <row r="70">
          <cell r="F70" t="str">
            <v>MAX3232CDR</v>
          </cell>
          <cell r="G70">
            <v>1500</v>
          </cell>
        </row>
        <row r="71">
          <cell r="F71" t="str">
            <v>NCA9555</v>
          </cell>
          <cell r="G71">
            <v>1000</v>
          </cell>
        </row>
        <row r="72">
          <cell r="F72" t="str">
            <v>LK8563T</v>
          </cell>
          <cell r="G72">
            <v>500</v>
          </cell>
        </row>
        <row r="73">
          <cell r="F73" t="str">
            <v>SMF05CT1G-P</v>
          </cell>
          <cell r="G73">
            <v>500</v>
          </cell>
        </row>
        <row r="74">
          <cell r="F74" t="str">
            <v>SR05-04A</v>
          </cell>
          <cell r="G74">
            <v>500</v>
          </cell>
        </row>
        <row r="75">
          <cell r="F75" t="str">
            <v>YT8512H</v>
          </cell>
          <cell r="G75">
            <v>500</v>
          </cell>
        </row>
        <row r="76">
          <cell r="F76" t="str">
            <v>LM393DR</v>
          </cell>
          <cell r="G76">
            <v>500</v>
          </cell>
        </row>
        <row r="77">
          <cell r="F77" t="str">
            <v>ZD0650-2R2M</v>
          </cell>
          <cell r="G77">
            <v>500</v>
          </cell>
        </row>
        <row r="78">
          <cell r="F78" t="str">
            <v>PSPMAA0605H-6R8M-ANP</v>
          </cell>
          <cell r="G78">
            <v>500</v>
          </cell>
        </row>
        <row r="79">
          <cell r="F79" t="str">
            <v>CDRCH12D78BNP-220MC</v>
          </cell>
          <cell r="G79">
            <v>500</v>
          </cell>
        </row>
        <row r="80">
          <cell r="F80" t="str">
            <v>ZNR3015ST2R2M</v>
          </cell>
          <cell r="G80">
            <v>1500</v>
          </cell>
        </row>
        <row r="81">
          <cell r="F81" t="str">
            <v>DLW21SN670SQ2L</v>
          </cell>
        </row>
        <row r="82">
          <cell r="F82" t="str">
            <v>DLM0NSN900HY2D</v>
          </cell>
          <cell r="G82">
            <v>500</v>
          </cell>
        </row>
        <row r="83">
          <cell r="F83" t="str">
            <v>VHF100505HQ47NJT</v>
          </cell>
          <cell r="G83">
            <v>500</v>
          </cell>
        </row>
        <row r="84">
          <cell r="F84" t="str">
            <v>VHF100505HQ68NJT</v>
          </cell>
          <cell r="G84">
            <v>500</v>
          </cell>
        </row>
        <row r="85">
          <cell r="F85" t="str">
            <v>XL-1608SYGC-04</v>
          </cell>
          <cell r="G85">
            <v>1500</v>
          </cell>
        </row>
        <row r="86">
          <cell r="F86" t="str">
            <v>XL-1608SURC-06</v>
          </cell>
          <cell r="G86">
            <v>1500</v>
          </cell>
        </row>
        <row r="87">
          <cell r="F87" t="str">
            <v>150060YS75000</v>
          </cell>
          <cell r="G87">
            <v>500</v>
          </cell>
        </row>
        <row r="88">
          <cell r="F88" t="str">
            <v>SIM65M-C</v>
          </cell>
          <cell r="G88">
            <v>500</v>
          </cell>
        </row>
        <row r="89">
          <cell r="F89" t="str">
            <v>2SK3018</v>
          </cell>
          <cell r="G89">
            <v>3500</v>
          </cell>
        </row>
        <row r="90">
          <cell r="F90" t="str">
            <v>CSD19538Q3A</v>
          </cell>
          <cell r="G90">
            <v>500</v>
          </cell>
        </row>
        <row r="91">
          <cell r="F91" t="str">
            <v>SI2333CDS</v>
          </cell>
          <cell r="G91">
            <v>4500</v>
          </cell>
        </row>
        <row r="92">
          <cell r="F92" t="str">
            <v>LBSS139LT1G</v>
          </cell>
          <cell r="G92">
            <v>500</v>
          </cell>
        </row>
        <row r="93">
          <cell r="F93" t="str">
            <v>RI0603L1R00FT</v>
          </cell>
          <cell r="G93">
            <v>500</v>
          </cell>
        </row>
        <row r="94">
          <cell r="F94" t="str">
            <v>RC0402FR-07100KL</v>
          </cell>
          <cell r="G94">
            <v>5000</v>
          </cell>
        </row>
        <row r="95">
          <cell r="F95" t="str">
            <v>RC0402FR-078K45L</v>
          </cell>
          <cell r="G95">
            <v>500</v>
          </cell>
        </row>
        <row r="96">
          <cell r="F96" t="str">
            <v>RC0402FR-0768KL</v>
          </cell>
          <cell r="G96">
            <v>500</v>
          </cell>
        </row>
        <row r="97">
          <cell r="F97" t="str">
            <v>RC0402FR-0710KL</v>
          </cell>
          <cell r="G97">
            <v>22000</v>
          </cell>
        </row>
        <row r="98">
          <cell r="F98" t="str">
            <v>RC0402FR-074K7L</v>
          </cell>
          <cell r="G98">
            <v>17000</v>
          </cell>
        </row>
        <row r="99">
          <cell r="F99" t="str">
            <v>RC0402FR-0751K1L</v>
          </cell>
          <cell r="G99">
            <v>500</v>
          </cell>
        </row>
        <row r="100">
          <cell r="F100" t="str">
            <v>RC0402FR-0712KL</v>
          </cell>
          <cell r="G100">
            <v>500</v>
          </cell>
        </row>
        <row r="101">
          <cell r="F101" t="str">
            <v>RI1206L000JT</v>
          </cell>
          <cell r="G101">
            <v>1000</v>
          </cell>
        </row>
        <row r="102">
          <cell r="F102" t="str">
            <v>RC0402FR-07105KL</v>
          </cell>
          <cell r="G102">
            <v>500</v>
          </cell>
        </row>
        <row r="103">
          <cell r="F103" t="str">
            <v>RC0402FR-0752K3L</v>
          </cell>
          <cell r="G103">
            <v>500</v>
          </cell>
        </row>
        <row r="104">
          <cell r="F104" t="str">
            <v>RC0402FR-0784K5L</v>
          </cell>
          <cell r="G104">
            <v>500</v>
          </cell>
        </row>
        <row r="105">
          <cell r="F105" t="str">
            <v>RC0402FR-07100RL</v>
          </cell>
          <cell r="G105">
            <v>2500</v>
          </cell>
        </row>
        <row r="106">
          <cell r="F106" t="str">
            <v>RC0402FR-070RL</v>
          </cell>
          <cell r="G106">
            <v>9500</v>
          </cell>
        </row>
        <row r="107">
          <cell r="F107" t="str">
            <v>AC0402FR-0725K5L</v>
          </cell>
          <cell r="G107">
            <v>500</v>
          </cell>
        </row>
        <row r="108">
          <cell r="F108" t="str">
            <v>RC0402FR-071K91L</v>
          </cell>
          <cell r="G108">
            <v>500</v>
          </cell>
        </row>
        <row r="109">
          <cell r="F109" t="str">
            <v>PE1206DRF7W0R015L</v>
          </cell>
          <cell r="G109">
            <v>500</v>
          </cell>
        </row>
        <row r="110">
          <cell r="F110" t="str">
            <v>RC0402FR-0734KL</v>
          </cell>
          <cell r="G110">
            <v>500</v>
          </cell>
        </row>
        <row r="111">
          <cell r="F111" t="str">
            <v>RC0402FR-072K2L</v>
          </cell>
          <cell r="G111">
            <v>7500</v>
          </cell>
        </row>
        <row r="112">
          <cell r="F112" t="str">
            <v>RC0402FR-07499KL</v>
          </cell>
          <cell r="G112">
            <v>1000</v>
          </cell>
        </row>
        <row r="113">
          <cell r="F113" t="str">
            <v>RC0402FR-0722RL</v>
          </cell>
          <cell r="G113">
            <v>5000</v>
          </cell>
        </row>
        <row r="114">
          <cell r="F114" t="str">
            <v>RC0402FR-071ML</v>
          </cell>
          <cell r="G114">
            <v>500</v>
          </cell>
        </row>
        <row r="115">
          <cell r="F115" t="str">
            <v>RC0402FR-0715KL</v>
          </cell>
          <cell r="G115">
            <v>1000</v>
          </cell>
        </row>
        <row r="116">
          <cell r="F116" t="str">
            <v>RC0402FR-071KL</v>
          </cell>
          <cell r="G116">
            <v>11500</v>
          </cell>
        </row>
        <row r="117">
          <cell r="F117" t="str">
            <v>RC0402FR-074R02L</v>
          </cell>
          <cell r="G117">
            <v>500</v>
          </cell>
        </row>
        <row r="118">
          <cell r="F118" t="str">
            <v>RC0402FR-071K2L</v>
          </cell>
          <cell r="G118">
            <v>500</v>
          </cell>
        </row>
        <row r="119">
          <cell r="F119" t="str">
            <v>RC0402FR-0710RL</v>
          </cell>
          <cell r="G119">
            <v>4500</v>
          </cell>
        </row>
        <row r="120">
          <cell r="F120" t="str">
            <v>RC0402FR-0775RL</v>
          </cell>
          <cell r="G120">
            <v>2000</v>
          </cell>
        </row>
        <row r="121">
          <cell r="F121" t="str">
            <v>RC0402FR-07220RL</v>
          </cell>
          <cell r="G121">
            <v>500</v>
          </cell>
        </row>
        <row r="122">
          <cell r="F122" t="str">
            <v>RC0402FR-0747KL</v>
          </cell>
          <cell r="G122">
            <v>9500</v>
          </cell>
        </row>
        <row r="123">
          <cell r="F123" t="str">
            <v>RC0402FR-071K5L</v>
          </cell>
          <cell r="G123">
            <v>500</v>
          </cell>
        </row>
        <row r="124">
          <cell r="F124" t="str">
            <v>RC0402FR-072K49L</v>
          </cell>
          <cell r="G124">
            <v>500</v>
          </cell>
        </row>
        <row r="125">
          <cell r="F125" t="str">
            <v>RC0402FR-075K6L</v>
          </cell>
          <cell r="G125">
            <v>500</v>
          </cell>
        </row>
        <row r="126">
          <cell r="F126" t="str">
            <v>AC0402FR-07590KL</v>
          </cell>
          <cell r="G126">
            <v>500</v>
          </cell>
        </row>
        <row r="127">
          <cell r="F127" t="str">
            <v>RC0402FR-073K3L</v>
          </cell>
          <cell r="G127">
            <v>500</v>
          </cell>
        </row>
        <row r="128">
          <cell r="F128" t="str">
            <v>RC0402FR-07470RL</v>
          </cell>
          <cell r="G128">
            <v>500</v>
          </cell>
        </row>
        <row r="129">
          <cell r="F129" t="str">
            <v>RI0603L1002FT</v>
          </cell>
          <cell r="G129">
            <v>500</v>
          </cell>
        </row>
        <row r="130">
          <cell r="F130" t="str">
            <v>AC0402FR-07226KL</v>
          </cell>
          <cell r="G130">
            <v>500</v>
          </cell>
        </row>
        <row r="131">
          <cell r="F131" t="str">
            <v>RC0402FR-07357KL</v>
          </cell>
          <cell r="G131">
            <v>500</v>
          </cell>
        </row>
        <row r="132">
          <cell r="F132" t="str">
            <v>RC0402DR-07118KL</v>
          </cell>
          <cell r="G132">
            <v>500</v>
          </cell>
        </row>
        <row r="133">
          <cell r="F133" t="str">
            <v>YAGEO RC0402FR-072R2L</v>
          </cell>
          <cell r="G133">
            <v>1000</v>
          </cell>
        </row>
        <row r="134">
          <cell r="F134" t="str">
            <v>TS-1090S-AR02026</v>
          </cell>
          <cell r="G134">
            <v>1340</v>
          </cell>
        </row>
        <row r="135">
          <cell r="F135" t="str">
            <v>TSB001A3518A</v>
          </cell>
          <cell r="G135">
            <v>500</v>
          </cell>
        </row>
        <row r="136">
          <cell r="F136" t="str">
            <v>CMFA 103F3435</v>
          </cell>
          <cell r="G136">
            <v>500</v>
          </cell>
        </row>
        <row r="137">
          <cell r="F137" t="str">
            <v>MMBT3904-TP</v>
          </cell>
          <cell r="G137">
            <v>11500</v>
          </cell>
        </row>
        <row r="138">
          <cell r="F138" t="str">
            <v>D-DMR009PM-D002</v>
          </cell>
          <cell r="G138">
            <v>500</v>
          </cell>
        </row>
        <row r="139">
          <cell r="F139" t="str">
            <v>HR911105A</v>
          </cell>
          <cell r="G139">
            <v>500</v>
          </cell>
        </row>
        <row r="140">
          <cell r="F140" t="str">
            <v>PM200V-12-12-H43</v>
          </cell>
          <cell r="G140">
            <v>1500</v>
          </cell>
        </row>
        <row r="141">
          <cell r="F141" t="str">
            <v>XH-2AW</v>
          </cell>
          <cell r="G141">
            <v>500</v>
          </cell>
        </row>
        <row r="142">
          <cell r="F142" t="str">
            <v>XH-2A</v>
          </cell>
          <cell r="G142">
            <v>500</v>
          </cell>
        </row>
        <row r="143">
          <cell r="F143" t="str">
            <v>JUMP-2.0-4PIN-FM-TH</v>
          </cell>
          <cell r="G143">
            <v>500</v>
          </cell>
        </row>
        <row r="144">
          <cell r="F144" t="str">
            <v>XL-DZ304SURD/3</v>
          </cell>
          <cell r="G144">
            <v>1000</v>
          </cell>
        </row>
        <row r="145">
          <cell r="F145" t="str">
            <v>HNB09A05</v>
          </cell>
          <cell r="G145">
            <v>500</v>
          </cell>
        </row>
        <row r="146">
          <cell r="F146" t="str">
            <v>3.0-2*2A</v>
          </cell>
          <cell r="G146">
            <v>3125</v>
          </cell>
        </row>
        <row r="147">
          <cell r="F147" t="str">
            <v>X4621WRS-2x06I-C40D64</v>
          </cell>
          <cell r="G147">
            <v>1500</v>
          </cell>
        </row>
        <row r="148">
          <cell r="F148" t="str">
            <v>MMBTA05LT1G</v>
          </cell>
          <cell r="G148">
            <v>2000</v>
          </cell>
        </row>
        <row r="149">
          <cell r="F149" t="str">
            <v>GX12-2P</v>
          </cell>
          <cell r="G149">
            <v>0</v>
          </cell>
        </row>
        <row r="150">
          <cell r="F150" t="str">
            <v>GX12-4P</v>
          </cell>
          <cell r="G150">
            <v>0</v>
          </cell>
        </row>
        <row r="151">
          <cell r="F151" t="str">
            <v>Y2413</v>
          </cell>
          <cell r="G151">
            <v>500</v>
          </cell>
        </row>
        <row r="152">
          <cell r="G152">
            <v>500</v>
          </cell>
        </row>
        <row r="153">
          <cell r="F153" t="str">
            <v>AHGG.101</v>
          </cell>
          <cell r="G153">
            <v>500</v>
          </cell>
        </row>
        <row r="154">
          <cell r="F154" t="str">
            <v>AH3G.403</v>
          </cell>
          <cell r="G154">
            <v>500</v>
          </cell>
        </row>
        <row r="155">
          <cell r="F155" t="str">
            <v>CR2016</v>
          </cell>
          <cell r="G155">
            <v>0</v>
          </cell>
        </row>
        <row r="156">
          <cell r="F156" t="str">
            <v>KDT-2526</v>
          </cell>
          <cell r="G156">
            <v>500</v>
          </cell>
        </row>
        <row r="157">
          <cell r="F157" t="str">
            <v>1.13Ipex</v>
          </cell>
          <cell r="G157">
            <v>0</v>
          </cell>
        </row>
        <row r="158">
          <cell r="F158" t="str">
            <v>TannhietSOM</v>
          </cell>
          <cell r="G158">
            <v>0</v>
          </cell>
        </row>
        <row r="159">
          <cell r="F159" t="str">
            <v>9x9x12mm</v>
          </cell>
          <cell r="G159">
            <v>0</v>
          </cell>
        </row>
        <row r="160">
          <cell r="F160" t="str">
            <v>100x100x2mm</v>
          </cell>
          <cell r="G160">
            <v>0</v>
          </cell>
        </row>
        <row r="161">
          <cell r="F161" t="str">
            <v>Mini Eibbkg 5V</v>
          </cell>
          <cell r="G161">
            <v>0</v>
          </cell>
        </row>
        <row r="162">
          <cell r="F162" t="str">
            <v>Lò Xo Kẹp 17.6mm</v>
          </cell>
          <cell r="G162">
            <v>0</v>
          </cell>
        </row>
        <row r="163">
          <cell r="F163" t="str">
            <v>M3x16mm</v>
          </cell>
          <cell r="G163">
            <v>0</v>
          </cell>
        </row>
        <row r="164">
          <cell r="F164" t="str">
            <v>M3 Inox304</v>
          </cell>
          <cell r="G164">
            <v>0</v>
          </cell>
        </row>
        <row r="165">
          <cell r="F165" t="str">
            <v>M2x4mm</v>
          </cell>
          <cell r="G165">
            <v>0</v>
          </cell>
        </row>
        <row r="166">
          <cell r="F166" t="str">
            <v>M3</v>
          </cell>
          <cell r="G166">
            <v>0</v>
          </cell>
        </row>
        <row r="167">
          <cell r="F167" t="str">
            <v>MAV-WH161</v>
          </cell>
          <cell r="G167">
            <v>0</v>
          </cell>
        </row>
        <row r="168">
          <cell r="F168" t="str">
            <v>L2464-24AWG-4C</v>
          </cell>
          <cell r="G168">
            <v>3050</v>
          </cell>
        </row>
        <row r="169">
          <cell r="F169" t="str">
            <v>GX12-2P (Cái)</v>
          </cell>
          <cell r="G169">
            <v>0</v>
          </cell>
        </row>
      </sheetData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vi.aliexpress.com/item/1005009637328405.html?spm=a2g0o.productlist.main.3.7f54jrtAjrtAMI&amp;algo_pvid=aba00f45-42fd-411a-859a-a2629879b8dc&amp;algo_exp_id=aba00f45-42fd-411a-859a-a2629879b8dc-2&amp;pdp_ext_f=%7B%22order%22%3A%22798%22%2C%22eval%22%3A%221%22%2C%22fromPage%22%3A%22search%22%7D&amp;pdp_npi=6%40dis%21VND%217689%216920%21%21%211.80%211.62%21%40212a6e2917797932848145306e4a2d%2112000049716671512%21sea%21VN%210%21ABX%211%210%21n_tag%3A-29910%3Bd%3A75e1665e%3Bm03_new_user%3A-29895&amp;curPageLogUid=2VbHp6BRmso9&amp;utparam-url=scene%3Asearch%7Cquery_from%3A%7Cx_object_id%3A1005009637328405%7C_p_origin_prod%3A" TargetMode="External"/><Relationship Id="rId3" Type="http://schemas.openxmlformats.org/officeDocument/2006/relationships/hyperlink" Target="https://vi.aliexpress.com/item/32820180055.html?spm=a2g0o.productlist.main.1.6616jdBUjdBUfk&amp;algo_pvid=83639dc3-e8d0-4502-9bfe-dcbb1d022d95&amp;algo_exp_id=83639dc3-e8d0-4502-9bfe-dcbb1d022d95-0&amp;pdp_ext_f=%7B%22order%22%3A%22286%22%2C%22eval%22%3A%221%22%2C%22fromPage%22%3A%22search%22%7D&amp;pdp_npi=6%40dis%21VND%2180223%2128672%21%21%212.77%210.99%21%40213ba8cc17780494588755116e06ea%2112000037101060020%21sea%21VN%217636371346%21ABX%211%210%21n_tag%3A-29910%3Bd%3A158b1058%3Bm03_new_user%3A-29895%3BpisId%3A5000000204863185&amp;curPageLogUid=gMOLuHyMXmOZ&amp;utparam-url=scene%3Asearch%7Cquery_from%3A%7Cx_object_id%3A32820180055%7C_p_origin_prod%3A" TargetMode="External"/><Relationship Id="rId7" Type="http://schemas.openxmlformats.org/officeDocument/2006/relationships/hyperlink" Target="http://vi.aliexpress.com/item/4000459518074.html?spm=a2g0o.productlist.main.1.58e2djcZdjcZfB&amp;algo_pvid=17c99370-60b4-46e4-8791-000578c552d5&amp;algo_exp_id=17c99370-60b4-46e4-8791-000578c552d5-0&amp;pdp_ext_f=%7B%22order%22%3A%221007%22%2C%22spu_best_type%22%3A%22price%22%2C%22eval%22%3A%221%22%2C%22fromPage%22%3A%22search%22%7D&amp;pdp_npi=6%40dis%21VND%2125776%2119984%21%21%210.89%210.69%21%402102f22c17780497099408868e5421%2110000001863938356%21sea%21VN%217636371346%21ABX%211%210%21n_tag%3A-29910%3Bd%3A158b1058%3Bm03_new_user%3A-29895&amp;curPageLogUid=6VxPQQbhKxhl&amp;utparam-url=scene%3Asearch%7Cquery_from%3A%7Cx_object_id%3A4000459518074%7C_p_origin_prod%3A" TargetMode="External"/><Relationship Id="rId2" Type="http://schemas.openxmlformats.org/officeDocument/2006/relationships/hyperlink" Target="https://vi.aliexpress.com/item/1005004853619675.html?spm=a2g0o.productlist.main.2.50261f7c2IQMjS&amp;algo_pvid=1b4f1bff-0b13-4ee5-8fc5-fff1109c4f0a&amp;algo_exp_id=1b4f1bff-0b13-4ee5-8fc5-fff1109c4f0a-1&amp;pdp_ext_f=%7B%22order%22%3A%221063%22%2C%22eval%22%3A%221%22%2C%22fromPage%22%3A%22search%22%7D&amp;pdp_npi=6%40dis%21VND%2172359%2128654%21%21%212.50%210.99%21%402101590d17781526169337977ea191%2112000030754170098%21sea%21VN%210%21ABX%211%210%21n_tag%3A-29910%3Bd%3A3d37b3df%3Bm03_new_user%3A-29895%3BpisId%3A5000000204863185&amp;curPageLogUid=9MOAd589Ik5c&amp;utparam-url=scene%3Asearch%7Cquery_from%3A%7Cx_object_id%3A1005004853619675%7C_p_origin_prod%3A" TargetMode="External"/><Relationship Id="rId1" Type="http://schemas.openxmlformats.org/officeDocument/2006/relationships/hyperlink" Target="https://vi.aliexpress.com/item/1005005073187553.html" TargetMode="External"/><Relationship Id="rId6" Type="http://schemas.openxmlformats.org/officeDocument/2006/relationships/hyperlink" Target="https://vi.aliexpress.com/item/4001248931159.html?spm=a2g0o.productlist.main.2.2e71b0iIb0iIKJ&amp;algo_pvid=4844d1a6-863e-413e-b0db-1f887c1a41c2&amp;algo_exp_id=4844d1a6-863e-413e-b0db-1f887c1a41c2-1&amp;pdp_ext_f=%7B%22order%22%3A%227639%22%2C%22spu_best_type%22%3A%22price%22%2C%22eval%22%3A%221%22%2C%22fromPage%22%3A%22search%22%7D&amp;pdp_npi=6%40dis%21VND%2140256%2128672%21%21%211.39%210.99%21%402102f22c17780496741277730e5421%2112000034160900239%21sea%21VN%217636371346%21ABX%211%210%21n_tag%3A-29910%3Bd%3A158b1058%3Bm03_new_user%3A-29895%3BpisId%3A5000000203797580&amp;curPageLogUid=0cu5XnK4vfQ4&amp;utparam-url=scene%3Asearch%7Cquery_from%3A%7Cx_object_id%3A4001248931159%7C_p_origin_prod%3A" TargetMode="External"/><Relationship Id="rId11" Type="http://schemas.openxmlformats.org/officeDocument/2006/relationships/hyperlink" Target="https://vi.aliexpress.com/item/1005007437651901.html?spm=a2g0o.productlist.main.1.c632qnzkqnzkLH&amp;algo_pvid=bfdef499-2f5b-49d2-a525-0f08ce928e38&amp;algo_exp_id=bfdef499-2f5b-49d2-a525-0f08ce928e38-0&amp;pdp_ext_f=%7B%22order%22%3A%22498%22%2C%22eval%22%3A%221%22%2C%22fromPage%22%3A%22search%22%7D&amp;pdp_npi=6%40dis%21VND%2146628%2128672%21%21%211.61%210.99%21%402101590d17780493377308915ed090%2112000040754390183%21sea%21VN%217636371346%21ABX%211%210%21n_tag%3A-29910%3Bd%3A158b1058%3Bm03_new_user%3A-29895%3BpisId%3A5000000204863185&amp;curPageLogUid=RghSCy5Aqxmb&amp;utparam-url=scene%3Asearch%7Cquery_from%3A%7Cx_object_id%3A1005007437651901%7C_p_origin_prod%3A" TargetMode="External"/><Relationship Id="rId5" Type="http://schemas.openxmlformats.org/officeDocument/2006/relationships/hyperlink" Target="https://vi.aliexpress.com/item/1005007593861199.html?spm=a2g0o.productlist.main.1.e6b8rQdKrQdKxT&amp;algo_pvid=b68b776f-fa15-474b-bac2-502e0f7fb339&amp;algo_exp_id=b68b776f-fa15-474b-bac2-502e0f7fb339-0&amp;pdp_ext_f=%7B%22order%22%3A%2241006%22%2C%22eval%22%3A%221%22%2C%22fromPage%22%3A%22search%22%7D&amp;pdp_npi=6%40dis%21VND%2168611%2128672%21%21%2116.16%216.75%21%402102f22c17780495728045035e5421%2112000041426239344%21sea%21VN%217636371346%21ABX%211%210%21n_tag%3A-29910%3Bd%3A158b1058%3Bm03_new_user%3A-29895%3BpisId%3A5000000204863185&amp;curPageLogUid=4m2aKAJ07KKN&amp;utparam-url=scene%3Asearch%7Cquery_from%3A%7Cx_object_id%3A1005007593861199%7C_p_origin_prod%3A" TargetMode="External"/><Relationship Id="rId10" Type="http://schemas.openxmlformats.org/officeDocument/2006/relationships/hyperlink" Target="https://vi.aliexpress.com/item/1005010528343928.html?spm=a2g0o.productlist.main.11.34a9qrNUqrNUOL&amp;algo_pvid=ab9edb2f-a2ef-4c53-8816-a7fb0e08f332&amp;algo_exp_id=ab9edb2f-a2ef-4c53-8816-a7fb0e08f332-10&amp;pdp_ext_f=%7B%22order%22%3A%22115%22%2C%22eval%22%3A%221%22%2C%22fromPage%22%3A%22search%22%7D&amp;pdp_npi=6%40dis%21VND%21852781%21424855%21%21%21200.46%2199.87%21%402101590d17781551007202859ea1c6%2112000052708007578%21sea%21VN%210%21ABX%211%210%21n_tag%3A-29910%3Bd%3A3d37b3df%3Bm03_new_user%3A-29895%3BpisId%3A5000000204863185&amp;curPageLogUid=C0rRQgcXh89M&amp;utparam-url=scene%3Asearch%7Cquery_from%3A%7Cx_object_id%3A1005010528343928%7C_p_origin_prod%3A" TargetMode="External"/><Relationship Id="rId4" Type="http://schemas.openxmlformats.org/officeDocument/2006/relationships/hyperlink" Target="https://vi.aliexpress.com/item/4001248931159.html?spm=a2g0o.productlist.main.2.405cYoTuYoTuWy&amp;algo_pvid=2f9de7a5-e66f-4f93-95ee-ad134ffeacbe&amp;algo_exp_id=2f9de7a5-e66f-4f93-95ee-ad134ffeacbe-1&amp;pdp_ext_f=%7B%22order%22%3A%227632%22%2C%22spu_best_type%22%3A%22price%22%2C%22eval%22%3A%221%22%2C%22fromPage%22%3A%22search%22%7D&amp;pdp_npi=6%40dis%21VND%2140232%2128654%21%21%211.39%210.99%21%40212e508f17781384345953489e28cd%2112000034160900239%21sea%21VN%217636371346%21ABX%211%210%21n_tag%3A-29910%3Bd%3A158b1058%3Bm03_new_user%3A-29895%3BpisId%3A5000000203797580&amp;curPageLogUid=fAytIqJCuaOS&amp;utparam-url=scene%3Asearch%7Cquery_from%3A%7Cx_object_id%3A4001248931159%7C_p_origin_prod%3A" TargetMode="External"/><Relationship Id="rId9" Type="http://schemas.openxmlformats.org/officeDocument/2006/relationships/hyperlink" Target="https://vi.aliexpress.com/item/4000532648266.html?spm=a2g0o.productlist.main.1.1a50BrHOBrHOOn&amp;algo_pvid=9a087a7c-5c9e-41c7-a25c-e85f570df3c0&amp;algo_exp_id=9a087a7c-5c9e-41c7-a25c-e85f570df3c0-0&amp;pdp_ext_f=%7B%22order%22%3A%22945%22%2C%22eval%22%3A%221%22%2C%22fromPage%22%3A%22search%22%7D&amp;pdp_npi=6%40dis%21VND%2169577%2128701%21%21%212.40%210.99%21%4021010c9a17797937691695255e8788%2110000002708536378%21sea%21VN%210%21ABX%211%210%21n_tag%3A-29910%3Bd%3A75e1665e%3Bm03_new_user%3A-29895%3BpisId%3A5000000204863185&amp;curPageLogUid=FH2cdkI17NyC&amp;utparam-url=scene%3Asearch%7Cquery_from%3A%7Cx_object_id%3A4000532648266%7C_p_origin_prod%3A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90F07-F12A-4D44-881E-154805A970A1}">
  <dimension ref="A1:AJ19"/>
  <sheetViews>
    <sheetView topLeftCell="K1" zoomScale="85" zoomScaleNormal="85" workbookViewId="0">
      <pane ySplit="6" topLeftCell="A13" activePane="bottomLeft" state="frozen"/>
      <selection pane="bottomLeft" activeCell="AA26" sqref="AA26"/>
    </sheetView>
  </sheetViews>
  <sheetFormatPr defaultColWidth="9.140625" defaultRowHeight="15" x14ac:dyDescent="0.25"/>
  <cols>
    <col min="1" max="1" width="9.140625" style="4"/>
    <col min="2" max="2" width="12.7109375" style="4" customWidth="1"/>
    <col min="3" max="3" width="10.5703125" style="4" customWidth="1"/>
    <col min="4" max="6" width="12.5703125" style="4" customWidth="1"/>
    <col min="7" max="7" width="15.5703125" style="6" customWidth="1"/>
    <col min="8" max="8" width="15.5703125" style="4" customWidth="1"/>
    <col min="9" max="9" width="30.5703125" style="6" customWidth="1"/>
    <col min="10" max="16" width="9.5703125" style="4" customWidth="1"/>
    <col min="17" max="20" width="14.5703125" style="4" customWidth="1"/>
    <col min="21" max="27" width="12.5703125" style="4" customWidth="1"/>
    <col min="28" max="29" width="18.5703125" style="3" customWidth="1"/>
    <col min="30" max="30" width="36.5703125" style="3" customWidth="1"/>
    <col min="31" max="16384" width="9.140625" style="3"/>
  </cols>
  <sheetData>
    <row r="1" spans="1:36" s="11" customFormat="1" ht="21" customHeight="1" x14ac:dyDescent="0.25">
      <c r="A1" s="83" t="s">
        <v>187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30"/>
      <c r="AF1" s="30"/>
      <c r="AG1" s="30"/>
      <c r="AH1" s="30"/>
      <c r="AI1" s="30"/>
      <c r="AJ1" s="30"/>
    </row>
    <row r="2" spans="1:36" s="15" customFormat="1" ht="21" customHeight="1" x14ac:dyDescent="0.25">
      <c r="A2" s="79" t="s">
        <v>188</v>
      </c>
      <c r="B2" s="79"/>
      <c r="C2" s="79"/>
      <c r="D2" s="73" t="s">
        <v>553</v>
      </c>
      <c r="E2" s="74"/>
      <c r="F2" s="74"/>
      <c r="G2" s="74"/>
      <c r="H2" s="75"/>
      <c r="I2" s="16" t="s">
        <v>22</v>
      </c>
      <c r="J2" s="73" t="s">
        <v>827</v>
      </c>
      <c r="K2" s="74"/>
      <c r="L2" s="74"/>
      <c r="M2" s="75"/>
      <c r="N2" s="79" t="s">
        <v>190</v>
      </c>
      <c r="O2" s="79"/>
      <c r="P2" s="79"/>
      <c r="Q2" s="73" t="s">
        <v>200</v>
      </c>
      <c r="R2" s="74"/>
      <c r="S2" s="74"/>
      <c r="T2" s="75"/>
      <c r="U2" s="76" t="s">
        <v>170</v>
      </c>
      <c r="V2" s="78"/>
      <c r="W2" s="73" t="s">
        <v>554</v>
      </c>
      <c r="X2" s="74"/>
      <c r="Y2" s="74"/>
      <c r="Z2" s="75"/>
      <c r="AA2" s="14"/>
      <c r="AB2" s="13"/>
      <c r="AC2" s="13"/>
      <c r="AD2" s="13"/>
      <c r="AE2" s="13"/>
      <c r="AF2" s="13"/>
      <c r="AG2" s="13"/>
      <c r="AH2" s="13"/>
      <c r="AI2" s="13"/>
      <c r="AJ2" s="13"/>
    </row>
    <row r="3" spans="1:36" s="15" customFormat="1" ht="21" customHeight="1" x14ac:dyDescent="0.25">
      <c r="A3" s="76" t="s">
        <v>189</v>
      </c>
      <c r="B3" s="77"/>
      <c r="C3" s="78"/>
      <c r="D3" s="73" t="s">
        <v>553</v>
      </c>
      <c r="E3" s="74"/>
      <c r="F3" s="74"/>
      <c r="G3" s="74"/>
      <c r="H3" s="75"/>
      <c r="I3" s="16" t="s">
        <v>23</v>
      </c>
      <c r="J3" s="73" t="s">
        <v>826</v>
      </c>
      <c r="K3" s="74"/>
      <c r="L3" s="74"/>
      <c r="M3" s="75"/>
      <c r="N3" s="79" t="s">
        <v>191</v>
      </c>
      <c r="O3" s="79"/>
      <c r="P3" s="79"/>
      <c r="Q3" s="73" t="s">
        <v>199</v>
      </c>
      <c r="R3" s="74"/>
      <c r="S3" s="74"/>
      <c r="T3" s="75"/>
      <c r="U3" s="76" t="s">
        <v>194</v>
      </c>
      <c r="V3" s="78"/>
      <c r="W3" s="73"/>
      <c r="X3" s="74"/>
      <c r="Y3" s="74"/>
      <c r="Z3" s="75"/>
      <c r="AA3" s="14"/>
      <c r="AB3" s="13"/>
      <c r="AC3" s="13"/>
      <c r="AD3" s="13"/>
      <c r="AE3" s="13"/>
      <c r="AF3" s="13"/>
      <c r="AG3" s="13"/>
      <c r="AH3" s="13"/>
      <c r="AI3" s="13"/>
      <c r="AJ3" s="13"/>
    </row>
    <row r="4" spans="1:36" s="15" customFormat="1" ht="21" customHeight="1" x14ac:dyDescent="0.25">
      <c r="A4" s="76" t="s">
        <v>4</v>
      </c>
      <c r="B4" s="77"/>
      <c r="C4" s="78"/>
      <c r="D4" s="73" t="s">
        <v>763</v>
      </c>
      <c r="E4" s="74"/>
      <c r="F4" s="74"/>
      <c r="G4" s="74"/>
      <c r="H4" s="75"/>
      <c r="I4" s="16" t="s">
        <v>192</v>
      </c>
      <c r="J4" s="84">
        <v>500</v>
      </c>
      <c r="K4" s="85"/>
      <c r="L4" s="85"/>
      <c r="M4" s="86"/>
      <c r="N4" s="79" t="s">
        <v>196</v>
      </c>
      <c r="O4" s="79"/>
      <c r="P4" s="79"/>
      <c r="Q4" s="87">
        <v>46168</v>
      </c>
      <c r="R4" s="88"/>
      <c r="S4" s="88"/>
      <c r="T4" s="89"/>
      <c r="U4" s="76" t="s">
        <v>193</v>
      </c>
      <c r="V4" s="78"/>
      <c r="W4" s="73" t="s">
        <v>727</v>
      </c>
      <c r="X4" s="74"/>
      <c r="Y4" s="74"/>
      <c r="Z4" s="75"/>
      <c r="AA4" s="14"/>
      <c r="AB4" s="13"/>
      <c r="AC4" s="13"/>
      <c r="AD4" s="13"/>
      <c r="AE4" s="13"/>
      <c r="AF4" s="13"/>
      <c r="AG4" s="13"/>
      <c r="AH4" s="13"/>
      <c r="AI4" s="13"/>
      <c r="AJ4" s="13"/>
    </row>
    <row r="5" spans="1:36" ht="21" customHeight="1" x14ac:dyDescent="0.25">
      <c r="A5" s="12"/>
      <c r="B5" s="12"/>
      <c r="C5" s="12" t="s">
        <v>198</v>
      </c>
      <c r="D5" s="12" t="s">
        <v>195</v>
      </c>
      <c r="E5" s="12" t="s">
        <v>195</v>
      </c>
      <c r="F5" s="12" t="s">
        <v>195</v>
      </c>
      <c r="G5" s="12" t="s">
        <v>197</v>
      </c>
      <c r="H5" s="12" t="s">
        <v>198</v>
      </c>
      <c r="I5" s="12" t="s">
        <v>197</v>
      </c>
      <c r="J5" s="12" t="s">
        <v>197</v>
      </c>
      <c r="K5" s="12" t="s">
        <v>198</v>
      </c>
      <c r="L5" s="12" t="s">
        <v>198</v>
      </c>
      <c r="M5" s="12"/>
      <c r="N5" s="12" t="s">
        <v>197</v>
      </c>
      <c r="O5" s="12" t="s">
        <v>195</v>
      </c>
      <c r="P5" s="12" t="s">
        <v>195</v>
      </c>
      <c r="Q5" s="12" t="s">
        <v>197</v>
      </c>
      <c r="R5" s="12" t="s">
        <v>197</v>
      </c>
      <c r="S5" s="12" t="s">
        <v>197</v>
      </c>
      <c r="T5" s="12" t="s">
        <v>197</v>
      </c>
      <c r="U5" s="12" t="s">
        <v>198</v>
      </c>
      <c r="V5" s="12" t="s">
        <v>198</v>
      </c>
      <c r="W5" s="12" t="s">
        <v>198</v>
      </c>
      <c r="X5" s="12" t="s">
        <v>198</v>
      </c>
      <c r="Y5" s="12" t="s">
        <v>198</v>
      </c>
      <c r="Z5" s="12"/>
      <c r="AA5" s="12" t="s">
        <v>197</v>
      </c>
      <c r="AB5" s="12"/>
      <c r="AC5" s="12"/>
      <c r="AD5" s="12"/>
      <c r="AE5" s="2"/>
      <c r="AF5" s="2"/>
      <c r="AG5" s="80" t="s">
        <v>839</v>
      </c>
      <c r="AH5" s="81"/>
      <c r="AI5" s="81"/>
      <c r="AJ5" s="82"/>
    </row>
    <row r="6" spans="1:36" s="10" customFormat="1" ht="51" x14ac:dyDescent="0.25">
      <c r="A6" s="5" t="s">
        <v>0</v>
      </c>
      <c r="B6" s="5" t="s">
        <v>825</v>
      </c>
      <c r="C6" s="5" t="s">
        <v>3</v>
      </c>
      <c r="D6" s="5" t="s">
        <v>4</v>
      </c>
      <c r="E6" s="5" t="s">
        <v>22</v>
      </c>
      <c r="F6" s="5" t="s">
        <v>23</v>
      </c>
      <c r="G6" s="5" t="s">
        <v>1</v>
      </c>
      <c r="H6" s="5" t="s">
        <v>2</v>
      </c>
      <c r="I6" s="5" t="s">
        <v>5</v>
      </c>
      <c r="J6" s="5" t="s">
        <v>6</v>
      </c>
      <c r="K6" s="5" t="s">
        <v>7</v>
      </c>
      <c r="L6" s="5" t="s">
        <v>27</v>
      </c>
      <c r="M6" s="5" t="s">
        <v>13</v>
      </c>
      <c r="N6" s="5" t="s">
        <v>12</v>
      </c>
      <c r="O6" s="5" t="s">
        <v>14</v>
      </c>
      <c r="P6" s="5" t="s">
        <v>17</v>
      </c>
      <c r="Q6" s="5" t="s">
        <v>25</v>
      </c>
      <c r="R6" s="5" t="s">
        <v>10</v>
      </c>
      <c r="S6" s="5" t="s">
        <v>26</v>
      </c>
      <c r="T6" s="5" t="s">
        <v>11</v>
      </c>
      <c r="U6" s="5" t="s">
        <v>29</v>
      </c>
      <c r="V6" s="5" t="s">
        <v>41</v>
      </c>
      <c r="W6" s="5" t="s">
        <v>43</v>
      </c>
      <c r="X6" s="5" t="s">
        <v>34</v>
      </c>
      <c r="Y6" s="5" t="s">
        <v>30</v>
      </c>
      <c r="Z6" s="5" t="s">
        <v>18</v>
      </c>
      <c r="AA6" s="5" t="s">
        <v>19</v>
      </c>
      <c r="AB6" s="5" t="s">
        <v>16</v>
      </c>
      <c r="AC6" s="5" t="s">
        <v>20</v>
      </c>
      <c r="AD6" s="5" t="s">
        <v>15</v>
      </c>
      <c r="AE6" s="5" t="s">
        <v>823</v>
      </c>
      <c r="AF6" s="5" t="s">
        <v>824</v>
      </c>
      <c r="AG6" s="38" t="s">
        <v>831</v>
      </c>
      <c r="AH6" s="38" t="s">
        <v>847</v>
      </c>
      <c r="AI6" s="38" t="s">
        <v>832</v>
      </c>
      <c r="AJ6" s="38" t="s">
        <v>833</v>
      </c>
    </row>
    <row r="7" spans="1:36" ht="45" x14ac:dyDescent="0.25">
      <c r="A7" s="1">
        <f>ROW()-6</f>
        <v>1</v>
      </c>
      <c r="B7" s="1" t="str">
        <f>R7</f>
        <v>C0603X5R105K500NT</v>
      </c>
      <c r="C7" s="1" t="s">
        <v>21</v>
      </c>
      <c r="D7" s="7" t="str">
        <f>$D$4</f>
        <v>Board GX</v>
      </c>
      <c r="E7" s="7" t="str">
        <f>$J$2</f>
        <v>Gerber_CAMBOX_GX_lot500_2505</v>
      </c>
      <c r="F7" s="7" t="str">
        <f>$J$3</f>
        <v>BOM_CameraBox_2026-04-14 2205</v>
      </c>
      <c r="G7" s="19" t="s">
        <v>753</v>
      </c>
      <c r="H7" s="19" t="s">
        <v>149</v>
      </c>
      <c r="I7" s="19" t="s">
        <v>305</v>
      </c>
      <c r="J7" s="22" t="s">
        <v>386</v>
      </c>
      <c r="K7" s="19" t="s">
        <v>8</v>
      </c>
      <c r="L7" s="20" t="s">
        <v>28</v>
      </c>
      <c r="M7" s="20" t="s">
        <v>44</v>
      </c>
      <c r="N7" s="19">
        <v>4</v>
      </c>
      <c r="O7" s="21">
        <f>$J$4</f>
        <v>500</v>
      </c>
      <c r="P7" s="21">
        <f>IF($N7="","",$N7*$O7)</f>
        <v>2000</v>
      </c>
      <c r="Q7" s="19" t="s">
        <v>401</v>
      </c>
      <c r="R7" s="19" t="s">
        <v>450</v>
      </c>
      <c r="S7" s="19" t="s">
        <v>506</v>
      </c>
      <c r="T7" s="19" t="s">
        <v>751</v>
      </c>
      <c r="U7" s="1" t="s">
        <v>38</v>
      </c>
      <c r="V7" s="1" t="s">
        <v>551</v>
      </c>
      <c r="W7" s="1" t="s">
        <v>550</v>
      </c>
      <c r="X7" s="1" t="s">
        <v>37</v>
      </c>
      <c r="Y7" s="1" t="s">
        <v>31</v>
      </c>
      <c r="Z7" s="1"/>
      <c r="AA7" s="1" t="s">
        <v>24</v>
      </c>
      <c r="AB7" s="2"/>
      <c r="AC7" s="18"/>
      <c r="AD7" s="2"/>
      <c r="AE7" s="2">
        <v>0</v>
      </c>
      <c r="AF7" s="2">
        <f>P7-AE7</f>
        <v>2000</v>
      </c>
      <c r="AG7" s="2"/>
      <c r="AH7" s="2">
        <f>VLOOKUP(B7,'VNET-XF_dự kiến lần 2'!$B$2:$D$42,3,0)-VLOOKUP(B7,'Board RK3562'!$B$7:$AH$149,33,0)</f>
        <v>0</v>
      </c>
      <c r="AI7" s="2">
        <v>0</v>
      </c>
      <c r="AJ7" s="2">
        <f>P7-SUM(AG7:AI7)</f>
        <v>2000</v>
      </c>
    </row>
    <row r="8" spans="1:36" ht="45" x14ac:dyDescent="0.25">
      <c r="A8" s="1">
        <f t="shared" ref="A8:A19" si="0">ROW()-6</f>
        <v>2</v>
      </c>
      <c r="B8" s="1" t="str">
        <f t="shared" ref="B8:B19" si="1">R8</f>
        <v>3.0-2*2A</v>
      </c>
      <c r="C8" s="1" t="s">
        <v>21</v>
      </c>
      <c r="D8" s="7" t="str">
        <f t="shared" ref="D8:D19" si="2">$D$4</f>
        <v>Board GX</v>
      </c>
      <c r="E8" s="7" t="str">
        <f t="shared" ref="E8:E19" si="3">$J$2</f>
        <v>Gerber_CAMBOX_GX_lot500_2505</v>
      </c>
      <c r="F8" s="7" t="str">
        <f t="shared" ref="F8:F19" si="4">$J$3</f>
        <v>BOM_CameraBox_2026-04-14 2205</v>
      </c>
      <c r="G8" s="19" t="s">
        <v>754</v>
      </c>
      <c r="H8" s="19" t="s">
        <v>175</v>
      </c>
      <c r="I8" s="19" t="s">
        <v>735</v>
      </c>
      <c r="J8" s="19"/>
      <c r="K8" s="19" t="s">
        <v>8</v>
      </c>
      <c r="L8" s="20" t="s">
        <v>28</v>
      </c>
      <c r="M8" s="20" t="s">
        <v>44</v>
      </c>
      <c r="N8" s="19">
        <v>6</v>
      </c>
      <c r="O8" s="21">
        <f t="shared" ref="O8:O19" si="5">$J$4</f>
        <v>500</v>
      </c>
      <c r="P8" s="21">
        <f t="shared" ref="P8:P19" si="6">IF($N8="","",$N8*$O8)</f>
        <v>3000</v>
      </c>
      <c r="Q8" s="19" t="s">
        <v>484</v>
      </c>
      <c r="R8" s="19" t="s">
        <v>743</v>
      </c>
      <c r="S8" s="19"/>
      <c r="T8" s="19"/>
      <c r="U8" s="1" t="s">
        <v>38</v>
      </c>
      <c r="V8" s="1" t="s">
        <v>551</v>
      </c>
      <c r="W8" s="1" t="s">
        <v>550</v>
      </c>
      <c r="X8" s="1" t="s">
        <v>37</v>
      </c>
      <c r="Y8" s="1" t="s">
        <v>31</v>
      </c>
      <c r="Z8" s="1"/>
      <c r="AA8" s="1" t="s">
        <v>24</v>
      </c>
      <c r="AB8" s="2"/>
      <c r="AC8" s="18"/>
      <c r="AD8" s="2"/>
      <c r="AE8" s="2">
        <v>3125</v>
      </c>
      <c r="AF8" s="2">
        <f>P8-AE8</f>
        <v>-125</v>
      </c>
      <c r="AG8" s="2"/>
      <c r="AH8" s="2"/>
      <c r="AI8" s="2">
        <v>0</v>
      </c>
      <c r="AJ8" s="2">
        <f t="shared" ref="AJ8:AJ19" si="7">P8-SUM(AG8:AI8)</f>
        <v>3000</v>
      </c>
    </row>
    <row r="9" spans="1:36" ht="51" x14ac:dyDescent="0.25">
      <c r="A9" s="1">
        <f t="shared" si="0"/>
        <v>3</v>
      </c>
      <c r="B9" s="1" t="str">
        <f t="shared" si="1"/>
        <v>X4621WRS-2x06I-C40D64</v>
      </c>
      <c r="C9" s="1" t="s">
        <v>21</v>
      </c>
      <c r="D9" s="7" t="str">
        <f t="shared" si="2"/>
        <v>Board GX</v>
      </c>
      <c r="E9" s="7" t="str">
        <f t="shared" si="3"/>
        <v>Gerber_CAMBOX_GX_lot500_2505</v>
      </c>
      <c r="F9" s="7" t="str">
        <f t="shared" si="4"/>
        <v>BOM_CameraBox_2026-04-14 2205</v>
      </c>
      <c r="G9" s="19" t="s">
        <v>755</v>
      </c>
      <c r="H9" s="19" t="s">
        <v>175</v>
      </c>
      <c r="I9" s="19" t="s">
        <v>736</v>
      </c>
      <c r="J9" s="19"/>
      <c r="K9" s="19" t="s">
        <v>8</v>
      </c>
      <c r="L9" s="20" t="s">
        <v>28</v>
      </c>
      <c r="M9" s="20" t="s">
        <v>44</v>
      </c>
      <c r="N9" s="19">
        <v>3</v>
      </c>
      <c r="O9" s="21">
        <f t="shared" si="5"/>
        <v>500</v>
      </c>
      <c r="P9" s="21">
        <f t="shared" si="6"/>
        <v>1500</v>
      </c>
      <c r="Q9" s="19" t="s">
        <v>744</v>
      </c>
      <c r="R9" s="19" t="s">
        <v>745</v>
      </c>
      <c r="S9" s="19" t="s">
        <v>744</v>
      </c>
      <c r="T9" s="19" t="s">
        <v>752</v>
      </c>
      <c r="U9" s="1" t="s">
        <v>38</v>
      </c>
      <c r="V9" s="1" t="s">
        <v>551</v>
      </c>
      <c r="W9" s="1" t="s">
        <v>550</v>
      </c>
      <c r="X9" s="1" t="s">
        <v>37</v>
      </c>
      <c r="Y9" s="1" t="s">
        <v>31</v>
      </c>
      <c r="Z9" s="1"/>
      <c r="AA9" s="1" t="s">
        <v>24</v>
      </c>
      <c r="AB9" s="2"/>
      <c r="AC9" s="18"/>
      <c r="AD9" s="2"/>
      <c r="AE9" s="2">
        <v>1500</v>
      </c>
      <c r="AF9" s="2">
        <f t="shared" ref="AF9:AF16" si="8">P9-AE9</f>
        <v>0</v>
      </c>
      <c r="AG9" s="2"/>
      <c r="AH9" s="2"/>
      <c r="AI9" s="2">
        <v>0</v>
      </c>
      <c r="AJ9" s="2">
        <f t="shared" si="7"/>
        <v>1500</v>
      </c>
    </row>
    <row r="10" spans="1:36" ht="75" x14ac:dyDescent="0.25">
      <c r="A10" s="1">
        <f t="shared" si="0"/>
        <v>4</v>
      </c>
      <c r="B10" s="1" t="str">
        <f t="shared" si="1"/>
        <v>SI2333CDS</v>
      </c>
      <c r="C10" s="1" t="s">
        <v>21</v>
      </c>
      <c r="D10" s="7" t="str">
        <f t="shared" si="2"/>
        <v>Board GX</v>
      </c>
      <c r="E10" s="7" t="str">
        <f t="shared" si="3"/>
        <v>Gerber_CAMBOX_GX_lot500_2505</v>
      </c>
      <c r="F10" s="7" t="str">
        <f t="shared" si="4"/>
        <v>BOM_CameraBox_2026-04-14 2205</v>
      </c>
      <c r="G10" s="19" t="s">
        <v>756</v>
      </c>
      <c r="H10" s="19" t="s">
        <v>285</v>
      </c>
      <c r="I10" s="19" t="s">
        <v>289</v>
      </c>
      <c r="J10" s="19"/>
      <c r="K10" s="19" t="s">
        <v>8</v>
      </c>
      <c r="L10" s="20" t="s">
        <v>28</v>
      </c>
      <c r="M10" s="20" t="s">
        <v>44</v>
      </c>
      <c r="N10" s="19">
        <v>4</v>
      </c>
      <c r="O10" s="21">
        <f t="shared" si="5"/>
        <v>500</v>
      </c>
      <c r="P10" s="21">
        <f t="shared" si="6"/>
        <v>2000</v>
      </c>
      <c r="Q10" s="19" t="s">
        <v>423</v>
      </c>
      <c r="R10" s="19" t="s">
        <v>424</v>
      </c>
      <c r="S10" s="19"/>
      <c r="T10" s="19"/>
      <c r="U10" s="1" t="s">
        <v>38</v>
      </c>
      <c r="V10" s="1" t="s">
        <v>551</v>
      </c>
      <c r="W10" s="1" t="s">
        <v>550</v>
      </c>
      <c r="X10" s="1" t="s">
        <v>37</v>
      </c>
      <c r="Y10" s="1" t="s">
        <v>31</v>
      </c>
      <c r="Z10" s="1"/>
      <c r="AA10" s="1" t="s">
        <v>24</v>
      </c>
      <c r="AB10" s="2" t="s">
        <v>848</v>
      </c>
      <c r="AC10" s="18"/>
      <c r="AD10" s="2"/>
      <c r="AE10" s="2">
        <v>1500</v>
      </c>
      <c r="AF10" s="2">
        <f t="shared" si="8"/>
        <v>500</v>
      </c>
      <c r="AG10" s="2">
        <f>VLOOKUP(B10,'VNET-XF-2105'!$B$12:$D$145,3,0)-VLOOKUP(B10,'Board RK3562'!$R$7:$AG$149,16,0)</f>
        <v>0</v>
      </c>
      <c r="AH10" s="2">
        <f>VLOOKUP(B10,'VNET-XF_dự kiến lần 2'!$B$2:$D$42,3,0)-VLOOKUP(B10,'Board RK3562'!$B$7:$AH$149,33,0)</f>
        <v>470</v>
      </c>
      <c r="AI10" s="2">
        <v>0</v>
      </c>
      <c r="AJ10" s="2">
        <f t="shared" si="7"/>
        <v>1530</v>
      </c>
    </row>
    <row r="11" spans="1:36" ht="45" x14ac:dyDescent="0.25">
      <c r="A11" s="1">
        <f t="shared" si="0"/>
        <v>5</v>
      </c>
      <c r="B11" s="1" t="str">
        <f t="shared" si="1"/>
        <v>RC0402FR-0710KL</v>
      </c>
      <c r="C11" s="1" t="s">
        <v>21</v>
      </c>
      <c r="D11" s="7" t="str">
        <f t="shared" si="2"/>
        <v>Board GX</v>
      </c>
      <c r="E11" s="7" t="str">
        <f t="shared" si="3"/>
        <v>Gerber_CAMBOX_GX_lot500_2505</v>
      </c>
      <c r="F11" s="7" t="str">
        <f t="shared" si="4"/>
        <v>BOM_CameraBox_2026-04-14 2205</v>
      </c>
      <c r="G11" s="19" t="s">
        <v>757</v>
      </c>
      <c r="H11" s="19" t="s">
        <v>147</v>
      </c>
      <c r="I11" s="19" t="s">
        <v>348</v>
      </c>
      <c r="J11" s="22" t="s">
        <v>387</v>
      </c>
      <c r="K11" s="19" t="s">
        <v>8</v>
      </c>
      <c r="L11" s="20" t="s">
        <v>28</v>
      </c>
      <c r="M11" s="20" t="s">
        <v>44</v>
      </c>
      <c r="N11" s="19">
        <v>4</v>
      </c>
      <c r="O11" s="21">
        <f t="shared" si="5"/>
        <v>500</v>
      </c>
      <c r="P11" s="21">
        <f t="shared" si="6"/>
        <v>2000</v>
      </c>
      <c r="Q11" s="19" t="s">
        <v>433</v>
      </c>
      <c r="R11" s="19" t="s">
        <v>509</v>
      </c>
      <c r="S11" s="19"/>
      <c r="T11" s="19"/>
      <c r="U11" s="1" t="s">
        <v>38</v>
      </c>
      <c r="V11" s="1" t="s">
        <v>551</v>
      </c>
      <c r="W11" s="1" t="s">
        <v>550</v>
      </c>
      <c r="X11" s="1" t="s">
        <v>37</v>
      </c>
      <c r="Y11" s="1" t="s">
        <v>31</v>
      </c>
      <c r="Z11" s="1"/>
      <c r="AA11" s="1" t="s">
        <v>24</v>
      </c>
      <c r="AB11" s="2"/>
      <c r="AC11" s="18"/>
      <c r="AD11" s="2"/>
      <c r="AE11" s="2">
        <v>2000</v>
      </c>
      <c r="AF11" s="2">
        <f t="shared" si="8"/>
        <v>0</v>
      </c>
      <c r="AG11" s="2">
        <f>VLOOKUP(B11,'VNET-XF-2105'!$B$12:$D$145,3,0)-VLOOKUP(B11,'Board RK3562'!$R$7:$AG$149,16,0)</f>
        <v>1090</v>
      </c>
      <c r="AH11" s="2"/>
      <c r="AI11" s="2">
        <v>0</v>
      </c>
      <c r="AJ11" s="2">
        <f t="shared" si="7"/>
        <v>910</v>
      </c>
    </row>
    <row r="12" spans="1:36" ht="45" x14ac:dyDescent="0.25">
      <c r="A12" s="1">
        <f t="shared" si="0"/>
        <v>6</v>
      </c>
      <c r="B12" s="1" t="str">
        <f t="shared" si="1"/>
        <v>RC0402FR-074K7L</v>
      </c>
      <c r="C12" s="1" t="s">
        <v>21</v>
      </c>
      <c r="D12" s="7" t="str">
        <f t="shared" si="2"/>
        <v>Board GX</v>
      </c>
      <c r="E12" s="7" t="str">
        <f t="shared" si="3"/>
        <v>Gerber_CAMBOX_GX_lot500_2505</v>
      </c>
      <c r="F12" s="7" t="str">
        <f t="shared" si="4"/>
        <v>BOM_CameraBox_2026-04-14 2205</v>
      </c>
      <c r="G12" s="19" t="s">
        <v>758</v>
      </c>
      <c r="H12" s="19" t="s">
        <v>147</v>
      </c>
      <c r="I12" s="19" t="s">
        <v>355</v>
      </c>
      <c r="J12" s="22" t="s">
        <v>387</v>
      </c>
      <c r="K12" s="19" t="s">
        <v>8</v>
      </c>
      <c r="L12" s="20" t="s">
        <v>28</v>
      </c>
      <c r="M12" s="20" t="s">
        <v>44</v>
      </c>
      <c r="N12" s="19">
        <v>4</v>
      </c>
      <c r="O12" s="21">
        <f t="shared" si="5"/>
        <v>500</v>
      </c>
      <c r="P12" s="21">
        <f t="shared" si="6"/>
        <v>2000</v>
      </c>
      <c r="Q12" s="19" t="s">
        <v>433</v>
      </c>
      <c r="R12" s="19" t="s">
        <v>516</v>
      </c>
      <c r="S12" s="19"/>
      <c r="T12" s="19"/>
      <c r="U12" s="1" t="s">
        <v>38</v>
      </c>
      <c r="V12" s="1" t="s">
        <v>551</v>
      </c>
      <c r="W12" s="1" t="s">
        <v>550</v>
      </c>
      <c r="X12" s="1" t="s">
        <v>37</v>
      </c>
      <c r="Y12" s="1" t="s">
        <v>31</v>
      </c>
      <c r="Z12" s="1"/>
      <c r="AA12" s="1" t="s">
        <v>24</v>
      </c>
      <c r="AB12" s="2"/>
      <c r="AC12" s="18"/>
      <c r="AD12" s="2"/>
      <c r="AE12" s="2">
        <v>0</v>
      </c>
      <c r="AF12" s="2">
        <f t="shared" si="8"/>
        <v>2000</v>
      </c>
      <c r="AG12" s="2">
        <f>VLOOKUP(B12,'VNET-XF-2105'!$B$12:$D$145,3,0)-VLOOKUP(B12,'Board RK3562'!$R$7:$AG$149,16,0)</f>
        <v>0</v>
      </c>
      <c r="AH12" s="2">
        <f>VLOOKUP(B12,'VNET-XF_dự kiến lần 2'!$B$2:$D$42,3,0)-VLOOKUP(B12,'Board RK3562'!$B$7:$AH$149,33,0)</f>
        <v>1805</v>
      </c>
      <c r="AI12" s="2">
        <v>0</v>
      </c>
      <c r="AJ12" s="2">
        <f t="shared" si="7"/>
        <v>195</v>
      </c>
    </row>
    <row r="13" spans="1:36" ht="45" x14ac:dyDescent="0.25">
      <c r="A13" s="1">
        <f t="shared" si="0"/>
        <v>7</v>
      </c>
      <c r="B13" s="1" t="str">
        <f t="shared" si="1"/>
        <v>RC0402FR-0747KL</v>
      </c>
      <c r="C13" s="1" t="s">
        <v>21</v>
      </c>
      <c r="D13" s="7" t="str">
        <f t="shared" si="2"/>
        <v>Board GX</v>
      </c>
      <c r="E13" s="7" t="str">
        <f t="shared" si="3"/>
        <v>Gerber_CAMBOX_GX_lot500_2505</v>
      </c>
      <c r="F13" s="7" t="str">
        <f t="shared" si="4"/>
        <v>BOM_CameraBox_2026-04-14 2205</v>
      </c>
      <c r="G13" s="19" t="s">
        <v>759</v>
      </c>
      <c r="H13" s="19" t="s">
        <v>147</v>
      </c>
      <c r="I13" s="19" t="s">
        <v>363</v>
      </c>
      <c r="J13" s="22" t="s">
        <v>387</v>
      </c>
      <c r="K13" s="19" t="s">
        <v>8</v>
      </c>
      <c r="L13" s="20" t="s">
        <v>28</v>
      </c>
      <c r="M13" s="20" t="s">
        <v>44</v>
      </c>
      <c r="N13" s="19">
        <v>4</v>
      </c>
      <c r="O13" s="21">
        <f t="shared" si="5"/>
        <v>500</v>
      </c>
      <c r="P13" s="21">
        <f t="shared" si="6"/>
        <v>2000</v>
      </c>
      <c r="Q13" s="19" t="s">
        <v>433</v>
      </c>
      <c r="R13" s="19" t="s">
        <v>523</v>
      </c>
      <c r="S13" s="19"/>
      <c r="T13" s="19"/>
      <c r="U13" s="1" t="s">
        <v>38</v>
      </c>
      <c r="V13" s="1" t="s">
        <v>551</v>
      </c>
      <c r="W13" s="1" t="s">
        <v>550</v>
      </c>
      <c r="X13" s="1" t="s">
        <v>37</v>
      </c>
      <c r="Y13" s="1" t="s">
        <v>31</v>
      </c>
      <c r="Z13" s="1"/>
      <c r="AA13" s="1" t="s">
        <v>24</v>
      </c>
      <c r="AB13" s="2"/>
      <c r="AC13" s="18"/>
      <c r="AD13" s="2"/>
      <c r="AE13" s="2">
        <v>1500</v>
      </c>
      <c r="AF13" s="2">
        <f t="shared" si="8"/>
        <v>500</v>
      </c>
      <c r="AG13" s="2">
        <f>VLOOKUP(B13,'VNET-XF-2105'!$B$12:$D$145,3,0)-VLOOKUP(B13,'Board RK3562'!$R$7:$AG$149,16,0)</f>
        <v>420</v>
      </c>
      <c r="AH13" s="2">
        <f>VLOOKUP(B13,'VNET-XF_dự kiến lần 2'!$B$2:$D$42,3,0)-VLOOKUP(B13,'Board RK3562'!$B$7:$AH$149,33,0)</f>
        <v>500</v>
      </c>
      <c r="AI13" s="2">
        <v>0</v>
      </c>
      <c r="AJ13" s="2">
        <f t="shared" si="7"/>
        <v>1080</v>
      </c>
    </row>
    <row r="14" spans="1:36" ht="45" x14ac:dyDescent="0.25">
      <c r="A14" s="1">
        <f t="shared" si="0"/>
        <v>8</v>
      </c>
      <c r="B14" s="1" t="str">
        <f t="shared" si="1"/>
        <v>MMBTA05LT1G</v>
      </c>
      <c r="C14" s="1" t="s">
        <v>21</v>
      </c>
      <c r="D14" s="7" t="str">
        <f t="shared" si="2"/>
        <v>Board GX</v>
      </c>
      <c r="E14" s="7" t="str">
        <f t="shared" si="3"/>
        <v>Gerber_CAMBOX_GX_lot500_2505</v>
      </c>
      <c r="F14" s="7" t="str">
        <f t="shared" si="4"/>
        <v>BOM_CameraBox_2026-04-14 2205</v>
      </c>
      <c r="G14" s="19" t="s">
        <v>760</v>
      </c>
      <c r="H14" s="19" t="s">
        <v>164</v>
      </c>
      <c r="I14" s="19" t="s">
        <v>737</v>
      </c>
      <c r="J14" s="22"/>
      <c r="K14" s="19" t="s">
        <v>8</v>
      </c>
      <c r="L14" s="20" t="s">
        <v>28</v>
      </c>
      <c r="M14" s="20" t="s">
        <v>44</v>
      </c>
      <c r="N14" s="19">
        <v>4</v>
      </c>
      <c r="O14" s="21">
        <f t="shared" si="5"/>
        <v>500</v>
      </c>
      <c r="P14" s="21">
        <f t="shared" si="6"/>
        <v>2000</v>
      </c>
      <c r="Q14" s="19" t="s">
        <v>746</v>
      </c>
      <c r="R14" s="19" t="s">
        <v>747</v>
      </c>
      <c r="S14" s="19"/>
      <c r="T14" s="19"/>
      <c r="U14" s="1" t="s">
        <v>38</v>
      </c>
      <c r="V14" s="1" t="s">
        <v>551</v>
      </c>
      <c r="W14" s="1" t="s">
        <v>550</v>
      </c>
      <c r="X14" s="1" t="s">
        <v>37</v>
      </c>
      <c r="Y14" s="1" t="s">
        <v>31</v>
      </c>
      <c r="Z14" s="1"/>
      <c r="AA14" s="1" t="s">
        <v>24</v>
      </c>
      <c r="AB14" s="2"/>
      <c r="AC14" s="18"/>
      <c r="AD14" s="2"/>
      <c r="AE14" s="2">
        <v>2000</v>
      </c>
      <c r="AF14" s="2">
        <f t="shared" si="8"/>
        <v>0</v>
      </c>
      <c r="AG14" s="2"/>
      <c r="AH14" s="2"/>
      <c r="AI14" s="2">
        <v>0</v>
      </c>
      <c r="AJ14" s="2">
        <f t="shared" si="7"/>
        <v>2000</v>
      </c>
    </row>
    <row r="15" spans="1:36" ht="45" x14ac:dyDescent="0.25">
      <c r="A15" s="1">
        <f t="shared" si="0"/>
        <v>9</v>
      </c>
      <c r="B15" s="1" t="str">
        <f t="shared" si="1"/>
        <v>GX12-2P</v>
      </c>
      <c r="C15" s="1" t="s">
        <v>21</v>
      </c>
      <c r="D15" s="7" t="str">
        <f t="shared" si="2"/>
        <v>Board GX</v>
      </c>
      <c r="E15" s="7" t="str">
        <f t="shared" si="3"/>
        <v>Gerber_CAMBOX_GX_lot500_2505</v>
      </c>
      <c r="F15" s="7" t="str">
        <f t="shared" si="4"/>
        <v>BOM_CameraBox_2026-04-14 2205</v>
      </c>
      <c r="G15" s="19" t="s">
        <v>761</v>
      </c>
      <c r="H15" s="19" t="s">
        <v>175</v>
      </c>
      <c r="I15" s="19" t="s">
        <v>738</v>
      </c>
      <c r="J15" s="22"/>
      <c r="K15" s="19" t="s">
        <v>656</v>
      </c>
      <c r="L15" s="20" t="s">
        <v>28</v>
      </c>
      <c r="M15" s="20" t="s">
        <v>44</v>
      </c>
      <c r="N15" s="19">
        <v>1</v>
      </c>
      <c r="O15" s="21">
        <f t="shared" si="5"/>
        <v>500</v>
      </c>
      <c r="P15" s="21">
        <f t="shared" si="6"/>
        <v>500</v>
      </c>
      <c r="Q15" s="19" t="s">
        <v>748</v>
      </c>
      <c r="R15" s="19" t="s">
        <v>749</v>
      </c>
      <c r="S15" s="19"/>
      <c r="T15" s="19"/>
      <c r="U15" s="1" t="s">
        <v>38</v>
      </c>
      <c r="V15" s="1" t="s">
        <v>42</v>
      </c>
      <c r="W15" s="1" t="s">
        <v>549</v>
      </c>
      <c r="X15" s="1" t="s">
        <v>37</v>
      </c>
      <c r="Y15" s="1" t="s">
        <v>31</v>
      </c>
      <c r="Z15" s="1"/>
      <c r="AA15" s="1" t="s">
        <v>789</v>
      </c>
      <c r="AB15" s="2"/>
      <c r="AC15" s="18"/>
      <c r="AD15" s="2"/>
      <c r="AE15" s="2">
        <v>0</v>
      </c>
      <c r="AF15" s="2">
        <f t="shared" si="8"/>
        <v>500</v>
      </c>
      <c r="AG15" s="2"/>
      <c r="AH15" s="2"/>
      <c r="AI15" s="2">
        <v>0</v>
      </c>
      <c r="AJ15" s="2">
        <f t="shared" si="7"/>
        <v>500</v>
      </c>
    </row>
    <row r="16" spans="1:36" ht="45" x14ac:dyDescent="0.25">
      <c r="A16" s="1">
        <f t="shared" si="0"/>
        <v>10</v>
      </c>
      <c r="B16" s="1" t="str">
        <f t="shared" si="1"/>
        <v>GX12-4P</v>
      </c>
      <c r="C16" s="1" t="s">
        <v>21</v>
      </c>
      <c r="D16" s="7" t="str">
        <f t="shared" si="2"/>
        <v>Board GX</v>
      </c>
      <c r="E16" s="7" t="str">
        <f t="shared" si="3"/>
        <v>Gerber_CAMBOX_GX_lot500_2505</v>
      </c>
      <c r="F16" s="7" t="str">
        <f t="shared" si="4"/>
        <v>BOM_CameraBox_2026-04-14 2205</v>
      </c>
      <c r="G16" s="19" t="s">
        <v>762</v>
      </c>
      <c r="H16" s="19" t="s">
        <v>175</v>
      </c>
      <c r="I16" s="19" t="s">
        <v>739</v>
      </c>
      <c r="J16" s="22"/>
      <c r="K16" s="19" t="s">
        <v>656</v>
      </c>
      <c r="L16" s="20" t="s">
        <v>28</v>
      </c>
      <c r="M16" s="20" t="s">
        <v>44</v>
      </c>
      <c r="N16" s="19">
        <v>4</v>
      </c>
      <c r="O16" s="21">
        <f t="shared" si="5"/>
        <v>500</v>
      </c>
      <c r="P16" s="21">
        <f t="shared" si="6"/>
        <v>2000</v>
      </c>
      <c r="Q16" s="19" t="s">
        <v>748</v>
      </c>
      <c r="R16" s="19" t="s">
        <v>750</v>
      </c>
      <c r="S16" s="19"/>
      <c r="T16" s="19"/>
      <c r="U16" s="1" t="s">
        <v>38</v>
      </c>
      <c r="V16" s="1" t="s">
        <v>42</v>
      </c>
      <c r="W16" s="1" t="s">
        <v>549</v>
      </c>
      <c r="X16" s="1" t="s">
        <v>37</v>
      </c>
      <c r="Y16" s="1" t="s">
        <v>31</v>
      </c>
      <c r="Z16" s="1"/>
      <c r="AA16" s="1" t="s">
        <v>789</v>
      </c>
      <c r="AB16" s="2"/>
      <c r="AC16" s="18"/>
      <c r="AD16" s="2"/>
      <c r="AE16" s="2">
        <v>0</v>
      </c>
      <c r="AF16" s="2">
        <f t="shared" si="8"/>
        <v>2000</v>
      </c>
      <c r="AG16" s="2"/>
      <c r="AH16" s="2"/>
      <c r="AI16" s="2">
        <v>0</v>
      </c>
      <c r="AJ16" s="2">
        <f t="shared" si="7"/>
        <v>2000</v>
      </c>
    </row>
    <row r="17" spans="1:36" ht="60" x14ac:dyDescent="0.25">
      <c r="A17" s="31">
        <f t="shared" si="0"/>
        <v>11</v>
      </c>
      <c r="B17" s="31" t="str">
        <f t="shared" si="1"/>
        <v>JLCPCB</v>
      </c>
      <c r="C17" s="31" t="s">
        <v>21</v>
      </c>
      <c r="D17" s="32" t="str">
        <f t="shared" si="2"/>
        <v>Board GX</v>
      </c>
      <c r="E17" s="32" t="str">
        <f t="shared" si="3"/>
        <v>Gerber_CAMBOX_GX_lot500_2505</v>
      </c>
      <c r="F17" s="32" t="str">
        <f t="shared" si="4"/>
        <v>BOM_CameraBox_2026-04-14 2205</v>
      </c>
      <c r="G17" s="33"/>
      <c r="H17" s="31" t="s">
        <v>182</v>
      </c>
      <c r="I17" s="33" t="s">
        <v>740</v>
      </c>
      <c r="J17" s="34"/>
      <c r="K17" s="35"/>
      <c r="L17" s="31" t="s">
        <v>28</v>
      </c>
      <c r="M17" s="31" t="s">
        <v>44</v>
      </c>
      <c r="N17" s="31">
        <v>1</v>
      </c>
      <c r="O17" s="32">
        <f t="shared" si="5"/>
        <v>500</v>
      </c>
      <c r="P17" s="32">
        <f t="shared" si="6"/>
        <v>500</v>
      </c>
      <c r="Q17" s="31" t="s">
        <v>548</v>
      </c>
      <c r="R17" s="31" t="s">
        <v>548</v>
      </c>
      <c r="S17" s="31"/>
      <c r="T17" s="31"/>
      <c r="U17" s="31" t="s">
        <v>38</v>
      </c>
      <c r="V17" s="31" t="s">
        <v>42</v>
      </c>
      <c r="W17" s="31" t="s">
        <v>549</v>
      </c>
      <c r="X17" s="31" t="s">
        <v>37</v>
      </c>
      <c r="Y17" s="31" t="s">
        <v>32</v>
      </c>
      <c r="Z17" s="31"/>
      <c r="AA17" s="31" t="s">
        <v>548</v>
      </c>
      <c r="AB17" s="33" t="s">
        <v>834</v>
      </c>
      <c r="AC17" s="35"/>
      <c r="AD17" s="33"/>
      <c r="AE17" s="33">
        <v>0</v>
      </c>
      <c r="AF17" s="33">
        <f>P17</f>
        <v>500</v>
      </c>
      <c r="AG17" s="2"/>
      <c r="AH17" s="2"/>
      <c r="AI17" s="2">
        <v>500</v>
      </c>
      <c r="AJ17" s="2">
        <f t="shared" si="7"/>
        <v>0</v>
      </c>
    </row>
    <row r="18" spans="1:36" ht="45" x14ac:dyDescent="0.25">
      <c r="A18" s="31">
        <f t="shared" si="0"/>
        <v>12</v>
      </c>
      <c r="B18" s="31">
        <f t="shared" si="1"/>
        <v>0</v>
      </c>
      <c r="C18" s="31" t="s">
        <v>21</v>
      </c>
      <c r="D18" s="32" t="str">
        <f t="shared" si="2"/>
        <v>Board GX</v>
      </c>
      <c r="E18" s="32" t="str">
        <f t="shared" si="3"/>
        <v>Gerber_CAMBOX_GX_lot500_2505</v>
      </c>
      <c r="F18" s="32" t="str">
        <f t="shared" si="4"/>
        <v>BOM_CameraBox_2026-04-14 2205</v>
      </c>
      <c r="G18" s="33"/>
      <c r="H18" s="31" t="s">
        <v>184</v>
      </c>
      <c r="I18" s="33" t="s">
        <v>741</v>
      </c>
      <c r="J18" s="34"/>
      <c r="K18" s="35"/>
      <c r="L18" s="31" t="s">
        <v>28</v>
      </c>
      <c r="M18" s="31" t="s">
        <v>44</v>
      </c>
      <c r="N18" s="31">
        <v>1</v>
      </c>
      <c r="O18" s="32">
        <f t="shared" si="5"/>
        <v>500</v>
      </c>
      <c r="P18" s="32">
        <f t="shared" si="6"/>
        <v>500</v>
      </c>
      <c r="Q18" s="31"/>
      <c r="R18" s="31"/>
      <c r="S18" s="31"/>
      <c r="T18" s="31"/>
      <c r="U18" s="31" t="s">
        <v>40</v>
      </c>
      <c r="V18" s="31" t="s">
        <v>42</v>
      </c>
      <c r="W18" s="31" t="s">
        <v>549</v>
      </c>
      <c r="X18" s="31" t="s">
        <v>37</v>
      </c>
      <c r="Y18" s="31" t="s">
        <v>32</v>
      </c>
      <c r="Z18" s="31"/>
      <c r="AA18" s="31"/>
      <c r="AB18" s="33" t="s">
        <v>828</v>
      </c>
      <c r="AC18" s="35" t="s">
        <v>813</v>
      </c>
      <c r="AD18" s="33"/>
      <c r="AE18" s="33">
        <v>0</v>
      </c>
      <c r="AF18" s="33">
        <v>1</v>
      </c>
      <c r="AG18" s="2"/>
      <c r="AH18" s="2"/>
      <c r="AI18" s="2">
        <v>0</v>
      </c>
      <c r="AJ18" s="2">
        <f t="shared" si="7"/>
        <v>500</v>
      </c>
    </row>
    <row r="19" spans="1:36" ht="45" x14ac:dyDescent="0.25">
      <c r="A19" s="31">
        <f t="shared" si="0"/>
        <v>13</v>
      </c>
      <c r="B19" s="31" t="str">
        <f t="shared" si="1"/>
        <v>MKP</v>
      </c>
      <c r="C19" s="31" t="s">
        <v>21</v>
      </c>
      <c r="D19" s="32" t="str">
        <f t="shared" si="2"/>
        <v>Board GX</v>
      </c>
      <c r="E19" s="32" t="str">
        <f t="shared" si="3"/>
        <v>Gerber_CAMBOX_GX_lot500_2505</v>
      </c>
      <c r="F19" s="32" t="str">
        <f t="shared" si="4"/>
        <v>BOM_CameraBox_2026-04-14 2205</v>
      </c>
      <c r="G19" s="33"/>
      <c r="H19" s="31" t="s">
        <v>624</v>
      </c>
      <c r="I19" s="33" t="s">
        <v>742</v>
      </c>
      <c r="J19" s="34"/>
      <c r="K19" s="35"/>
      <c r="L19" s="31" t="s">
        <v>28</v>
      </c>
      <c r="M19" s="31" t="s">
        <v>44</v>
      </c>
      <c r="N19" s="31">
        <v>1</v>
      </c>
      <c r="O19" s="32">
        <f t="shared" si="5"/>
        <v>500</v>
      </c>
      <c r="P19" s="32">
        <f t="shared" si="6"/>
        <v>500</v>
      </c>
      <c r="Q19" s="31" t="s">
        <v>704</v>
      </c>
      <c r="R19" s="31" t="s">
        <v>704</v>
      </c>
      <c r="S19" s="31"/>
      <c r="T19" s="31"/>
      <c r="U19" s="31" t="s">
        <v>40</v>
      </c>
      <c r="V19" s="31" t="s">
        <v>42</v>
      </c>
      <c r="W19" s="31" t="s">
        <v>549</v>
      </c>
      <c r="X19" s="31" t="s">
        <v>37</v>
      </c>
      <c r="Y19" s="31" t="s">
        <v>32</v>
      </c>
      <c r="Z19" s="31"/>
      <c r="AA19" s="31" t="s">
        <v>704</v>
      </c>
      <c r="AB19" s="33" t="s">
        <v>829</v>
      </c>
      <c r="AC19" s="35" t="s">
        <v>821</v>
      </c>
      <c r="AD19" s="33"/>
      <c r="AE19" s="33">
        <v>0</v>
      </c>
      <c r="AF19" s="33">
        <f>P19</f>
        <v>500</v>
      </c>
      <c r="AG19" s="2"/>
      <c r="AH19" s="2"/>
      <c r="AI19" s="2">
        <v>0</v>
      </c>
      <c r="AJ19" s="2">
        <f t="shared" si="7"/>
        <v>500</v>
      </c>
    </row>
  </sheetData>
  <autoFilter ref="A6:AJ19" xr:uid="{D0290F07-F12A-4D44-881E-154805A970A1}"/>
  <mergeCells count="23">
    <mergeCell ref="AG5:AJ5"/>
    <mergeCell ref="A1:AD1"/>
    <mergeCell ref="A2:C2"/>
    <mergeCell ref="D2:H2"/>
    <mergeCell ref="J2:M2"/>
    <mergeCell ref="N2:P2"/>
    <mergeCell ref="Q2:T2"/>
    <mergeCell ref="U2:V2"/>
    <mergeCell ref="W2:Z2"/>
    <mergeCell ref="W3:Z3"/>
    <mergeCell ref="A4:C4"/>
    <mergeCell ref="D4:H4"/>
    <mergeCell ref="J4:M4"/>
    <mergeCell ref="N4:P4"/>
    <mergeCell ref="Q4:T4"/>
    <mergeCell ref="U4:V4"/>
    <mergeCell ref="W4:Z4"/>
    <mergeCell ref="A3:C3"/>
    <mergeCell ref="D3:H3"/>
    <mergeCell ref="J3:M3"/>
    <mergeCell ref="N3:P3"/>
    <mergeCell ref="Q3:T3"/>
    <mergeCell ref="U3:V3"/>
  </mergeCells>
  <conditionalFormatting sqref="I7:I8 I17:I19">
    <cfRule type="duplicateValues" dxfId="28" priority="7"/>
    <cfRule type="duplicateValues" dxfId="27" priority="8"/>
  </conditionalFormatting>
  <conditionalFormatting sqref="I9:I10">
    <cfRule type="duplicateValues" dxfId="26" priority="5"/>
    <cfRule type="duplicateValues" dxfId="25" priority="6"/>
  </conditionalFormatting>
  <conditionalFormatting sqref="I11:I12">
    <cfRule type="duplicateValues" dxfId="24" priority="3"/>
    <cfRule type="duplicateValues" dxfId="23" priority="4"/>
  </conditionalFormatting>
  <conditionalFormatting sqref="I13:I14">
    <cfRule type="duplicateValues" dxfId="22" priority="1"/>
    <cfRule type="duplicateValues" dxfId="21" priority="2"/>
  </conditionalFormatting>
  <conditionalFormatting sqref="I15:I16">
    <cfRule type="duplicateValues" dxfId="20" priority="9"/>
    <cfRule type="duplicateValues" dxfId="19" priority="10"/>
  </conditionalFormatting>
  <conditionalFormatting sqref="R20:R1048576 R6">
    <cfRule type="duplicateValues" dxfId="18" priority="14"/>
  </conditionalFormatting>
  <conditionalFormatting sqref="T6 T20:T1048576">
    <cfRule type="duplicateValues" dxfId="17" priority="13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8548DC47-2C07-4C13-A44A-3BCCE3CA7A3D}">
          <x14:formula1>
            <xm:f>OFFSET(REF!$S$3,0,0,COUNTA(REF!$S:$S)-1)</xm:f>
          </x14:formula1>
          <xm:sqref>Y7:Y19</xm:sqref>
        </x14:dataValidation>
        <x14:dataValidation type="list" allowBlank="1" showInputMessage="1" showErrorMessage="1" xr:uid="{92BCBD3F-27B8-459D-B2D6-AA143A063527}">
          <x14:formula1>
            <xm:f>OFFSET(REF!$R$3,0,0,COUNTA(REF!$R:$R)-1)</xm:f>
          </x14:formula1>
          <xm:sqref>X7:X19</xm:sqref>
        </x14:dataValidation>
        <x14:dataValidation type="list" allowBlank="1" showInputMessage="1" showErrorMessage="1" xr:uid="{2CF78E9C-FDFB-4801-9342-65E03EF16E96}">
          <x14:formula1>
            <xm:f>OFFSET(REF!$Q$3,0,0,COUNTA(REF!$Q:$Q)-1)</xm:f>
          </x14:formula1>
          <xm:sqref>W7:W19</xm:sqref>
        </x14:dataValidation>
        <x14:dataValidation type="list" allowBlank="1" showInputMessage="1" showErrorMessage="1" xr:uid="{82D0ACD7-D704-45E9-95E8-32F0349BD0AE}">
          <x14:formula1>
            <xm:f>OFFSET(REF!$P$3,0,0,COUNTA(REF!$P:$P)-1)</xm:f>
          </x14:formula1>
          <xm:sqref>V7:V19</xm:sqref>
        </x14:dataValidation>
        <x14:dataValidation type="list" allowBlank="1" showInputMessage="1" showErrorMessage="1" xr:uid="{3D0EE359-4F26-4BD2-A6C2-0BB76507A815}">
          <x14:formula1>
            <xm:f>OFFSET(REF!$O$3,0,0,COUNTA(REF!$O:$O)-1)</xm:f>
          </x14:formula1>
          <xm:sqref>U7:U19</xm:sqref>
        </x14:dataValidation>
        <x14:dataValidation type="list" allowBlank="1" showInputMessage="1" showErrorMessage="1" xr:uid="{E8A84607-0DD1-4C60-8171-D14C344DFEE3}">
          <x14:formula1>
            <xm:f>OFFSET(REF!$M$3,0,0,COUNTA(REF!$M:$M)-1)</xm:f>
          </x14:formula1>
          <xm:sqref>L7:L19</xm:sqref>
        </x14:dataValidation>
        <x14:dataValidation type="list" allowBlank="1" showInputMessage="1" showErrorMessage="1" xr:uid="{61E6BA82-5B04-4470-92DF-47AED64E9644}">
          <x14:formula1>
            <xm:f>OFFSET(REF!$K$3,0,0,COUNTA(REF!$K:$K)-1)</xm:f>
          </x14:formula1>
          <xm:sqref>H7:H19</xm:sqref>
        </x14:dataValidation>
        <x14:dataValidation type="list" allowBlank="1" showInputMessage="1" showErrorMessage="1" xr:uid="{A6427A86-BC10-4E46-A07A-A9CDCC7690EC}">
          <x14:formula1>
            <xm:f>OFFSET(REF!$J$3,0,0,COUNTA(REF!$J:$J)-1)</xm:f>
          </x14:formula1>
          <xm:sqref>C7:C19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D31AD-8055-43D7-8363-0A1CCA2276FB}">
  <dimension ref="A1:AJ27"/>
  <sheetViews>
    <sheetView topLeftCell="I1" zoomScale="70" zoomScaleNormal="70" workbookViewId="0">
      <pane ySplit="6" topLeftCell="A16" activePane="bottomLeft" state="frozen"/>
      <selection pane="bottomLeft" activeCell="AH26" sqref="AH26"/>
    </sheetView>
  </sheetViews>
  <sheetFormatPr defaultColWidth="9.140625" defaultRowHeight="15" x14ac:dyDescent="0.25"/>
  <cols>
    <col min="1" max="1" width="9.140625" style="4"/>
    <col min="2" max="2" width="12.7109375" style="4" customWidth="1"/>
    <col min="3" max="3" width="10.5703125" style="4" customWidth="1"/>
    <col min="4" max="6" width="12.5703125" style="4" customWidth="1"/>
    <col min="7" max="7" width="15.5703125" style="6" customWidth="1"/>
    <col min="8" max="8" width="15.5703125" style="4" customWidth="1"/>
    <col min="9" max="9" width="30.5703125" style="6" customWidth="1"/>
    <col min="10" max="16" width="9.5703125" style="4" customWidth="1"/>
    <col min="17" max="20" width="14.5703125" style="4" customWidth="1"/>
    <col min="21" max="27" width="12.5703125" style="4" customWidth="1"/>
    <col min="28" max="29" width="18.5703125" style="3" customWidth="1"/>
    <col min="30" max="30" width="36.5703125" style="3" customWidth="1"/>
    <col min="31" max="16384" width="9.140625" style="3"/>
  </cols>
  <sheetData>
    <row r="1" spans="1:36" s="11" customFormat="1" ht="21" customHeight="1" x14ac:dyDescent="0.25">
      <c r="A1" s="83" t="s">
        <v>187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30"/>
      <c r="AF1" s="30"/>
      <c r="AG1" s="30"/>
      <c r="AH1" s="30"/>
      <c r="AI1" s="30"/>
      <c r="AJ1" s="30"/>
    </row>
    <row r="2" spans="1:36" s="15" customFormat="1" ht="21" customHeight="1" x14ac:dyDescent="0.25">
      <c r="A2" s="79" t="s">
        <v>188</v>
      </c>
      <c r="B2" s="79"/>
      <c r="C2" s="79"/>
      <c r="D2" s="73" t="s">
        <v>553</v>
      </c>
      <c r="E2" s="74"/>
      <c r="F2" s="74"/>
      <c r="G2" s="74"/>
      <c r="H2" s="75"/>
      <c r="I2" s="16" t="s">
        <v>22</v>
      </c>
      <c r="J2" s="73"/>
      <c r="K2" s="74"/>
      <c r="L2" s="74"/>
      <c r="M2" s="75"/>
      <c r="N2" s="79" t="s">
        <v>190</v>
      </c>
      <c r="O2" s="79"/>
      <c r="P2" s="79"/>
      <c r="Q2" s="73" t="s">
        <v>200</v>
      </c>
      <c r="R2" s="74"/>
      <c r="S2" s="74"/>
      <c r="T2" s="75"/>
      <c r="U2" s="76" t="s">
        <v>170</v>
      </c>
      <c r="V2" s="78"/>
      <c r="W2" s="73" t="s">
        <v>554</v>
      </c>
      <c r="X2" s="74"/>
      <c r="Y2" s="74"/>
      <c r="Z2" s="75"/>
      <c r="AA2" s="14"/>
      <c r="AB2" s="13"/>
      <c r="AC2" s="13"/>
      <c r="AD2" s="13"/>
      <c r="AE2" s="13"/>
      <c r="AF2" s="13"/>
      <c r="AG2" s="13"/>
      <c r="AH2" s="13"/>
      <c r="AI2" s="13"/>
      <c r="AJ2" s="13"/>
    </row>
    <row r="3" spans="1:36" s="15" customFormat="1" ht="21" customHeight="1" x14ac:dyDescent="0.25">
      <c r="A3" s="76" t="s">
        <v>189</v>
      </c>
      <c r="B3" s="77"/>
      <c r="C3" s="78"/>
      <c r="D3" s="73" t="s">
        <v>553</v>
      </c>
      <c r="E3" s="74"/>
      <c r="F3" s="74"/>
      <c r="G3" s="74"/>
      <c r="H3" s="75"/>
      <c r="I3" s="16" t="s">
        <v>23</v>
      </c>
      <c r="J3" s="73" t="s">
        <v>826</v>
      </c>
      <c r="K3" s="74"/>
      <c r="L3" s="74"/>
      <c r="M3" s="75"/>
      <c r="N3" s="79" t="s">
        <v>191</v>
      </c>
      <c r="O3" s="79"/>
      <c r="P3" s="79"/>
      <c r="Q3" s="73" t="s">
        <v>199</v>
      </c>
      <c r="R3" s="74"/>
      <c r="S3" s="74"/>
      <c r="T3" s="75"/>
      <c r="U3" s="76" t="s">
        <v>194</v>
      </c>
      <c r="V3" s="78"/>
      <c r="W3" s="73"/>
      <c r="X3" s="74"/>
      <c r="Y3" s="74"/>
      <c r="Z3" s="75"/>
      <c r="AA3" s="14"/>
      <c r="AB3" s="13"/>
      <c r="AC3" s="13"/>
      <c r="AD3" s="13"/>
      <c r="AE3" s="13"/>
      <c r="AF3" s="13"/>
      <c r="AG3" s="13"/>
      <c r="AH3" s="13"/>
      <c r="AI3" s="13"/>
      <c r="AJ3" s="13"/>
    </row>
    <row r="4" spans="1:36" s="15" customFormat="1" ht="21" customHeight="1" x14ac:dyDescent="0.25">
      <c r="A4" s="76" t="s">
        <v>4</v>
      </c>
      <c r="B4" s="77"/>
      <c r="C4" s="78"/>
      <c r="D4" s="73" t="s">
        <v>764</v>
      </c>
      <c r="E4" s="74"/>
      <c r="F4" s="74"/>
      <c r="G4" s="74"/>
      <c r="H4" s="75"/>
      <c r="I4" s="16" t="s">
        <v>192</v>
      </c>
      <c r="J4" s="84">
        <v>500</v>
      </c>
      <c r="K4" s="85"/>
      <c r="L4" s="85"/>
      <c r="M4" s="86"/>
      <c r="N4" s="79" t="s">
        <v>196</v>
      </c>
      <c r="O4" s="79"/>
      <c r="P4" s="79"/>
      <c r="Q4" s="87">
        <v>46168</v>
      </c>
      <c r="R4" s="88"/>
      <c r="S4" s="88"/>
      <c r="T4" s="89"/>
      <c r="U4" s="76" t="s">
        <v>193</v>
      </c>
      <c r="V4" s="78"/>
      <c r="W4" s="73" t="s">
        <v>727</v>
      </c>
      <c r="X4" s="74"/>
      <c r="Y4" s="74"/>
      <c r="Z4" s="75"/>
      <c r="AA4" s="14"/>
      <c r="AB4" s="13"/>
      <c r="AC4" s="13"/>
      <c r="AD4" s="13"/>
      <c r="AE4" s="13"/>
      <c r="AF4" s="13"/>
      <c r="AG4" s="13"/>
      <c r="AH4" s="13"/>
      <c r="AI4" s="13"/>
      <c r="AJ4" s="13"/>
    </row>
    <row r="5" spans="1:36" ht="21" customHeight="1" x14ac:dyDescent="0.25">
      <c r="A5" s="12"/>
      <c r="B5" s="12"/>
      <c r="C5" s="12" t="s">
        <v>198</v>
      </c>
      <c r="D5" s="12" t="s">
        <v>195</v>
      </c>
      <c r="E5" s="12" t="s">
        <v>195</v>
      </c>
      <c r="F5" s="12" t="s">
        <v>195</v>
      </c>
      <c r="G5" s="12" t="s">
        <v>197</v>
      </c>
      <c r="H5" s="12" t="s">
        <v>198</v>
      </c>
      <c r="I5" s="12" t="s">
        <v>197</v>
      </c>
      <c r="J5" s="12" t="s">
        <v>197</v>
      </c>
      <c r="K5" s="12" t="s">
        <v>198</v>
      </c>
      <c r="L5" s="12" t="s">
        <v>198</v>
      </c>
      <c r="M5" s="12"/>
      <c r="N5" s="12" t="s">
        <v>197</v>
      </c>
      <c r="O5" s="12" t="s">
        <v>195</v>
      </c>
      <c r="P5" s="12" t="s">
        <v>195</v>
      </c>
      <c r="Q5" s="12" t="s">
        <v>197</v>
      </c>
      <c r="R5" s="12" t="s">
        <v>197</v>
      </c>
      <c r="S5" s="12" t="s">
        <v>197</v>
      </c>
      <c r="T5" s="12" t="s">
        <v>197</v>
      </c>
      <c r="U5" s="12" t="s">
        <v>198</v>
      </c>
      <c r="V5" s="12" t="s">
        <v>198</v>
      </c>
      <c r="W5" s="12" t="s">
        <v>198</v>
      </c>
      <c r="X5" s="12" t="s">
        <v>198</v>
      </c>
      <c r="Y5" s="12" t="s">
        <v>198</v>
      </c>
      <c r="Z5" s="12"/>
      <c r="AA5" s="12" t="s">
        <v>197</v>
      </c>
      <c r="AB5" s="12"/>
      <c r="AC5" s="12"/>
      <c r="AD5" s="12"/>
      <c r="AE5" s="2"/>
      <c r="AF5" s="2"/>
      <c r="AG5" s="80" t="s">
        <v>839</v>
      </c>
      <c r="AH5" s="81"/>
      <c r="AI5" s="81"/>
      <c r="AJ5" s="82"/>
    </row>
    <row r="6" spans="1:36" s="10" customFormat="1" ht="51" x14ac:dyDescent="0.25">
      <c r="A6" s="5" t="s">
        <v>0</v>
      </c>
      <c r="B6" s="5" t="s">
        <v>825</v>
      </c>
      <c r="C6" s="5" t="s">
        <v>3</v>
      </c>
      <c r="D6" s="5" t="s">
        <v>4</v>
      </c>
      <c r="E6" s="5" t="s">
        <v>22</v>
      </c>
      <c r="F6" s="5" t="s">
        <v>23</v>
      </c>
      <c r="G6" s="5" t="s">
        <v>1</v>
      </c>
      <c r="H6" s="5" t="s">
        <v>2</v>
      </c>
      <c r="I6" s="5" t="s">
        <v>5</v>
      </c>
      <c r="J6" s="5" t="s">
        <v>6</v>
      </c>
      <c r="K6" s="5" t="s">
        <v>7</v>
      </c>
      <c r="L6" s="5" t="s">
        <v>27</v>
      </c>
      <c r="M6" s="5" t="s">
        <v>13</v>
      </c>
      <c r="N6" s="5" t="s">
        <v>12</v>
      </c>
      <c r="O6" s="5" t="s">
        <v>14</v>
      </c>
      <c r="P6" s="5" t="s">
        <v>17</v>
      </c>
      <c r="Q6" s="5" t="s">
        <v>25</v>
      </c>
      <c r="R6" s="5" t="s">
        <v>10</v>
      </c>
      <c r="S6" s="5" t="s">
        <v>26</v>
      </c>
      <c r="T6" s="5" t="s">
        <v>11</v>
      </c>
      <c r="U6" s="5" t="s">
        <v>29</v>
      </c>
      <c r="V6" s="5" t="s">
        <v>41</v>
      </c>
      <c r="W6" s="5" t="s">
        <v>43</v>
      </c>
      <c r="X6" s="5" t="s">
        <v>34</v>
      </c>
      <c r="Y6" s="5" t="s">
        <v>30</v>
      </c>
      <c r="Z6" s="5" t="s">
        <v>18</v>
      </c>
      <c r="AA6" s="5" t="s">
        <v>19</v>
      </c>
      <c r="AB6" s="5" t="s">
        <v>16</v>
      </c>
      <c r="AC6" s="5" t="s">
        <v>20</v>
      </c>
      <c r="AD6" s="5" t="s">
        <v>15</v>
      </c>
      <c r="AE6" s="5" t="s">
        <v>823</v>
      </c>
      <c r="AF6" s="5" t="s">
        <v>824</v>
      </c>
      <c r="AG6" s="38" t="s">
        <v>831</v>
      </c>
      <c r="AH6" s="38" t="s">
        <v>847</v>
      </c>
      <c r="AI6" s="38" t="s">
        <v>832</v>
      </c>
      <c r="AJ6" s="38" t="s">
        <v>833</v>
      </c>
    </row>
    <row r="7" spans="1:36" ht="45" x14ac:dyDescent="0.25">
      <c r="A7" s="1">
        <f>ROW()-6</f>
        <v>1</v>
      </c>
      <c r="B7" s="1" t="str">
        <f>R7</f>
        <v>Board_GX</v>
      </c>
      <c r="C7" s="1" t="s">
        <v>185</v>
      </c>
      <c r="D7" s="7" t="str">
        <f>$D$4</f>
        <v>BOX_CAM</v>
      </c>
      <c r="E7" s="7">
        <f>$J$2</f>
        <v>0</v>
      </c>
      <c r="F7" s="7" t="str">
        <f>$J$3</f>
        <v>BOM_CameraBox_2026-04-14 2205</v>
      </c>
      <c r="G7" s="20" t="s">
        <v>808</v>
      </c>
      <c r="H7" s="20" t="s">
        <v>176</v>
      </c>
      <c r="I7" s="20" t="s">
        <v>808</v>
      </c>
      <c r="J7" s="22"/>
      <c r="K7" s="19"/>
      <c r="L7" s="20"/>
      <c r="M7" s="20" t="s">
        <v>44</v>
      </c>
      <c r="N7" s="19">
        <v>1</v>
      </c>
      <c r="O7" s="20">
        <f>$J$4</f>
        <v>500</v>
      </c>
      <c r="P7" s="20">
        <f>IF($N7="","",$N7*$O7)</f>
        <v>500</v>
      </c>
      <c r="Q7" s="20" t="s">
        <v>704</v>
      </c>
      <c r="R7" s="20" t="s">
        <v>808</v>
      </c>
      <c r="S7" s="20"/>
      <c r="T7" s="20"/>
      <c r="U7" s="20" t="s">
        <v>38</v>
      </c>
      <c r="V7" s="1" t="s">
        <v>42</v>
      </c>
      <c r="W7" s="1" t="s">
        <v>549</v>
      </c>
      <c r="X7" s="1" t="s">
        <v>37</v>
      </c>
      <c r="Y7" s="1" t="s">
        <v>32</v>
      </c>
      <c r="Z7" s="1"/>
      <c r="AA7" s="19"/>
      <c r="AB7" s="2"/>
      <c r="AC7" s="19"/>
      <c r="AD7" s="2"/>
      <c r="AE7" s="2"/>
      <c r="AF7" s="2"/>
      <c r="AG7" s="2">
        <v>0</v>
      </c>
      <c r="AH7" s="2"/>
      <c r="AI7" s="2"/>
      <c r="AJ7" s="2">
        <f>P7-SUM(AG7:AI7)</f>
        <v>500</v>
      </c>
    </row>
    <row r="8" spans="1:36" ht="45" x14ac:dyDescent="0.25">
      <c r="A8" s="1">
        <f t="shared" ref="A8:A27" si="0">ROW()-6</f>
        <v>2</v>
      </c>
      <c r="B8" s="1" t="str">
        <f t="shared" ref="B8:B27" si="1">R8</f>
        <v>Board_RK3562</v>
      </c>
      <c r="C8" s="1" t="s">
        <v>185</v>
      </c>
      <c r="D8" s="7" t="str">
        <f t="shared" ref="D8:D27" si="2">$D$4</f>
        <v>BOX_CAM</v>
      </c>
      <c r="E8" s="7">
        <f t="shared" ref="E8:E27" si="3">$J$2</f>
        <v>0</v>
      </c>
      <c r="F8" s="7" t="str">
        <f t="shared" ref="F8:F27" si="4">$J$3</f>
        <v>BOM_CameraBox_2026-04-14 2205</v>
      </c>
      <c r="G8" s="20" t="s">
        <v>809</v>
      </c>
      <c r="H8" s="20" t="s">
        <v>176</v>
      </c>
      <c r="I8" s="20" t="s">
        <v>809</v>
      </c>
      <c r="J8" s="19"/>
      <c r="K8" s="19"/>
      <c r="L8" s="20"/>
      <c r="M8" s="20" t="s">
        <v>44</v>
      </c>
      <c r="N8" s="19">
        <v>1</v>
      </c>
      <c r="O8" s="20">
        <f t="shared" ref="O8:O27" si="5">$J$4</f>
        <v>500</v>
      </c>
      <c r="P8" s="20">
        <f t="shared" ref="P8:P27" si="6">IF($N8="","",$N8*$O8)</f>
        <v>500</v>
      </c>
      <c r="Q8" s="20" t="s">
        <v>704</v>
      </c>
      <c r="R8" s="20" t="s">
        <v>809</v>
      </c>
      <c r="S8" s="20"/>
      <c r="T8" s="20"/>
      <c r="U8" s="20" t="s">
        <v>38</v>
      </c>
      <c r="V8" s="1" t="s">
        <v>42</v>
      </c>
      <c r="W8" s="1" t="s">
        <v>549</v>
      </c>
      <c r="X8" s="1" t="s">
        <v>37</v>
      </c>
      <c r="Y8" s="1" t="s">
        <v>32</v>
      </c>
      <c r="Z8" s="1"/>
      <c r="AA8" s="1"/>
      <c r="AB8" s="2"/>
      <c r="AC8" s="19"/>
      <c r="AD8" s="2"/>
      <c r="AE8" s="2"/>
      <c r="AF8" s="2"/>
      <c r="AG8" s="2">
        <v>0</v>
      </c>
      <c r="AH8" s="2"/>
      <c r="AI8" s="2"/>
      <c r="AJ8" s="2">
        <f t="shared" ref="AJ8:AJ27" si="7">P8-SUM(AG8:AI8)</f>
        <v>500</v>
      </c>
    </row>
    <row r="9" spans="1:36" ht="45" x14ac:dyDescent="0.25">
      <c r="A9" s="1">
        <f>ROW()-6</f>
        <v>3</v>
      </c>
      <c r="B9" s="1" t="str">
        <f t="shared" si="1"/>
        <v>AHGG.101</v>
      </c>
      <c r="C9" s="1" t="s">
        <v>185</v>
      </c>
      <c r="D9" s="7" t="str">
        <f>$D$4</f>
        <v>BOX_CAM</v>
      </c>
      <c r="E9" s="7">
        <f>$J$2</f>
        <v>0</v>
      </c>
      <c r="F9" s="7" t="str">
        <f>$J$3</f>
        <v>BOM_CameraBox_2026-04-14 2205</v>
      </c>
      <c r="G9" s="20"/>
      <c r="H9" s="20" t="s">
        <v>781</v>
      </c>
      <c r="I9" s="20" t="s">
        <v>765</v>
      </c>
      <c r="J9" s="22"/>
      <c r="K9" s="19"/>
      <c r="L9" s="20"/>
      <c r="M9" s="20" t="s">
        <v>44</v>
      </c>
      <c r="N9" s="19">
        <v>0</v>
      </c>
      <c r="O9" s="20">
        <f>$J$4</f>
        <v>500</v>
      </c>
      <c r="P9" s="20">
        <f>IF($N9="","",$N9*$O9)</f>
        <v>0</v>
      </c>
      <c r="Q9" s="20" t="s">
        <v>784</v>
      </c>
      <c r="R9" s="20" t="s">
        <v>785</v>
      </c>
      <c r="S9" s="20"/>
      <c r="T9" s="18"/>
      <c r="U9" s="20" t="s">
        <v>38</v>
      </c>
      <c r="V9" s="1" t="s">
        <v>551</v>
      </c>
      <c r="W9" s="1" t="s">
        <v>550</v>
      </c>
      <c r="X9" s="1" t="s">
        <v>37</v>
      </c>
      <c r="Y9" s="1" t="s">
        <v>31</v>
      </c>
      <c r="Z9" s="1"/>
      <c r="AA9" s="19"/>
      <c r="AB9" s="2"/>
      <c r="AC9" s="20" t="s">
        <v>819</v>
      </c>
      <c r="AD9" s="2"/>
      <c r="AE9" s="2">
        <v>500</v>
      </c>
      <c r="AF9" s="2">
        <f>P9</f>
        <v>0</v>
      </c>
      <c r="AG9" s="2">
        <v>0</v>
      </c>
      <c r="AH9" s="2"/>
      <c r="AI9" s="2"/>
      <c r="AJ9" s="2">
        <f t="shared" si="7"/>
        <v>0</v>
      </c>
    </row>
    <row r="10" spans="1:36" ht="45" x14ac:dyDescent="0.25">
      <c r="A10" s="1">
        <f t="shared" si="0"/>
        <v>4</v>
      </c>
      <c r="B10" s="1" t="str">
        <f t="shared" si="1"/>
        <v>AH3G.403</v>
      </c>
      <c r="C10" s="1" t="s">
        <v>185</v>
      </c>
      <c r="D10" s="7" t="str">
        <f t="shared" si="2"/>
        <v>BOX_CAM</v>
      </c>
      <c r="E10" s="7">
        <f t="shared" si="3"/>
        <v>0</v>
      </c>
      <c r="F10" s="7" t="str">
        <f t="shared" si="4"/>
        <v>BOM_CameraBox_2026-04-14 2205</v>
      </c>
      <c r="G10" s="20"/>
      <c r="H10" s="20" t="s">
        <v>781</v>
      </c>
      <c r="I10" s="20" t="s">
        <v>766</v>
      </c>
      <c r="J10" s="19"/>
      <c r="K10" s="19"/>
      <c r="L10" s="20"/>
      <c r="M10" s="20" t="s">
        <v>44</v>
      </c>
      <c r="N10" s="19">
        <v>0</v>
      </c>
      <c r="O10" s="20">
        <f t="shared" si="5"/>
        <v>500</v>
      </c>
      <c r="P10" s="20">
        <f t="shared" si="6"/>
        <v>0</v>
      </c>
      <c r="Q10" s="20" t="s">
        <v>784</v>
      </c>
      <c r="R10" s="20" t="s">
        <v>786</v>
      </c>
      <c r="S10" s="20"/>
      <c r="T10" s="18"/>
      <c r="U10" s="20" t="s">
        <v>38</v>
      </c>
      <c r="V10" s="1" t="s">
        <v>551</v>
      </c>
      <c r="W10" s="1" t="s">
        <v>550</v>
      </c>
      <c r="X10" s="1" t="s">
        <v>37</v>
      </c>
      <c r="Y10" s="1" t="s">
        <v>31</v>
      </c>
      <c r="Z10" s="1"/>
      <c r="AA10" s="1"/>
      <c r="AB10" s="2"/>
      <c r="AC10" s="20" t="s">
        <v>819</v>
      </c>
      <c r="AD10" s="2"/>
      <c r="AE10" s="2">
        <v>500</v>
      </c>
      <c r="AF10" s="2">
        <f>P10</f>
        <v>0</v>
      </c>
      <c r="AG10" s="2">
        <v>0</v>
      </c>
      <c r="AH10" s="2"/>
      <c r="AI10" s="2"/>
      <c r="AJ10" s="2">
        <f t="shared" si="7"/>
        <v>0</v>
      </c>
    </row>
    <row r="11" spans="1:36" ht="45" x14ac:dyDescent="0.25">
      <c r="A11" s="1">
        <f t="shared" si="0"/>
        <v>5</v>
      </c>
      <c r="B11" s="1" t="str">
        <f t="shared" si="1"/>
        <v>TannhietSOM</v>
      </c>
      <c r="C11" s="1" t="s">
        <v>185</v>
      </c>
      <c r="D11" s="7" t="str">
        <f t="shared" si="2"/>
        <v>BOX_CAM</v>
      </c>
      <c r="E11" s="7">
        <f t="shared" si="3"/>
        <v>0</v>
      </c>
      <c r="F11" s="7" t="str">
        <f t="shared" si="4"/>
        <v>BOM_CameraBox_2026-04-14 2205</v>
      </c>
      <c r="G11" s="20"/>
      <c r="H11" s="20" t="s">
        <v>782</v>
      </c>
      <c r="I11" s="20" t="s">
        <v>767</v>
      </c>
      <c r="J11" s="19"/>
      <c r="K11" s="19"/>
      <c r="L11" s="20"/>
      <c r="M11" s="20" t="s">
        <v>44</v>
      </c>
      <c r="N11" s="19">
        <v>1</v>
      </c>
      <c r="O11" s="20">
        <f t="shared" si="5"/>
        <v>500</v>
      </c>
      <c r="P11" s="20">
        <f t="shared" si="6"/>
        <v>500</v>
      </c>
      <c r="Q11" s="20" t="s">
        <v>659</v>
      </c>
      <c r="R11" s="20" t="s">
        <v>660</v>
      </c>
      <c r="S11" s="20"/>
      <c r="U11" s="20" t="s">
        <v>38</v>
      </c>
      <c r="V11" s="1" t="s">
        <v>42</v>
      </c>
      <c r="W11" s="1" t="s">
        <v>550</v>
      </c>
      <c r="X11" s="1" t="s">
        <v>37</v>
      </c>
      <c r="Y11" s="1" t="s">
        <v>31</v>
      </c>
      <c r="Z11" s="1"/>
      <c r="AA11" s="19"/>
      <c r="AB11" s="2"/>
      <c r="AC11" s="19" t="s">
        <v>817</v>
      </c>
      <c r="AD11" s="2"/>
      <c r="AE11" s="2">
        <v>500</v>
      </c>
      <c r="AF11" s="2">
        <f t="shared" ref="AF11:AF26" si="8">P11-AE11</f>
        <v>0</v>
      </c>
      <c r="AG11" s="2">
        <v>0</v>
      </c>
      <c r="AH11" s="2">
        <f>VLOOKUP(B11,'VNET-XF_dự kiến lần 2'!$B$2:$D$42,3,0)</f>
        <v>500</v>
      </c>
      <c r="AI11" s="2"/>
      <c r="AJ11" s="2">
        <f t="shared" si="7"/>
        <v>0</v>
      </c>
    </row>
    <row r="12" spans="1:36" ht="45" x14ac:dyDescent="0.25">
      <c r="A12" s="1">
        <f t="shared" si="0"/>
        <v>6</v>
      </c>
      <c r="B12" s="1" t="str">
        <f t="shared" si="1"/>
        <v>CR2016</v>
      </c>
      <c r="C12" s="1" t="s">
        <v>185</v>
      </c>
      <c r="D12" s="7" t="str">
        <f t="shared" si="2"/>
        <v>BOX_CAM</v>
      </c>
      <c r="E12" s="7">
        <f t="shared" si="3"/>
        <v>0</v>
      </c>
      <c r="F12" s="7" t="str">
        <f t="shared" si="4"/>
        <v>BOM_CameraBox_2026-04-14 2205</v>
      </c>
      <c r="G12" s="20"/>
      <c r="H12" s="20" t="s">
        <v>783</v>
      </c>
      <c r="I12" s="20" t="s">
        <v>768</v>
      </c>
      <c r="J12" s="19"/>
      <c r="K12" s="19"/>
      <c r="L12" s="20"/>
      <c r="M12" s="20" t="s">
        <v>44</v>
      </c>
      <c r="N12" s="19">
        <v>1</v>
      </c>
      <c r="O12" s="20">
        <f t="shared" si="5"/>
        <v>500</v>
      </c>
      <c r="P12" s="20">
        <f t="shared" si="6"/>
        <v>500</v>
      </c>
      <c r="Q12" s="20" t="s">
        <v>789</v>
      </c>
      <c r="R12" s="20" t="s">
        <v>788</v>
      </c>
      <c r="S12" s="20" t="s">
        <v>787</v>
      </c>
      <c r="T12" s="18" t="s">
        <v>788</v>
      </c>
      <c r="U12" s="20" t="s">
        <v>38</v>
      </c>
      <c r="V12" s="1" t="s">
        <v>551</v>
      </c>
      <c r="W12" s="1" t="s">
        <v>550</v>
      </c>
      <c r="X12" s="1" t="s">
        <v>37</v>
      </c>
      <c r="Y12" s="1" t="s">
        <v>31</v>
      </c>
      <c r="Z12" s="1"/>
      <c r="AA12" s="1"/>
      <c r="AB12" s="2"/>
      <c r="AC12" s="19"/>
      <c r="AD12" s="2"/>
      <c r="AE12" s="2">
        <v>0</v>
      </c>
      <c r="AF12" s="2">
        <f t="shared" si="8"/>
        <v>500</v>
      </c>
      <c r="AG12" s="2">
        <v>0</v>
      </c>
      <c r="AH12" s="2">
        <f>VLOOKUP(B12,'VNET-XF_dự kiến lần 2'!$B$2:$D$42,3,0)</f>
        <v>500</v>
      </c>
      <c r="AI12" s="2"/>
      <c r="AJ12" s="2">
        <f t="shared" si="7"/>
        <v>0</v>
      </c>
    </row>
    <row r="13" spans="1:36" ht="75" x14ac:dyDescent="0.25">
      <c r="A13" s="1">
        <f t="shared" si="0"/>
        <v>7</v>
      </c>
      <c r="B13" s="1" t="str">
        <f t="shared" si="1"/>
        <v>200mAh 3.7V</v>
      </c>
      <c r="C13" s="1" t="s">
        <v>185</v>
      </c>
      <c r="D13" s="7" t="str">
        <f t="shared" si="2"/>
        <v>BOX_CAM</v>
      </c>
      <c r="E13" s="7">
        <f t="shared" si="3"/>
        <v>0</v>
      </c>
      <c r="F13" s="7" t="str">
        <f t="shared" si="4"/>
        <v>BOM_CameraBox_2026-04-14 2205</v>
      </c>
      <c r="G13" s="20"/>
      <c r="H13" s="20" t="s">
        <v>783</v>
      </c>
      <c r="I13" s="20" t="s">
        <v>769</v>
      </c>
      <c r="J13" s="22"/>
      <c r="K13" s="19"/>
      <c r="L13" s="20"/>
      <c r="M13" s="20" t="s">
        <v>44</v>
      </c>
      <c r="N13" s="19">
        <v>1</v>
      </c>
      <c r="O13" s="20">
        <f t="shared" si="5"/>
        <v>500</v>
      </c>
      <c r="P13" s="20">
        <f t="shared" si="6"/>
        <v>500</v>
      </c>
      <c r="Q13" s="20" t="s">
        <v>789</v>
      </c>
      <c r="R13" s="20" t="s">
        <v>790</v>
      </c>
      <c r="S13" s="20"/>
      <c r="T13" s="18"/>
      <c r="U13" s="20" t="s">
        <v>38</v>
      </c>
      <c r="V13" s="1" t="s">
        <v>551</v>
      </c>
      <c r="W13" s="1" t="s">
        <v>550</v>
      </c>
      <c r="X13" s="1" t="s">
        <v>37</v>
      </c>
      <c r="Y13" s="1" t="s">
        <v>31</v>
      </c>
      <c r="Z13" s="1"/>
      <c r="AA13" s="20" t="s">
        <v>789</v>
      </c>
      <c r="AB13" s="26"/>
      <c r="AC13" s="19" t="s">
        <v>802</v>
      </c>
      <c r="AD13" s="27" t="s">
        <v>816</v>
      </c>
      <c r="AE13" s="2">
        <v>0</v>
      </c>
      <c r="AF13" s="2">
        <f>P13</f>
        <v>500</v>
      </c>
      <c r="AG13" s="2">
        <v>0</v>
      </c>
      <c r="AH13" s="2"/>
      <c r="AI13" s="2"/>
      <c r="AJ13" s="2">
        <f t="shared" si="7"/>
        <v>500</v>
      </c>
    </row>
    <row r="14" spans="1:36" ht="45" x14ac:dyDescent="0.25">
      <c r="A14" s="1">
        <f t="shared" si="0"/>
        <v>8</v>
      </c>
      <c r="B14" s="1" t="str">
        <f t="shared" si="1"/>
        <v>KDT-2526</v>
      </c>
      <c r="C14" s="1" t="s">
        <v>185</v>
      </c>
      <c r="D14" s="7" t="str">
        <f t="shared" si="2"/>
        <v>BOX_CAM</v>
      </c>
      <c r="E14" s="7">
        <f t="shared" si="3"/>
        <v>0</v>
      </c>
      <c r="F14" s="7" t="str">
        <f t="shared" si="4"/>
        <v>BOM_CameraBox_2026-04-14 2205</v>
      </c>
      <c r="G14" s="20"/>
      <c r="H14" s="20" t="s">
        <v>183</v>
      </c>
      <c r="I14" s="20" t="s">
        <v>770</v>
      </c>
      <c r="J14" s="22"/>
      <c r="K14" s="19"/>
      <c r="L14" s="20"/>
      <c r="M14" s="20" t="s">
        <v>44</v>
      </c>
      <c r="N14" s="19">
        <v>1</v>
      </c>
      <c r="O14" s="20">
        <f t="shared" si="5"/>
        <v>500</v>
      </c>
      <c r="P14" s="20">
        <f t="shared" si="6"/>
        <v>500</v>
      </c>
      <c r="Q14" s="20" t="s">
        <v>789</v>
      </c>
      <c r="R14" s="20" t="s">
        <v>791</v>
      </c>
      <c r="S14" s="20"/>
      <c r="T14" s="29"/>
      <c r="U14" s="20" t="s">
        <v>38</v>
      </c>
      <c r="V14" s="1" t="s">
        <v>42</v>
      </c>
      <c r="W14" s="1" t="s">
        <v>549</v>
      </c>
      <c r="X14" s="1" t="s">
        <v>37</v>
      </c>
      <c r="Y14" s="1" t="s">
        <v>31</v>
      </c>
      <c r="Z14" s="1"/>
      <c r="AA14" s="20" t="s">
        <v>789</v>
      </c>
      <c r="AB14" s="26"/>
      <c r="AC14" s="19"/>
      <c r="AD14" s="28"/>
      <c r="AE14" s="2">
        <v>500</v>
      </c>
      <c r="AF14" s="2">
        <f t="shared" si="8"/>
        <v>0</v>
      </c>
      <c r="AG14" s="2">
        <v>0</v>
      </c>
      <c r="AH14" s="2"/>
      <c r="AI14" s="2"/>
      <c r="AJ14" s="2">
        <f t="shared" si="7"/>
        <v>500</v>
      </c>
    </row>
    <row r="15" spans="1:36" ht="45" x14ac:dyDescent="0.25">
      <c r="A15" s="1">
        <f t="shared" si="0"/>
        <v>9</v>
      </c>
      <c r="B15" s="1" t="str">
        <f t="shared" si="1"/>
        <v>1.13Ipex</v>
      </c>
      <c r="C15" s="1" t="s">
        <v>185</v>
      </c>
      <c r="D15" s="7" t="str">
        <f t="shared" si="2"/>
        <v>BOX_CAM</v>
      </c>
      <c r="E15" s="7">
        <f t="shared" si="3"/>
        <v>0</v>
      </c>
      <c r="F15" s="7" t="str">
        <f t="shared" si="4"/>
        <v>BOM_CameraBox_2026-04-14 2205</v>
      </c>
      <c r="G15" s="20"/>
      <c r="H15" s="20" t="s">
        <v>175</v>
      </c>
      <c r="I15" s="20" t="s">
        <v>771</v>
      </c>
      <c r="J15" s="22"/>
      <c r="K15" s="19"/>
      <c r="L15" s="20"/>
      <c r="M15" s="20" t="s">
        <v>44</v>
      </c>
      <c r="N15" s="19">
        <v>2</v>
      </c>
      <c r="O15" s="20">
        <f t="shared" si="5"/>
        <v>500</v>
      </c>
      <c r="P15" s="20">
        <f t="shared" si="6"/>
        <v>1000</v>
      </c>
      <c r="Q15" s="20" t="s">
        <v>789</v>
      </c>
      <c r="R15" s="20" t="s">
        <v>792</v>
      </c>
      <c r="S15" s="20"/>
      <c r="T15" s="18"/>
      <c r="U15" s="20" t="s">
        <v>38</v>
      </c>
      <c r="V15" s="1" t="s">
        <v>551</v>
      </c>
      <c r="W15" s="1" t="s">
        <v>550</v>
      </c>
      <c r="X15" s="1" t="s">
        <v>37</v>
      </c>
      <c r="Y15" s="1" t="s">
        <v>31</v>
      </c>
      <c r="Z15" s="1"/>
      <c r="AA15" s="20" t="s">
        <v>789</v>
      </c>
      <c r="AB15" s="26"/>
      <c r="AC15" s="19"/>
      <c r="AD15" s="27" t="s">
        <v>816</v>
      </c>
      <c r="AE15" s="2">
        <v>0</v>
      </c>
      <c r="AF15" s="2">
        <f t="shared" si="8"/>
        <v>1000</v>
      </c>
      <c r="AG15" s="2">
        <v>0</v>
      </c>
      <c r="AH15" s="2"/>
      <c r="AI15" s="2"/>
      <c r="AJ15" s="2">
        <f t="shared" si="7"/>
        <v>1000</v>
      </c>
    </row>
    <row r="16" spans="1:36" s="46" customFormat="1" ht="76.5" x14ac:dyDescent="0.25">
      <c r="A16" s="39">
        <f t="shared" si="0"/>
        <v>10</v>
      </c>
      <c r="B16" s="39" t="str">
        <f t="shared" si="1"/>
        <v>Heatsink 8.8 x 8.8 x 12mm</v>
      </c>
      <c r="C16" s="39" t="s">
        <v>185</v>
      </c>
      <c r="D16" s="40" t="str">
        <f t="shared" si="2"/>
        <v>BOX_CAM</v>
      </c>
      <c r="E16" s="40">
        <f t="shared" si="3"/>
        <v>0</v>
      </c>
      <c r="F16" s="40" t="str">
        <f t="shared" si="4"/>
        <v>BOM_CameraBox_2026-04-14 2205</v>
      </c>
      <c r="G16" s="39"/>
      <c r="H16" s="39" t="s">
        <v>733</v>
      </c>
      <c r="I16" s="39" t="s">
        <v>846</v>
      </c>
      <c r="J16" s="41"/>
      <c r="K16" s="42"/>
      <c r="L16" s="39"/>
      <c r="M16" s="39" t="s">
        <v>44</v>
      </c>
      <c r="N16" s="42">
        <v>1</v>
      </c>
      <c r="O16" s="39">
        <f t="shared" si="5"/>
        <v>500</v>
      </c>
      <c r="P16" s="39">
        <f t="shared" si="6"/>
        <v>500</v>
      </c>
      <c r="Q16" s="39" t="s">
        <v>841</v>
      </c>
      <c r="R16" s="39" t="s">
        <v>845</v>
      </c>
      <c r="S16" s="39"/>
      <c r="T16" s="42"/>
      <c r="U16" s="39" t="s">
        <v>38</v>
      </c>
      <c r="V16" s="39" t="s">
        <v>551</v>
      </c>
      <c r="W16" s="39" t="s">
        <v>550</v>
      </c>
      <c r="X16" s="39" t="s">
        <v>37</v>
      </c>
      <c r="Y16" s="39" t="s">
        <v>31</v>
      </c>
      <c r="Z16" s="39"/>
      <c r="AA16" s="39" t="s">
        <v>789</v>
      </c>
      <c r="AB16" s="43" t="s">
        <v>842</v>
      </c>
      <c r="AC16" s="42" t="s">
        <v>844</v>
      </c>
      <c r="AD16" s="47" t="s">
        <v>816</v>
      </c>
      <c r="AE16" s="45">
        <v>0</v>
      </c>
      <c r="AF16" s="45">
        <f t="shared" si="8"/>
        <v>500</v>
      </c>
      <c r="AG16" s="45">
        <v>0</v>
      </c>
      <c r="AH16" s="2"/>
      <c r="AI16" s="45">
        <v>500</v>
      </c>
      <c r="AJ16" s="45">
        <f t="shared" si="7"/>
        <v>0</v>
      </c>
    </row>
    <row r="17" spans="1:36" ht="60" x14ac:dyDescent="0.25">
      <c r="A17" s="1">
        <f t="shared" si="0"/>
        <v>11</v>
      </c>
      <c r="B17" s="1" t="str">
        <f t="shared" si="1"/>
        <v>100x100x2mm</v>
      </c>
      <c r="C17" s="1" t="s">
        <v>185</v>
      </c>
      <c r="D17" s="7" t="str">
        <f t="shared" si="2"/>
        <v>BOX_CAM</v>
      </c>
      <c r="E17" s="7">
        <f t="shared" si="3"/>
        <v>0</v>
      </c>
      <c r="F17" s="7" t="str">
        <f t="shared" si="4"/>
        <v>BOM_CameraBox_2026-04-14 2205</v>
      </c>
      <c r="G17" s="20"/>
      <c r="H17" s="20" t="s">
        <v>183</v>
      </c>
      <c r="I17" s="20" t="s">
        <v>772</v>
      </c>
      <c r="J17" s="22"/>
      <c r="K17" s="19"/>
      <c r="L17" s="20"/>
      <c r="M17" s="20" t="s">
        <v>44</v>
      </c>
      <c r="N17" s="19">
        <v>0.1</v>
      </c>
      <c r="O17" s="20">
        <f t="shared" si="5"/>
        <v>500</v>
      </c>
      <c r="P17" s="20">
        <f t="shared" si="6"/>
        <v>50</v>
      </c>
      <c r="Q17" s="20" t="s">
        <v>789</v>
      </c>
      <c r="R17" s="20" t="s">
        <v>793</v>
      </c>
      <c r="S17" s="20"/>
      <c r="T17" s="18"/>
      <c r="U17" s="20" t="s">
        <v>38</v>
      </c>
      <c r="V17" s="1" t="s">
        <v>551</v>
      </c>
      <c r="W17" s="1" t="s">
        <v>550</v>
      </c>
      <c r="X17" s="1" t="s">
        <v>37</v>
      </c>
      <c r="Y17" s="1" t="s">
        <v>31</v>
      </c>
      <c r="Z17" s="1"/>
      <c r="AA17" s="20" t="s">
        <v>789</v>
      </c>
      <c r="AB17" s="26"/>
      <c r="AC17" s="19" t="s">
        <v>803</v>
      </c>
      <c r="AD17" s="27" t="s">
        <v>816</v>
      </c>
      <c r="AE17" s="2">
        <v>0</v>
      </c>
      <c r="AF17" s="2">
        <f t="shared" si="8"/>
        <v>50</v>
      </c>
      <c r="AG17" s="2">
        <v>0</v>
      </c>
      <c r="AH17" s="2"/>
      <c r="AI17" s="2"/>
      <c r="AJ17" s="2">
        <f t="shared" si="7"/>
        <v>50</v>
      </c>
    </row>
    <row r="18" spans="1:36" s="46" customFormat="1" ht="140.25" x14ac:dyDescent="0.25">
      <c r="A18" s="39">
        <f t="shared" si="0"/>
        <v>12</v>
      </c>
      <c r="B18" s="1" t="str">
        <f t="shared" si="1"/>
        <v>SYD2510HSL</v>
      </c>
      <c r="C18" s="39" t="s">
        <v>185</v>
      </c>
      <c r="D18" s="40" t="str">
        <f t="shared" si="2"/>
        <v>BOX_CAM</v>
      </c>
      <c r="E18" s="40">
        <f t="shared" si="3"/>
        <v>0</v>
      </c>
      <c r="F18" s="40" t="str">
        <f t="shared" si="4"/>
        <v>BOM_CameraBox_2026-04-14 2205</v>
      </c>
      <c r="G18" s="39"/>
      <c r="H18" s="39" t="s">
        <v>810</v>
      </c>
      <c r="I18" s="39" t="s">
        <v>773</v>
      </c>
      <c r="J18" s="41"/>
      <c r="K18" s="42"/>
      <c r="L18" s="39"/>
      <c r="M18" s="39" t="s">
        <v>44</v>
      </c>
      <c r="N18" s="42">
        <v>1</v>
      </c>
      <c r="O18" s="39">
        <f t="shared" si="5"/>
        <v>500</v>
      </c>
      <c r="P18" s="39">
        <f t="shared" si="6"/>
        <v>500</v>
      </c>
      <c r="Q18" s="39" t="s">
        <v>838</v>
      </c>
      <c r="R18" s="39" t="s">
        <v>837</v>
      </c>
      <c r="S18" s="39"/>
      <c r="T18" s="42"/>
      <c r="U18" s="39" t="s">
        <v>40</v>
      </c>
      <c r="V18" s="39" t="s">
        <v>551</v>
      </c>
      <c r="W18" s="39" t="s">
        <v>550</v>
      </c>
      <c r="X18" s="39" t="s">
        <v>37</v>
      </c>
      <c r="Y18" s="39" t="s">
        <v>31</v>
      </c>
      <c r="Z18" s="39"/>
      <c r="AA18" s="39" t="s">
        <v>835</v>
      </c>
      <c r="AB18" s="43" t="s">
        <v>842</v>
      </c>
      <c r="AC18" s="42" t="s">
        <v>836</v>
      </c>
      <c r="AD18" s="44" t="s">
        <v>816</v>
      </c>
      <c r="AE18" s="45">
        <v>0</v>
      </c>
      <c r="AF18" s="45">
        <f>P18</f>
        <v>500</v>
      </c>
      <c r="AG18" s="45">
        <v>0</v>
      </c>
      <c r="AH18" s="2"/>
      <c r="AI18" s="45">
        <v>500</v>
      </c>
      <c r="AJ18" s="2">
        <f t="shared" si="7"/>
        <v>0</v>
      </c>
    </row>
    <row r="19" spans="1:36" s="46" customFormat="1" ht="45" x14ac:dyDescent="0.25">
      <c r="A19" s="39">
        <f t="shared" si="0"/>
        <v>13</v>
      </c>
      <c r="B19" s="39" t="s">
        <v>794</v>
      </c>
      <c r="C19" s="39" t="s">
        <v>185</v>
      </c>
      <c r="D19" s="40" t="str">
        <f t="shared" si="2"/>
        <v>BOX_CAM</v>
      </c>
      <c r="E19" s="40">
        <f t="shared" si="3"/>
        <v>0</v>
      </c>
      <c r="F19" s="40" t="str">
        <f t="shared" si="4"/>
        <v>BOM_CameraBox_2026-04-14 2205</v>
      </c>
      <c r="G19" s="45"/>
      <c r="H19" s="39" t="s">
        <v>183</v>
      </c>
      <c r="I19" s="39" t="s">
        <v>840</v>
      </c>
      <c r="J19" s="41"/>
      <c r="K19" s="42"/>
      <c r="L19" s="39"/>
      <c r="M19" s="39" t="s">
        <v>44</v>
      </c>
      <c r="N19" s="42">
        <v>2</v>
      </c>
      <c r="O19" s="39">
        <f t="shared" si="5"/>
        <v>500</v>
      </c>
      <c r="P19" s="39">
        <f t="shared" si="6"/>
        <v>1000</v>
      </c>
      <c r="Q19" s="39" t="s">
        <v>841</v>
      </c>
      <c r="R19" s="39" t="s">
        <v>794</v>
      </c>
      <c r="S19" s="39"/>
      <c r="T19" s="42"/>
      <c r="U19" s="39" t="s">
        <v>38</v>
      </c>
      <c r="V19" s="39" t="s">
        <v>551</v>
      </c>
      <c r="W19" s="39" t="s">
        <v>550</v>
      </c>
      <c r="X19" s="39" t="s">
        <v>37</v>
      </c>
      <c r="Y19" s="39" t="s">
        <v>31</v>
      </c>
      <c r="Z19" s="39"/>
      <c r="AA19" s="39" t="s">
        <v>835</v>
      </c>
      <c r="AB19" s="43" t="s">
        <v>843</v>
      </c>
      <c r="AC19" s="42"/>
      <c r="AD19" s="47" t="s">
        <v>816</v>
      </c>
      <c r="AE19" s="45">
        <v>0</v>
      </c>
      <c r="AF19" s="45">
        <f t="shared" si="8"/>
        <v>1000</v>
      </c>
      <c r="AG19" s="45">
        <v>0</v>
      </c>
      <c r="AH19" s="2">
        <f>VLOOKUP(B19,'VNET-XF_dự kiến lần 2'!$B$2:$D$42,3,0)</f>
        <v>1000</v>
      </c>
      <c r="AI19" s="45">
        <v>1000</v>
      </c>
      <c r="AJ19" s="45">
        <f t="shared" si="7"/>
        <v>-1000</v>
      </c>
    </row>
    <row r="20" spans="1:36" ht="45" x14ac:dyDescent="0.25">
      <c r="A20" s="1">
        <f t="shared" si="0"/>
        <v>14</v>
      </c>
      <c r="B20" s="1" t="str">
        <f t="shared" si="1"/>
        <v>M3x16mm</v>
      </c>
      <c r="C20" s="1" t="s">
        <v>185</v>
      </c>
      <c r="D20" s="7" t="str">
        <f t="shared" si="2"/>
        <v>BOX_CAM</v>
      </c>
      <c r="E20" s="7">
        <f t="shared" si="3"/>
        <v>0</v>
      </c>
      <c r="F20" s="7" t="str">
        <f t="shared" si="4"/>
        <v>BOM_CameraBox_2026-04-14 2205</v>
      </c>
      <c r="G20" s="23"/>
      <c r="H20" s="20" t="s">
        <v>183</v>
      </c>
      <c r="I20" s="20" t="s">
        <v>774</v>
      </c>
      <c r="J20" s="22"/>
      <c r="K20" s="19"/>
      <c r="L20" s="20"/>
      <c r="M20" s="20" t="s">
        <v>44</v>
      </c>
      <c r="N20" s="19">
        <v>4</v>
      </c>
      <c r="O20" s="20">
        <f t="shared" si="5"/>
        <v>500</v>
      </c>
      <c r="P20" s="20">
        <f t="shared" si="6"/>
        <v>2000</v>
      </c>
      <c r="Q20" s="20" t="s">
        <v>789</v>
      </c>
      <c r="R20" s="20" t="s">
        <v>795</v>
      </c>
      <c r="S20" s="20"/>
      <c r="T20" s="18"/>
      <c r="U20" s="20" t="s">
        <v>38</v>
      </c>
      <c r="V20" s="1" t="s">
        <v>551</v>
      </c>
      <c r="W20" s="1" t="s">
        <v>550</v>
      </c>
      <c r="X20" s="1" t="s">
        <v>37</v>
      </c>
      <c r="Y20" s="1" t="s">
        <v>31</v>
      </c>
      <c r="Z20" s="1"/>
      <c r="AA20" s="20" t="s">
        <v>789</v>
      </c>
      <c r="AB20" s="26"/>
      <c r="AC20" s="19" t="s">
        <v>804</v>
      </c>
      <c r="AD20" s="27" t="s">
        <v>816</v>
      </c>
      <c r="AE20" s="2">
        <v>0</v>
      </c>
      <c r="AF20" s="2">
        <f t="shared" si="8"/>
        <v>2000</v>
      </c>
      <c r="AG20" s="2">
        <v>0</v>
      </c>
      <c r="AH20" s="2">
        <f>VLOOKUP(B20,'VNET-XF_dự kiến lần 2'!$B$2:$D$42,3,0)</f>
        <v>2000</v>
      </c>
      <c r="AI20" s="2"/>
      <c r="AJ20" s="2">
        <f t="shared" si="7"/>
        <v>0</v>
      </c>
    </row>
    <row r="21" spans="1:36" ht="60" x14ac:dyDescent="0.25">
      <c r="A21" s="1">
        <f t="shared" si="0"/>
        <v>15</v>
      </c>
      <c r="B21" s="1" t="str">
        <f t="shared" si="1"/>
        <v>M3 Inox304</v>
      </c>
      <c r="C21" s="1" t="s">
        <v>185</v>
      </c>
      <c r="D21" s="7" t="str">
        <f t="shared" si="2"/>
        <v>BOX_CAM</v>
      </c>
      <c r="E21" s="7">
        <f t="shared" si="3"/>
        <v>0</v>
      </c>
      <c r="F21" s="7" t="str">
        <f t="shared" si="4"/>
        <v>BOM_CameraBox_2026-04-14 2205</v>
      </c>
      <c r="G21" s="23"/>
      <c r="H21" s="20" t="s">
        <v>183</v>
      </c>
      <c r="I21" s="23" t="s">
        <v>775</v>
      </c>
      <c r="J21" s="22"/>
      <c r="K21" s="19"/>
      <c r="L21" s="20"/>
      <c r="M21" s="20" t="s">
        <v>44</v>
      </c>
      <c r="N21" s="20">
        <v>4</v>
      </c>
      <c r="O21" s="20">
        <f t="shared" si="5"/>
        <v>500</v>
      </c>
      <c r="P21" s="20">
        <f t="shared" si="6"/>
        <v>2000</v>
      </c>
      <c r="Q21" s="20" t="s">
        <v>789</v>
      </c>
      <c r="R21" s="20" t="s">
        <v>796</v>
      </c>
      <c r="S21" s="20"/>
      <c r="T21" s="1"/>
      <c r="U21" s="20" t="s">
        <v>38</v>
      </c>
      <c r="V21" s="1" t="s">
        <v>551</v>
      </c>
      <c r="W21" s="1" t="s">
        <v>550</v>
      </c>
      <c r="X21" s="1" t="s">
        <v>37</v>
      </c>
      <c r="Y21" s="1" t="s">
        <v>31</v>
      </c>
      <c r="Z21" s="1"/>
      <c r="AA21" s="20" t="s">
        <v>789</v>
      </c>
      <c r="AB21" s="26"/>
      <c r="AC21" s="20" t="s">
        <v>805</v>
      </c>
      <c r="AD21" s="27" t="s">
        <v>816</v>
      </c>
      <c r="AE21" s="2">
        <v>0</v>
      </c>
      <c r="AF21" s="2">
        <f t="shared" si="8"/>
        <v>2000</v>
      </c>
      <c r="AG21" s="2">
        <v>0</v>
      </c>
      <c r="AH21" s="2">
        <f>VLOOKUP(B21,'VNET-XF_dự kiến lần 2'!$B$2:$D$42,3,0)</f>
        <v>2000</v>
      </c>
      <c r="AI21" s="2"/>
      <c r="AJ21" s="2">
        <f t="shared" si="7"/>
        <v>0</v>
      </c>
    </row>
    <row r="22" spans="1:36" ht="60" x14ac:dyDescent="0.25">
      <c r="A22" s="1">
        <f t="shared" si="0"/>
        <v>16</v>
      </c>
      <c r="B22" s="1" t="str">
        <f t="shared" si="1"/>
        <v>M2x4mm</v>
      </c>
      <c r="C22" s="1" t="s">
        <v>185</v>
      </c>
      <c r="D22" s="7" t="str">
        <f t="shared" si="2"/>
        <v>BOX_CAM</v>
      </c>
      <c r="E22" s="7">
        <f t="shared" si="3"/>
        <v>0</v>
      </c>
      <c r="F22" s="7" t="str">
        <f t="shared" si="4"/>
        <v>BOM_CameraBox_2026-04-14 2205</v>
      </c>
      <c r="G22" s="20"/>
      <c r="H22" s="20" t="s">
        <v>183</v>
      </c>
      <c r="I22" s="23" t="s">
        <v>776</v>
      </c>
      <c r="J22" s="22"/>
      <c r="K22" s="19"/>
      <c r="L22" s="20"/>
      <c r="M22" s="20" t="s">
        <v>44</v>
      </c>
      <c r="N22" s="20">
        <v>1</v>
      </c>
      <c r="O22" s="20">
        <f t="shared" si="5"/>
        <v>500</v>
      </c>
      <c r="P22" s="20">
        <f t="shared" si="6"/>
        <v>500</v>
      </c>
      <c r="Q22" s="20" t="s">
        <v>789</v>
      </c>
      <c r="R22" s="20" t="s">
        <v>797</v>
      </c>
      <c r="S22" s="20"/>
      <c r="T22" s="1"/>
      <c r="U22" s="20" t="s">
        <v>38</v>
      </c>
      <c r="V22" s="1" t="s">
        <v>551</v>
      </c>
      <c r="W22" s="1" t="s">
        <v>550</v>
      </c>
      <c r="X22" s="1" t="s">
        <v>37</v>
      </c>
      <c r="Y22" s="1" t="s">
        <v>31</v>
      </c>
      <c r="Z22" s="1"/>
      <c r="AA22" s="20" t="s">
        <v>789</v>
      </c>
      <c r="AB22" s="26"/>
      <c r="AC22" s="20" t="s">
        <v>806</v>
      </c>
      <c r="AD22" s="27" t="s">
        <v>816</v>
      </c>
      <c r="AE22" s="2">
        <v>0</v>
      </c>
      <c r="AF22" s="2">
        <f t="shared" si="8"/>
        <v>500</v>
      </c>
      <c r="AG22" s="2">
        <v>0</v>
      </c>
      <c r="AH22" s="2">
        <f>VLOOKUP(B22,'VNET-XF_dự kiến lần 2'!$B$2:$D$42,3,0)</f>
        <v>500</v>
      </c>
      <c r="AI22" s="2"/>
      <c r="AJ22" s="2">
        <f t="shared" si="7"/>
        <v>0</v>
      </c>
    </row>
    <row r="23" spans="1:36" ht="45" x14ac:dyDescent="0.25">
      <c r="A23" s="1">
        <f t="shared" si="0"/>
        <v>17</v>
      </c>
      <c r="B23" s="1" t="str">
        <f t="shared" si="1"/>
        <v>M3</v>
      </c>
      <c r="C23" s="1" t="s">
        <v>185</v>
      </c>
      <c r="D23" s="7" t="str">
        <f t="shared" si="2"/>
        <v>BOX_CAM</v>
      </c>
      <c r="E23" s="7">
        <f t="shared" si="3"/>
        <v>0</v>
      </c>
      <c r="F23" s="7" t="str">
        <f t="shared" si="4"/>
        <v>BOM_CameraBox_2026-04-14 2205</v>
      </c>
      <c r="G23" s="20"/>
      <c r="H23" s="20" t="s">
        <v>183</v>
      </c>
      <c r="I23" s="23" t="s">
        <v>777</v>
      </c>
      <c r="J23" s="22"/>
      <c r="K23" s="19"/>
      <c r="L23" s="20"/>
      <c r="M23" s="20" t="s">
        <v>44</v>
      </c>
      <c r="N23" s="20">
        <v>4</v>
      </c>
      <c r="O23" s="20">
        <f t="shared" si="5"/>
        <v>500</v>
      </c>
      <c r="P23" s="20">
        <f t="shared" si="6"/>
        <v>2000</v>
      </c>
      <c r="Q23" s="20" t="s">
        <v>789</v>
      </c>
      <c r="R23" s="20" t="s">
        <v>798</v>
      </c>
      <c r="S23" s="20"/>
      <c r="T23" s="1"/>
      <c r="U23" s="20" t="s">
        <v>38</v>
      </c>
      <c r="V23" s="1" t="s">
        <v>551</v>
      </c>
      <c r="W23" s="1" t="s">
        <v>550</v>
      </c>
      <c r="X23" s="1" t="s">
        <v>37</v>
      </c>
      <c r="Y23" s="1" t="s">
        <v>31</v>
      </c>
      <c r="Z23" s="1"/>
      <c r="AA23" s="20" t="s">
        <v>789</v>
      </c>
      <c r="AB23" s="26"/>
      <c r="AC23" s="20" t="s">
        <v>807</v>
      </c>
      <c r="AD23" s="27" t="s">
        <v>816</v>
      </c>
      <c r="AE23" s="2">
        <v>0</v>
      </c>
      <c r="AF23" s="2">
        <f t="shared" si="8"/>
        <v>2000</v>
      </c>
      <c r="AG23" s="2">
        <v>0</v>
      </c>
      <c r="AH23" s="2">
        <f>VLOOKUP(B23,'VNET-XF_dự kiến lần 2'!$B$2:$D$42,3,0)</f>
        <v>2000</v>
      </c>
      <c r="AI23" s="2"/>
      <c r="AJ23" s="2">
        <f t="shared" si="7"/>
        <v>0</v>
      </c>
    </row>
    <row r="24" spans="1:36" ht="45" x14ac:dyDescent="0.25">
      <c r="A24" s="1">
        <f t="shared" si="0"/>
        <v>18</v>
      </c>
      <c r="B24" s="1" t="str">
        <f t="shared" si="1"/>
        <v>MAV-WH161</v>
      </c>
      <c r="C24" s="1" t="s">
        <v>185</v>
      </c>
      <c r="D24" s="7" t="str">
        <f t="shared" si="2"/>
        <v>BOX_CAM</v>
      </c>
      <c r="E24" s="7">
        <f t="shared" si="3"/>
        <v>0</v>
      </c>
      <c r="F24" s="7" t="str">
        <f t="shared" si="4"/>
        <v>BOM_CameraBox_2026-04-14 2205</v>
      </c>
      <c r="G24" s="23"/>
      <c r="H24" s="20" t="s">
        <v>180</v>
      </c>
      <c r="I24" s="23" t="s">
        <v>778</v>
      </c>
      <c r="J24" s="22"/>
      <c r="K24" s="19"/>
      <c r="L24" s="20"/>
      <c r="M24" s="20" t="s">
        <v>153</v>
      </c>
      <c r="N24" s="20">
        <v>0</v>
      </c>
      <c r="O24" s="20">
        <f t="shared" si="5"/>
        <v>500</v>
      </c>
      <c r="P24" s="20">
        <f t="shared" si="6"/>
        <v>0</v>
      </c>
      <c r="Q24" s="20" t="s">
        <v>789</v>
      </c>
      <c r="R24" s="20" t="s">
        <v>799</v>
      </c>
      <c r="S24" s="20"/>
      <c r="T24" s="1"/>
      <c r="U24" s="20" t="s">
        <v>40</v>
      </c>
      <c r="V24" s="1" t="s">
        <v>551</v>
      </c>
      <c r="W24" s="1" t="s">
        <v>550</v>
      </c>
      <c r="X24" s="1" t="s">
        <v>37</v>
      </c>
      <c r="Y24" s="1" t="s">
        <v>31</v>
      </c>
      <c r="Z24" s="1"/>
      <c r="AA24" s="20" t="s">
        <v>789</v>
      </c>
      <c r="AB24" s="26"/>
      <c r="AC24" s="20" t="s">
        <v>819</v>
      </c>
      <c r="AD24" s="28"/>
      <c r="AE24" s="2">
        <v>0</v>
      </c>
      <c r="AF24" s="2">
        <f t="shared" si="8"/>
        <v>0</v>
      </c>
      <c r="AG24" s="2">
        <v>0</v>
      </c>
      <c r="AH24" s="2"/>
      <c r="AI24" s="2"/>
      <c r="AJ24" s="2">
        <f t="shared" si="7"/>
        <v>0</v>
      </c>
    </row>
    <row r="25" spans="1:36" ht="45" x14ac:dyDescent="0.25">
      <c r="A25" s="1">
        <f t="shared" si="0"/>
        <v>19</v>
      </c>
      <c r="B25" s="1" t="str">
        <f t="shared" si="1"/>
        <v>L2464-24AWG-4C</v>
      </c>
      <c r="C25" s="1" t="s">
        <v>185</v>
      </c>
      <c r="D25" s="7" t="str">
        <f t="shared" si="2"/>
        <v>BOX_CAM</v>
      </c>
      <c r="E25" s="7">
        <f t="shared" si="3"/>
        <v>0</v>
      </c>
      <c r="F25" s="7" t="str">
        <f t="shared" si="4"/>
        <v>BOM_CameraBox_2026-04-14 2205</v>
      </c>
      <c r="G25" s="23"/>
      <c r="H25" s="20" t="s">
        <v>180</v>
      </c>
      <c r="I25" s="23" t="s">
        <v>779</v>
      </c>
      <c r="J25" s="22"/>
      <c r="K25" s="19"/>
      <c r="L25" s="20"/>
      <c r="M25" s="20" t="s">
        <v>153</v>
      </c>
      <c r="N25" s="20">
        <v>0</v>
      </c>
      <c r="O25" s="20">
        <f t="shared" si="5"/>
        <v>500</v>
      </c>
      <c r="P25" s="20">
        <f t="shared" si="6"/>
        <v>0</v>
      </c>
      <c r="Q25" s="20" t="s">
        <v>789</v>
      </c>
      <c r="R25" s="20" t="s">
        <v>800</v>
      </c>
      <c r="S25" s="20"/>
      <c r="T25" s="1"/>
      <c r="U25" s="20" t="s">
        <v>40</v>
      </c>
      <c r="V25" s="1" t="s">
        <v>551</v>
      </c>
      <c r="W25" s="1" t="s">
        <v>550</v>
      </c>
      <c r="X25" s="1" t="s">
        <v>37</v>
      </c>
      <c r="Y25" s="1" t="s">
        <v>31</v>
      </c>
      <c r="Z25" s="1"/>
      <c r="AA25" s="20" t="s">
        <v>789</v>
      </c>
      <c r="AB25" s="26"/>
      <c r="AC25" s="20" t="s">
        <v>819</v>
      </c>
      <c r="AD25" s="28"/>
      <c r="AE25" s="2">
        <v>3050</v>
      </c>
      <c r="AF25" s="2">
        <f t="shared" si="8"/>
        <v>-3050</v>
      </c>
      <c r="AG25" s="2">
        <v>0</v>
      </c>
      <c r="AH25" s="2"/>
      <c r="AI25" s="2"/>
      <c r="AJ25" s="2">
        <f t="shared" si="7"/>
        <v>0</v>
      </c>
    </row>
    <row r="26" spans="1:36" ht="45" x14ac:dyDescent="0.25">
      <c r="A26" s="1">
        <f t="shared" si="0"/>
        <v>20</v>
      </c>
      <c r="B26" s="1" t="str">
        <f t="shared" si="1"/>
        <v>GX12-2P (Cái)</v>
      </c>
      <c r="C26" s="1" t="s">
        <v>185</v>
      </c>
      <c r="D26" s="7" t="str">
        <f t="shared" si="2"/>
        <v>BOX_CAM</v>
      </c>
      <c r="E26" s="7">
        <f t="shared" si="3"/>
        <v>0</v>
      </c>
      <c r="F26" s="7" t="str">
        <f t="shared" si="4"/>
        <v>BOM_CameraBox_2026-04-14 2205</v>
      </c>
      <c r="G26" s="23"/>
      <c r="H26" s="20" t="s">
        <v>175</v>
      </c>
      <c r="I26" s="23" t="s">
        <v>780</v>
      </c>
      <c r="J26" s="22"/>
      <c r="K26" s="19"/>
      <c r="L26" s="20"/>
      <c r="M26" s="20" t="s">
        <v>44</v>
      </c>
      <c r="N26" s="20">
        <v>0</v>
      </c>
      <c r="O26" s="20">
        <f t="shared" si="5"/>
        <v>500</v>
      </c>
      <c r="P26" s="20">
        <f t="shared" si="6"/>
        <v>0</v>
      </c>
      <c r="Q26" s="20" t="s">
        <v>789</v>
      </c>
      <c r="R26" s="20" t="s">
        <v>801</v>
      </c>
      <c r="S26" s="20"/>
      <c r="T26" s="1"/>
      <c r="U26" s="20" t="s">
        <v>40</v>
      </c>
      <c r="V26" s="1" t="s">
        <v>551</v>
      </c>
      <c r="W26" s="1" t="s">
        <v>550</v>
      </c>
      <c r="X26" s="1" t="s">
        <v>37</v>
      </c>
      <c r="Y26" s="1" t="s">
        <v>31</v>
      </c>
      <c r="Z26" s="1"/>
      <c r="AA26" s="20" t="s">
        <v>789</v>
      </c>
      <c r="AB26" s="26"/>
      <c r="AC26" s="20" t="s">
        <v>819</v>
      </c>
      <c r="AD26" s="27" t="s">
        <v>816</v>
      </c>
      <c r="AE26" s="2">
        <v>0</v>
      </c>
      <c r="AF26" s="2">
        <f t="shared" si="8"/>
        <v>0</v>
      </c>
      <c r="AG26" s="2">
        <v>0</v>
      </c>
      <c r="AH26" s="2">
        <f>VLOOKUP(B26,'VNET-XF_dự kiến lần 2'!$B$2:$D$42,3,0)</f>
        <v>500</v>
      </c>
      <c r="AI26" s="2"/>
      <c r="AJ26" s="2">
        <f t="shared" si="7"/>
        <v>-500</v>
      </c>
    </row>
    <row r="27" spans="1:36" ht="60" x14ac:dyDescent="0.25">
      <c r="A27" s="1">
        <f t="shared" si="0"/>
        <v>21</v>
      </c>
      <c r="B27" s="1" t="str">
        <f t="shared" si="1"/>
        <v>Dow Corning 3140 RTV</v>
      </c>
      <c r="C27" s="1" t="s">
        <v>185</v>
      </c>
      <c r="D27" s="7" t="str">
        <f t="shared" si="2"/>
        <v>BOX_CAM</v>
      </c>
      <c r="E27" s="7">
        <f t="shared" si="3"/>
        <v>0</v>
      </c>
      <c r="F27" s="7" t="str">
        <f t="shared" si="4"/>
        <v>BOM_CameraBox_2026-04-14 2205</v>
      </c>
      <c r="G27" s="23"/>
      <c r="H27" s="20" t="s">
        <v>183</v>
      </c>
      <c r="I27" s="23" t="s">
        <v>812</v>
      </c>
      <c r="J27" s="22"/>
      <c r="K27" s="19"/>
      <c r="L27" s="20"/>
      <c r="M27" s="20" t="s">
        <v>44</v>
      </c>
      <c r="N27" s="20">
        <v>0.1</v>
      </c>
      <c r="O27" s="20">
        <f t="shared" si="5"/>
        <v>500</v>
      </c>
      <c r="P27" s="20">
        <f t="shared" si="6"/>
        <v>50</v>
      </c>
      <c r="Q27" s="20" t="s">
        <v>811</v>
      </c>
      <c r="R27" s="20" t="s">
        <v>820</v>
      </c>
      <c r="S27" s="20"/>
      <c r="T27" s="20"/>
      <c r="U27" s="20" t="s">
        <v>40</v>
      </c>
      <c r="V27" s="1" t="s">
        <v>551</v>
      </c>
      <c r="W27" s="1" t="s">
        <v>550</v>
      </c>
      <c r="X27" s="1" t="s">
        <v>37</v>
      </c>
      <c r="Y27" s="1" t="s">
        <v>31</v>
      </c>
      <c r="Z27" s="1"/>
      <c r="AA27" s="20" t="s">
        <v>789</v>
      </c>
      <c r="AB27" s="26"/>
      <c r="AC27" s="20" t="s">
        <v>815</v>
      </c>
      <c r="AD27" s="28"/>
      <c r="AE27" s="2">
        <v>0</v>
      </c>
      <c r="AF27" s="2">
        <f t="shared" ref="AF27" si="9">P27</f>
        <v>50</v>
      </c>
      <c r="AG27" s="2">
        <v>0</v>
      </c>
      <c r="AH27" s="2"/>
      <c r="AI27" s="2"/>
      <c r="AJ27" s="2">
        <f t="shared" si="7"/>
        <v>50</v>
      </c>
    </row>
  </sheetData>
  <autoFilter ref="A6:AJ27" xr:uid="{3BBD31AD-8055-43D7-8363-0A1CCA2276FB}"/>
  <mergeCells count="23">
    <mergeCell ref="AG5:AJ5"/>
    <mergeCell ref="A1:AD1"/>
    <mergeCell ref="A2:C2"/>
    <mergeCell ref="D2:H2"/>
    <mergeCell ref="J2:M2"/>
    <mergeCell ref="N2:P2"/>
    <mergeCell ref="Q2:T2"/>
    <mergeCell ref="U2:V2"/>
    <mergeCell ref="W2:Z2"/>
    <mergeCell ref="W3:Z3"/>
    <mergeCell ref="A4:C4"/>
    <mergeCell ref="D4:H4"/>
    <mergeCell ref="J4:M4"/>
    <mergeCell ref="N4:P4"/>
    <mergeCell ref="Q4:T4"/>
    <mergeCell ref="U4:V4"/>
    <mergeCell ref="W4:Z4"/>
    <mergeCell ref="A3:C3"/>
    <mergeCell ref="D3:H3"/>
    <mergeCell ref="J3:M3"/>
    <mergeCell ref="N3:P3"/>
    <mergeCell ref="Q3:T3"/>
    <mergeCell ref="U3:V3"/>
  </mergeCells>
  <conditionalFormatting sqref="I9:I13">
    <cfRule type="duplicateValues" dxfId="16" priority="9"/>
    <cfRule type="duplicateValues" dxfId="15" priority="10"/>
  </conditionalFormatting>
  <conditionalFormatting sqref="I14:I15">
    <cfRule type="duplicateValues" dxfId="14" priority="13"/>
    <cfRule type="duplicateValues" dxfId="13" priority="14"/>
  </conditionalFormatting>
  <conditionalFormatting sqref="I16:I20">
    <cfRule type="duplicateValues" dxfId="12" priority="11"/>
    <cfRule type="duplicateValues" dxfId="11" priority="12"/>
  </conditionalFormatting>
  <conditionalFormatting sqref="I21:I27">
    <cfRule type="duplicateValues" dxfId="10" priority="15"/>
    <cfRule type="duplicateValues" dxfId="9" priority="16"/>
  </conditionalFormatting>
  <conditionalFormatting sqref="R50:R1048576 R28 R6">
    <cfRule type="duplicateValues" dxfId="8" priority="38"/>
  </conditionalFormatting>
  <conditionalFormatting sqref="T28:T1048576 T6">
    <cfRule type="duplicateValues" dxfId="7" priority="37"/>
  </conditionalFormatting>
  <hyperlinks>
    <hyperlink ref="AD15" r:id="rId1" xr:uid="{E4256F91-F912-4B75-B51B-E521EF835FD1}"/>
    <hyperlink ref="AD17" r:id="rId2" xr:uid="{830A3839-1006-4853-A16C-8D6451E9CC56}"/>
    <hyperlink ref="AD19" r:id="rId3" xr:uid="{B038CC32-2F31-445C-B5D1-140BC646CFB3}"/>
    <hyperlink ref="AD20" r:id="rId4" xr:uid="{910FEDF9-0593-4489-8203-6A04F2C6C9F9}"/>
    <hyperlink ref="AD21" r:id="rId5" xr:uid="{24110F3E-3291-428A-9D2A-22E558A281FC}"/>
    <hyperlink ref="AD22" r:id="rId6" xr:uid="{BF722EAC-3A77-408D-84D9-F06FE2CA4F02}"/>
    <hyperlink ref="AD23" r:id="rId7" xr:uid="{C7901529-5637-4047-8319-57C8789F8AC6}"/>
    <hyperlink ref="AD26" r:id="rId8" xr:uid="{710866CD-8FDA-4D7A-98CA-314BF8F7E621}"/>
    <hyperlink ref="AD16" r:id="rId9" xr:uid="{9C5F18B6-AB1B-4A14-A325-9F15173079BB}"/>
    <hyperlink ref="AD13" r:id="rId10" xr:uid="{1CC1F348-C312-4E61-AF9F-077CFDC331A7}"/>
    <hyperlink ref="AD18" r:id="rId11" xr:uid="{FB4A0BEC-1791-4B55-9CED-C128EF3F4D4D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75F2A8D4-67B1-4DD7-97C6-4CF54843428D}">
          <x14:formula1>
            <xm:f>OFFSET(REF!$J$3,0,0,COUNTA(REF!$J:$J)-1)</xm:f>
          </x14:formula1>
          <xm:sqref>C7:C27</xm:sqref>
        </x14:dataValidation>
        <x14:dataValidation type="list" allowBlank="1" showInputMessage="1" showErrorMessage="1" xr:uid="{ED215E13-8858-482D-9B79-269324A13EA6}">
          <x14:formula1>
            <xm:f>OFFSET(REF!$K$3,0,0,COUNTA(REF!$K:$K)-1)</xm:f>
          </x14:formula1>
          <xm:sqref>H7:H27</xm:sqref>
        </x14:dataValidation>
        <x14:dataValidation type="list" allowBlank="1" showInputMessage="1" showErrorMessage="1" xr:uid="{8F997E14-C105-457C-8765-94C816062027}">
          <x14:formula1>
            <xm:f>OFFSET(REF!$M$3,0,0,COUNTA(REF!$M:$M)-1)</xm:f>
          </x14:formula1>
          <xm:sqref>L7:L27</xm:sqref>
        </x14:dataValidation>
        <x14:dataValidation type="list" allowBlank="1" showInputMessage="1" showErrorMessage="1" xr:uid="{D1AE2F88-BC41-4740-9F9F-2C60CF10AACB}">
          <x14:formula1>
            <xm:f>OFFSET(REF!$O$3,0,0,COUNTA(REF!$O:$O)-1)</xm:f>
          </x14:formula1>
          <xm:sqref>U7:U27</xm:sqref>
        </x14:dataValidation>
        <x14:dataValidation type="list" allowBlank="1" showInputMessage="1" showErrorMessage="1" xr:uid="{19DF5DF4-9A30-4659-A6F1-BDB1E646E331}">
          <x14:formula1>
            <xm:f>OFFSET(REF!$P$3,0,0,COUNTA(REF!$P:$P)-1)</xm:f>
          </x14:formula1>
          <xm:sqref>V7:V27</xm:sqref>
        </x14:dataValidation>
        <x14:dataValidation type="list" allowBlank="1" showInputMessage="1" showErrorMessage="1" xr:uid="{DF5D243A-5BB8-4647-9BCE-80F3C02FAD68}">
          <x14:formula1>
            <xm:f>OFFSET(REF!$Q$3,0,0,COUNTA(REF!$Q:$Q)-1)</xm:f>
          </x14:formula1>
          <xm:sqref>W7:W27</xm:sqref>
        </x14:dataValidation>
        <x14:dataValidation type="list" allowBlank="1" showInputMessage="1" showErrorMessage="1" xr:uid="{551FDFB5-88FE-474E-9EA9-5A6D09787D47}">
          <x14:formula1>
            <xm:f>OFFSET(REF!$R$3,0,0,COUNTA(REF!$R:$R)-1)</xm:f>
          </x14:formula1>
          <xm:sqref>X7:X27</xm:sqref>
        </x14:dataValidation>
        <x14:dataValidation type="list" allowBlank="1" showInputMessage="1" showErrorMessage="1" xr:uid="{D7CEEF14-C5E6-4EB7-BF6A-D04A6D25A32C}">
          <x14:formula1>
            <xm:f>OFFSET(REF!$S$3,0,0,COUNTA(REF!$S:$S)-1)</xm:f>
          </x14:formula1>
          <xm:sqref>Y7:Y27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025CD-ADCA-48F2-AE95-3B3CDAFC39B2}">
  <dimension ref="A1:AJ149"/>
  <sheetViews>
    <sheetView tabSelected="1" zoomScale="85" zoomScaleNormal="85" workbookViewId="0">
      <pane ySplit="6" topLeftCell="A74" activePane="bottomLeft" state="frozen"/>
      <selection pane="bottomLeft" activeCell="R77" sqref="R77"/>
    </sheetView>
  </sheetViews>
  <sheetFormatPr defaultColWidth="9.140625" defaultRowHeight="15" x14ac:dyDescent="0.25"/>
  <cols>
    <col min="1" max="1" width="9.140625" style="4"/>
    <col min="2" max="3" width="12.7109375" style="4" customWidth="1"/>
    <col min="4" max="6" width="12.5703125" style="4" customWidth="1"/>
    <col min="7" max="7" width="15.5703125" style="6" customWidth="1"/>
    <col min="8" max="8" width="15.5703125" style="4" customWidth="1"/>
    <col min="9" max="9" width="30.5703125" style="6" customWidth="1"/>
    <col min="10" max="16" width="9.5703125" style="4" customWidth="1"/>
    <col min="17" max="20" width="14.5703125" style="4" customWidth="1"/>
    <col min="21" max="27" width="12.5703125" style="4" customWidth="1"/>
    <col min="28" max="29" width="18.5703125" style="3" customWidth="1"/>
    <col min="30" max="30" width="36.5703125" style="3" customWidth="1"/>
    <col min="31" max="16384" width="9.140625" style="3"/>
  </cols>
  <sheetData>
    <row r="1" spans="1:36" s="11" customFormat="1" ht="21" customHeight="1" x14ac:dyDescent="0.25">
      <c r="A1" s="83" t="s">
        <v>187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30"/>
      <c r="AF1" s="30"/>
      <c r="AG1" s="30"/>
      <c r="AH1" s="30"/>
      <c r="AI1" s="30"/>
      <c r="AJ1" s="30"/>
    </row>
    <row r="2" spans="1:36" s="15" customFormat="1" ht="21" customHeight="1" x14ac:dyDescent="0.25">
      <c r="A2" s="79" t="s">
        <v>188</v>
      </c>
      <c r="B2" s="79"/>
      <c r="C2" s="79"/>
      <c r="D2" s="73" t="s">
        <v>553</v>
      </c>
      <c r="E2" s="74"/>
      <c r="F2" s="74"/>
      <c r="G2" s="74"/>
      <c r="H2" s="75"/>
      <c r="I2" s="16" t="s">
        <v>22</v>
      </c>
      <c r="J2" s="73" t="s">
        <v>555</v>
      </c>
      <c r="K2" s="74"/>
      <c r="L2" s="74"/>
      <c r="M2" s="75"/>
      <c r="N2" s="79" t="s">
        <v>190</v>
      </c>
      <c r="O2" s="79"/>
      <c r="P2" s="79"/>
      <c r="Q2" s="73" t="s">
        <v>200</v>
      </c>
      <c r="R2" s="74"/>
      <c r="S2" s="74"/>
      <c r="T2" s="75"/>
      <c r="U2" s="76" t="s">
        <v>170</v>
      </c>
      <c r="V2" s="78"/>
      <c r="W2" s="73" t="s">
        <v>554</v>
      </c>
      <c r="X2" s="74"/>
      <c r="Y2" s="74"/>
      <c r="Z2" s="75"/>
      <c r="AA2" s="14"/>
      <c r="AB2" s="13"/>
      <c r="AC2" s="13"/>
      <c r="AD2" s="13"/>
      <c r="AE2" s="13"/>
      <c r="AF2" s="13"/>
      <c r="AG2" s="13"/>
      <c r="AH2" s="13"/>
      <c r="AI2" s="13"/>
      <c r="AJ2" s="13"/>
    </row>
    <row r="3" spans="1:36" s="15" customFormat="1" ht="21" customHeight="1" x14ac:dyDescent="0.25">
      <c r="A3" s="76" t="s">
        <v>189</v>
      </c>
      <c r="B3" s="77"/>
      <c r="C3" s="78"/>
      <c r="D3" s="73" t="s">
        <v>553</v>
      </c>
      <c r="E3" s="74"/>
      <c r="F3" s="74"/>
      <c r="G3" s="74"/>
      <c r="H3" s="75"/>
      <c r="I3" s="16" t="s">
        <v>23</v>
      </c>
      <c r="J3" s="73" t="s">
        <v>826</v>
      </c>
      <c r="K3" s="74"/>
      <c r="L3" s="74"/>
      <c r="M3" s="75"/>
      <c r="N3" s="79" t="s">
        <v>191</v>
      </c>
      <c r="O3" s="79"/>
      <c r="P3" s="79"/>
      <c r="Q3" s="73" t="s">
        <v>199</v>
      </c>
      <c r="R3" s="74"/>
      <c r="S3" s="74"/>
      <c r="T3" s="75"/>
      <c r="U3" s="76" t="s">
        <v>194</v>
      </c>
      <c r="V3" s="78"/>
      <c r="W3" s="73"/>
      <c r="X3" s="74"/>
      <c r="Y3" s="74"/>
      <c r="Z3" s="75"/>
      <c r="AA3" s="14"/>
      <c r="AB3" s="13"/>
      <c r="AC3" s="13"/>
      <c r="AD3" s="13"/>
      <c r="AE3" s="13"/>
      <c r="AF3" s="13"/>
      <c r="AG3" s="13"/>
      <c r="AH3" s="13"/>
      <c r="AI3" s="13"/>
      <c r="AJ3" s="13"/>
    </row>
    <row r="4" spans="1:36" s="15" customFormat="1" ht="21" customHeight="1" x14ac:dyDescent="0.25">
      <c r="A4" s="76" t="s">
        <v>4</v>
      </c>
      <c r="B4" s="77"/>
      <c r="C4" s="78"/>
      <c r="D4" s="73" t="s">
        <v>552</v>
      </c>
      <c r="E4" s="74"/>
      <c r="F4" s="74"/>
      <c r="G4" s="74"/>
      <c r="H4" s="75"/>
      <c r="I4" s="16" t="s">
        <v>192</v>
      </c>
      <c r="J4" s="84">
        <v>500</v>
      </c>
      <c r="K4" s="85"/>
      <c r="L4" s="85"/>
      <c r="M4" s="86"/>
      <c r="N4" s="79" t="s">
        <v>196</v>
      </c>
      <c r="O4" s="79"/>
      <c r="P4" s="79"/>
      <c r="Q4" s="87">
        <v>46168</v>
      </c>
      <c r="R4" s="88"/>
      <c r="S4" s="88"/>
      <c r="T4" s="89"/>
      <c r="U4" s="76" t="s">
        <v>193</v>
      </c>
      <c r="V4" s="78"/>
      <c r="W4" s="73"/>
      <c r="X4" s="74"/>
      <c r="Y4" s="74"/>
      <c r="Z4" s="75"/>
      <c r="AA4" s="14"/>
      <c r="AB4" s="13"/>
      <c r="AC4" s="13"/>
      <c r="AD4" s="13"/>
      <c r="AE4" s="13"/>
      <c r="AF4" s="13"/>
      <c r="AG4" s="13"/>
      <c r="AH4" s="13"/>
      <c r="AI4" s="13"/>
      <c r="AJ4" s="13"/>
    </row>
    <row r="5" spans="1:36" ht="21" customHeight="1" x14ac:dyDescent="0.25">
      <c r="A5" s="12"/>
      <c r="B5" s="12">
        <v>6</v>
      </c>
      <c r="C5" s="12" t="s">
        <v>198</v>
      </c>
      <c r="D5" s="12" t="s">
        <v>195</v>
      </c>
      <c r="E5" s="12" t="s">
        <v>195</v>
      </c>
      <c r="F5" s="12" t="s">
        <v>195</v>
      </c>
      <c r="G5" s="12" t="s">
        <v>197</v>
      </c>
      <c r="H5" s="12" t="s">
        <v>198</v>
      </c>
      <c r="I5" s="12" t="s">
        <v>197</v>
      </c>
      <c r="J5" s="12" t="s">
        <v>197</v>
      </c>
      <c r="K5" s="12" t="s">
        <v>198</v>
      </c>
      <c r="L5" s="12" t="s">
        <v>198</v>
      </c>
      <c r="M5" s="12"/>
      <c r="N5" s="12" t="s">
        <v>197</v>
      </c>
      <c r="O5" s="12" t="s">
        <v>195</v>
      </c>
      <c r="P5" s="12" t="s">
        <v>195</v>
      </c>
      <c r="Q5" s="12" t="s">
        <v>197</v>
      </c>
      <c r="R5" s="12" t="s">
        <v>197</v>
      </c>
      <c r="S5" s="12" t="s">
        <v>197</v>
      </c>
      <c r="T5" s="12" t="s">
        <v>197</v>
      </c>
      <c r="U5" s="12" t="s">
        <v>198</v>
      </c>
      <c r="V5" s="12" t="s">
        <v>198</v>
      </c>
      <c r="W5" s="12" t="s">
        <v>198</v>
      </c>
      <c r="X5" s="12" t="s">
        <v>198</v>
      </c>
      <c r="Y5" s="12" t="s">
        <v>198</v>
      </c>
      <c r="Z5" s="12"/>
      <c r="AA5" s="12" t="s">
        <v>197</v>
      </c>
      <c r="AB5" s="12"/>
      <c r="AC5" s="12"/>
      <c r="AD5" s="12"/>
      <c r="AE5" s="2"/>
      <c r="AF5" s="2"/>
      <c r="AG5" s="80" t="s">
        <v>839</v>
      </c>
      <c r="AH5" s="81"/>
      <c r="AI5" s="81"/>
      <c r="AJ5" s="82"/>
    </row>
    <row r="6" spans="1:36" s="10" customFormat="1" ht="51" x14ac:dyDescent="0.25">
      <c r="A6" s="5" t="s">
        <v>0</v>
      </c>
      <c r="B6" s="5" t="s">
        <v>825</v>
      </c>
      <c r="C6" s="5" t="s">
        <v>3</v>
      </c>
      <c r="D6" s="5" t="s">
        <v>4</v>
      </c>
      <c r="E6" s="5" t="s">
        <v>22</v>
      </c>
      <c r="F6" s="5" t="s">
        <v>23</v>
      </c>
      <c r="G6" s="5" t="s">
        <v>1</v>
      </c>
      <c r="H6" s="5" t="s">
        <v>2</v>
      </c>
      <c r="I6" s="5" t="s">
        <v>5</v>
      </c>
      <c r="J6" s="5" t="s">
        <v>6</v>
      </c>
      <c r="K6" s="5" t="s">
        <v>7</v>
      </c>
      <c r="L6" s="5" t="s">
        <v>27</v>
      </c>
      <c r="M6" s="5" t="s">
        <v>13</v>
      </c>
      <c r="N6" s="5" t="s">
        <v>12</v>
      </c>
      <c r="O6" s="5" t="s">
        <v>14</v>
      </c>
      <c r="P6" s="5" t="s">
        <v>17</v>
      </c>
      <c r="Q6" s="5" t="s">
        <v>25</v>
      </c>
      <c r="R6" s="5" t="s">
        <v>10</v>
      </c>
      <c r="S6" s="5" t="s">
        <v>26</v>
      </c>
      <c r="T6" s="5" t="s">
        <v>11</v>
      </c>
      <c r="U6" s="5" t="s">
        <v>29</v>
      </c>
      <c r="V6" s="5" t="s">
        <v>41</v>
      </c>
      <c r="W6" s="5" t="s">
        <v>43</v>
      </c>
      <c r="X6" s="5" t="s">
        <v>34</v>
      </c>
      <c r="Y6" s="5" t="s">
        <v>30</v>
      </c>
      <c r="Z6" s="5" t="s">
        <v>18</v>
      </c>
      <c r="AA6" s="5" t="s">
        <v>19</v>
      </c>
      <c r="AB6" s="5" t="s">
        <v>16</v>
      </c>
      <c r="AC6" s="5" t="s">
        <v>20</v>
      </c>
      <c r="AD6" s="5" t="s">
        <v>15</v>
      </c>
      <c r="AE6" s="5" t="s">
        <v>823</v>
      </c>
      <c r="AF6" s="5" t="s">
        <v>824</v>
      </c>
      <c r="AG6" s="38" t="s">
        <v>831</v>
      </c>
      <c r="AH6" s="38" t="s">
        <v>847</v>
      </c>
      <c r="AI6" s="38" t="s">
        <v>832</v>
      </c>
      <c r="AJ6" s="38" t="s">
        <v>833</v>
      </c>
    </row>
    <row r="7" spans="1:36" ht="60" x14ac:dyDescent="0.25">
      <c r="A7" s="1">
        <f>ROW()-6</f>
        <v>1</v>
      </c>
      <c r="B7" s="1" t="str">
        <f>R7</f>
        <v>XS9922B</v>
      </c>
      <c r="C7" s="1" t="s">
        <v>21</v>
      </c>
      <c r="D7" s="7" t="str">
        <f>$D$4</f>
        <v>Board RK3562</v>
      </c>
      <c r="E7" s="7" t="str">
        <f>$J$2</f>
        <v>Gerber_CAMBOX_RK3562_lot500_2505</v>
      </c>
      <c r="F7" s="7" t="str">
        <f>$J$3</f>
        <v>BOM_CameraBox_2026-04-14 2205</v>
      </c>
      <c r="G7" s="1" t="s">
        <v>556</v>
      </c>
      <c r="H7" s="1" t="s">
        <v>167</v>
      </c>
      <c r="I7" s="1" t="s">
        <v>625</v>
      </c>
      <c r="J7" s="1"/>
      <c r="K7" s="1" t="s">
        <v>8</v>
      </c>
      <c r="L7" s="1" t="s">
        <v>28</v>
      </c>
      <c r="M7" s="1" t="s">
        <v>44</v>
      </c>
      <c r="N7" s="1">
        <v>1</v>
      </c>
      <c r="O7" s="7">
        <f>$J$4</f>
        <v>500</v>
      </c>
      <c r="P7" s="7">
        <f>IF($N7="","",$N7*$O7)</f>
        <v>500</v>
      </c>
      <c r="Q7" s="20" t="s">
        <v>657</v>
      </c>
      <c r="R7" s="20" t="s">
        <v>658</v>
      </c>
      <c r="S7" s="1"/>
      <c r="T7" s="1"/>
      <c r="U7" s="1" t="s">
        <v>38</v>
      </c>
      <c r="V7" s="1" t="s">
        <v>42</v>
      </c>
      <c r="W7" s="1" t="s">
        <v>549</v>
      </c>
      <c r="X7" s="1" t="s">
        <v>37</v>
      </c>
      <c r="Y7" s="1" t="s">
        <v>31</v>
      </c>
      <c r="Z7" s="1"/>
      <c r="AA7" s="20" t="s">
        <v>657</v>
      </c>
      <c r="AB7" s="2"/>
      <c r="AC7" s="1"/>
      <c r="AD7" s="2"/>
      <c r="AE7" s="2">
        <f>VLOOKUP(R7,'[1]VNSH03 gia thanh sx '!$F$6:$G$171,2,0)</f>
        <v>500</v>
      </c>
      <c r="AF7" s="2">
        <f>P7-AE7</f>
        <v>0</v>
      </c>
      <c r="AG7" s="2">
        <f>IF(VLOOKUP(R7,'VNET-XF-2105'!$B$12:$D$145,3,0)&gt;=P7,P7,VLOOKUP(R7,'VNET-XF-2105'!$B$12:$D$145,3,0))</f>
        <v>489</v>
      </c>
      <c r="AH7" s="2"/>
      <c r="AI7" s="2"/>
      <c r="AJ7" s="2">
        <f>P7-SUM(AG7:AI7)</f>
        <v>11</v>
      </c>
    </row>
    <row r="8" spans="1:36" ht="60" x14ac:dyDescent="0.25">
      <c r="A8" s="1">
        <f t="shared" ref="A8:A71" si="0">ROW()-6</f>
        <v>2</v>
      </c>
      <c r="B8" s="1" t="str">
        <f t="shared" ref="B8:B71" si="1">R8</f>
        <v>TannhietSOM</v>
      </c>
      <c r="C8" s="1" t="s">
        <v>21</v>
      </c>
      <c r="D8" s="7" t="str">
        <f t="shared" ref="D8:D71" si="2">$D$4</f>
        <v>Board RK3562</v>
      </c>
      <c r="E8" s="7" t="str">
        <f t="shared" ref="E8:E71" si="3">$J$2</f>
        <v>Gerber_CAMBOX_RK3562_lot500_2505</v>
      </c>
      <c r="F8" s="7" t="str">
        <f t="shared" ref="F8:F71" si="4">$J$3</f>
        <v>BOM_CameraBox_2026-04-14 2205</v>
      </c>
      <c r="G8" s="1" t="s">
        <v>557</v>
      </c>
      <c r="H8" s="1" t="s">
        <v>733</v>
      </c>
      <c r="I8" s="1" t="s">
        <v>626</v>
      </c>
      <c r="J8" s="1"/>
      <c r="K8" s="1" t="s">
        <v>656</v>
      </c>
      <c r="L8" s="1" t="s">
        <v>28</v>
      </c>
      <c r="M8" s="1" t="s">
        <v>44</v>
      </c>
      <c r="N8" s="1">
        <v>1</v>
      </c>
      <c r="O8" s="7">
        <f t="shared" ref="O8:O71" si="5">$J$4</f>
        <v>500</v>
      </c>
      <c r="P8" s="7">
        <f t="shared" ref="P8:P38" si="6">IF($N8="","",$N8*$O8)</f>
        <v>500</v>
      </c>
      <c r="Q8" s="1" t="s">
        <v>659</v>
      </c>
      <c r="R8" s="1" t="s">
        <v>660</v>
      </c>
      <c r="S8" s="1"/>
      <c r="T8" s="1"/>
      <c r="U8" s="1" t="s">
        <v>38</v>
      </c>
      <c r="V8" s="1" t="s">
        <v>551</v>
      </c>
      <c r="W8" s="1" t="s">
        <v>550</v>
      </c>
      <c r="X8" s="1" t="s">
        <v>37</v>
      </c>
      <c r="Y8" s="1" t="s">
        <v>31</v>
      </c>
      <c r="Z8" s="1"/>
      <c r="AA8" s="1" t="s">
        <v>24</v>
      </c>
      <c r="AB8" s="2"/>
      <c r="AC8" s="1" t="s">
        <v>822</v>
      </c>
      <c r="AD8" s="2"/>
      <c r="AE8" s="2">
        <f>VLOOKUP(R8,'[1]VNSH03 gia thanh sx '!$F$6:$G$171,2,0)</f>
        <v>500</v>
      </c>
      <c r="AF8" s="2">
        <f>P8-AE8</f>
        <v>0</v>
      </c>
      <c r="AG8" s="2"/>
      <c r="AH8" s="2">
        <f>IF(VLOOKUP(R8,'VNET-XF_dự kiến lần 2'!$B$2:$D$42,3,0)&gt;=(P8-AG8),(P8-AG8),VLOOKUP(R8,'VNET-XF_dự kiến lần 2'!$B$2:$D$42,3,0))</f>
        <v>500</v>
      </c>
      <c r="AI8" s="2"/>
      <c r="AJ8" s="2">
        <f t="shared" ref="AJ8:AJ71" si="7">P8-SUM(AG8:AI8)</f>
        <v>0</v>
      </c>
    </row>
    <row r="9" spans="1:36" ht="60" x14ac:dyDescent="0.25">
      <c r="A9" s="1">
        <f t="shared" si="0"/>
        <v>3</v>
      </c>
      <c r="B9" s="1" t="str">
        <f t="shared" si="1"/>
        <v>RK3562</v>
      </c>
      <c r="C9" s="1" t="s">
        <v>21</v>
      </c>
      <c r="D9" s="7" t="str">
        <f t="shared" si="2"/>
        <v>Board RK3562</v>
      </c>
      <c r="E9" s="7" t="str">
        <f t="shared" si="3"/>
        <v>Gerber_CAMBOX_RK3562_lot500_2505</v>
      </c>
      <c r="F9" s="7" t="str">
        <f t="shared" si="4"/>
        <v>BOM_CameraBox_2026-04-14 2205</v>
      </c>
      <c r="G9" s="1" t="s">
        <v>558</v>
      </c>
      <c r="H9" s="1" t="s">
        <v>167</v>
      </c>
      <c r="I9" s="1" t="s">
        <v>627</v>
      </c>
      <c r="J9" s="1"/>
      <c r="K9" s="1" t="s">
        <v>8</v>
      </c>
      <c r="L9" s="1" t="s">
        <v>28</v>
      </c>
      <c r="M9" s="1" t="s">
        <v>44</v>
      </c>
      <c r="N9" s="1">
        <v>1</v>
      </c>
      <c r="O9" s="7">
        <f t="shared" si="5"/>
        <v>500</v>
      </c>
      <c r="P9" s="7">
        <f t="shared" si="6"/>
        <v>500</v>
      </c>
      <c r="Q9" s="20" t="s">
        <v>661</v>
      </c>
      <c r="R9" s="20" t="s">
        <v>662</v>
      </c>
      <c r="S9" s="1"/>
      <c r="T9" s="1"/>
      <c r="U9" s="1" t="s">
        <v>38</v>
      </c>
      <c r="V9" s="1" t="s">
        <v>42</v>
      </c>
      <c r="W9" s="1" t="s">
        <v>549</v>
      </c>
      <c r="X9" s="1" t="s">
        <v>37</v>
      </c>
      <c r="Y9" s="1" t="s">
        <v>31</v>
      </c>
      <c r="Z9" s="1"/>
      <c r="AA9" s="20" t="s">
        <v>661</v>
      </c>
      <c r="AB9" s="2"/>
      <c r="AC9" s="1"/>
      <c r="AD9" s="2"/>
      <c r="AE9" s="2">
        <f>VLOOKUP(R9,'[1]VNSH03 gia thanh sx '!$F$6:$G$171,2,0)</f>
        <v>500</v>
      </c>
      <c r="AF9" s="2">
        <f t="shared" ref="AF9:AF72" si="8">P9-AE9</f>
        <v>0</v>
      </c>
      <c r="AG9" s="2">
        <f>IF(VLOOKUP(R9,'VNET-XF-2105'!$B$12:$D$145,3,0)&gt;=P9,P9,VLOOKUP(R9,'VNET-XF-2105'!$B$12:$D$145,3,0))</f>
        <v>488</v>
      </c>
      <c r="AH9" s="2"/>
      <c r="AI9" s="2"/>
      <c r="AJ9" s="2">
        <f t="shared" si="7"/>
        <v>12</v>
      </c>
    </row>
    <row r="10" spans="1:36" ht="60" x14ac:dyDescent="0.25">
      <c r="A10" s="1">
        <f t="shared" si="0"/>
        <v>4</v>
      </c>
      <c r="B10" s="1" t="str">
        <f t="shared" si="1"/>
        <v>RVT1C471M0810</v>
      </c>
      <c r="C10" s="1" t="s">
        <v>21</v>
      </c>
      <c r="D10" s="7" t="str">
        <f t="shared" si="2"/>
        <v>Board RK3562</v>
      </c>
      <c r="E10" s="7" t="str">
        <f t="shared" si="3"/>
        <v>Gerber_CAMBOX_RK3562_lot500_2505</v>
      </c>
      <c r="F10" s="7" t="str">
        <f t="shared" si="4"/>
        <v>BOM_CameraBox_2026-04-14 2205</v>
      </c>
      <c r="G10" s="1" t="s">
        <v>225</v>
      </c>
      <c r="H10" s="1" t="s">
        <v>149</v>
      </c>
      <c r="I10" s="1" t="s">
        <v>313</v>
      </c>
      <c r="J10" s="1"/>
      <c r="K10" s="1" t="s">
        <v>8</v>
      </c>
      <c r="L10" s="1" t="s">
        <v>28</v>
      </c>
      <c r="M10" s="1" t="s">
        <v>44</v>
      </c>
      <c r="N10" s="1">
        <v>1</v>
      </c>
      <c r="O10" s="7">
        <f t="shared" si="5"/>
        <v>500</v>
      </c>
      <c r="P10" s="7">
        <f t="shared" si="6"/>
        <v>500</v>
      </c>
      <c r="Q10" s="20" t="s">
        <v>459</v>
      </c>
      <c r="R10" s="20" t="s">
        <v>460</v>
      </c>
      <c r="S10" s="1"/>
      <c r="T10" s="1"/>
      <c r="U10" s="1" t="s">
        <v>38</v>
      </c>
      <c r="V10" s="1" t="s">
        <v>551</v>
      </c>
      <c r="W10" s="1" t="s">
        <v>550</v>
      </c>
      <c r="X10" s="1" t="s">
        <v>37</v>
      </c>
      <c r="Y10" s="1" t="s">
        <v>31</v>
      </c>
      <c r="Z10" s="1"/>
      <c r="AA10" s="1" t="s">
        <v>24</v>
      </c>
      <c r="AB10" s="2"/>
      <c r="AC10" s="1" t="s">
        <v>705</v>
      </c>
      <c r="AD10" s="2"/>
      <c r="AE10" s="2">
        <f>VLOOKUP(R10,'[1]VNSH03 gia thanh sx '!$F$6:$G$171,2,0)</f>
        <v>500</v>
      </c>
      <c r="AF10" s="2">
        <f t="shared" si="8"/>
        <v>0</v>
      </c>
      <c r="AG10" s="2"/>
      <c r="AH10" s="2"/>
      <c r="AI10" s="2"/>
      <c r="AJ10" s="2">
        <f t="shared" si="7"/>
        <v>500</v>
      </c>
    </row>
    <row r="11" spans="1:36" ht="60" x14ac:dyDescent="0.25">
      <c r="A11" s="1">
        <f t="shared" si="0"/>
        <v>5</v>
      </c>
      <c r="B11" s="1" t="str">
        <f t="shared" si="1"/>
        <v>C0603X5R105K500NT</v>
      </c>
      <c r="C11" s="1" t="s">
        <v>21</v>
      </c>
      <c r="D11" s="7" t="str">
        <f t="shared" si="2"/>
        <v>Board RK3562</v>
      </c>
      <c r="E11" s="7" t="str">
        <f t="shared" si="3"/>
        <v>Gerber_CAMBOX_RK3562_lot500_2505</v>
      </c>
      <c r="F11" s="7" t="str">
        <f t="shared" si="4"/>
        <v>BOM_CameraBox_2026-04-14 2205</v>
      </c>
      <c r="G11" s="1" t="s">
        <v>559</v>
      </c>
      <c r="H11" s="1" t="s">
        <v>149</v>
      </c>
      <c r="I11" s="1" t="s">
        <v>305</v>
      </c>
      <c r="J11" s="17" t="s">
        <v>386</v>
      </c>
      <c r="K11" s="1" t="s">
        <v>8</v>
      </c>
      <c r="L11" s="1" t="s">
        <v>28</v>
      </c>
      <c r="M11" s="1" t="s">
        <v>44</v>
      </c>
      <c r="N11" s="1">
        <v>6</v>
      </c>
      <c r="O11" s="7">
        <f t="shared" si="5"/>
        <v>500</v>
      </c>
      <c r="P11" s="7">
        <f t="shared" si="6"/>
        <v>3000</v>
      </c>
      <c r="Q11" s="20" t="s">
        <v>401</v>
      </c>
      <c r="R11" s="20" t="s">
        <v>450</v>
      </c>
      <c r="S11" s="1"/>
      <c r="T11" s="1"/>
      <c r="U11" s="1" t="s">
        <v>38</v>
      </c>
      <c r="V11" s="1" t="s">
        <v>551</v>
      </c>
      <c r="W11" s="1" t="s">
        <v>550</v>
      </c>
      <c r="X11" s="1" t="s">
        <v>37</v>
      </c>
      <c r="Y11" s="1" t="s">
        <v>31</v>
      </c>
      <c r="Z11" s="1"/>
      <c r="AA11" s="1" t="s">
        <v>24</v>
      </c>
      <c r="AB11" s="2"/>
      <c r="AC11" s="1" t="s">
        <v>706</v>
      </c>
      <c r="AD11" s="2"/>
      <c r="AE11" s="2">
        <f>VLOOKUP(R11,'[1]VNSH03 gia thanh sx '!$F$6:$G$171,2,0)</f>
        <v>2500</v>
      </c>
      <c r="AF11" s="2">
        <f t="shared" si="8"/>
        <v>500</v>
      </c>
      <c r="AG11" s="2"/>
      <c r="AH11" s="2">
        <f>IF(VLOOKUP(R11,'VNET-XF_dự kiến lần 2'!$B$2:$D$42,3,0)&gt;=(P11-AG11),(P11-AG11),VLOOKUP(R11,'VNET-XF_dự kiến lần 2'!$B$2:$D$42,3,0))</f>
        <v>3000</v>
      </c>
      <c r="AI11" s="2"/>
      <c r="AJ11" s="2">
        <f t="shared" si="7"/>
        <v>0</v>
      </c>
    </row>
    <row r="12" spans="1:36" ht="60" x14ac:dyDescent="0.25">
      <c r="A12" s="1">
        <f t="shared" si="0"/>
        <v>6</v>
      </c>
      <c r="B12" s="1" t="str">
        <f t="shared" si="1"/>
        <v>CC1206KKX7R0BB104</v>
      </c>
      <c r="C12" s="1" t="s">
        <v>21</v>
      </c>
      <c r="D12" s="7" t="str">
        <f t="shared" si="2"/>
        <v>Board RK3562</v>
      </c>
      <c r="E12" s="7" t="str">
        <f t="shared" si="3"/>
        <v>Gerber_CAMBOX_RK3562_lot500_2505</v>
      </c>
      <c r="F12" s="7" t="str">
        <f t="shared" si="4"/>
        <v>BOM_CameraBox_2026-04-14 2205</v>
      </c>
      <c r="G12" s="1" t="s">
        <v>228</v>
      </c>
      <c r="H12" s="1" t="s">
        <v>149</v>
      </c>
      <c r="I12" s="1" t="s">
        <v>320</v>
      </c>
      <c r="J12" s="17" t="s">
        <v>389</v>
      </c>
      <c r="K12" s="1" t="s">
        <v>8</v>
      </c>
      <c r="L12" s="1" t="s">
        <v>28</v>
      </c>
      <c r="M12" s="1" t="s">
        <v>44</v>
      </c>
      <c r="N12" s="1">
        <v>2</v>
      </c>
      <c r="O12" s="7">
        <f t="shared" si="5"/>
        <v>500</v>
      </c>
      <c r="P12" s="7">
        <f t="shared" si="6"/>
        <v>1000</v>
      </c>
      <c r="Q12" s="20" t="s">
        <v>433</v>
      </c>
      <c r="R12" s="20" t="s">
        <v>471</v>
      </c>
      <c r="S12" s="1"/>
      <c r="T12" s="1"/>
      <c r="U12" s="1" t="s">
        <v>38</v>
      </c>
      <c r="V12" s="1" t="s">
        <v>551</v>
      </c>
      <c r="W12" s="1" t="s">
        <v>550</v>
      </c>
      <c r="X12" s="1" t="s">
        <v>37</v>
      </c>
      <c r="Y12" s="1" t="s">
        <v>31</v>
      </c>
      <c r="Z12" s="1"/>
      <c r="AA12" s="1" t="s">
        <v>24</v>
      </c>
      <c r="AB12" s="2"/>
      <c r="AC12" s="1"/>
      <c r="AD12" s="2"/>
      <c r="AE12" s="2">
        <f>VLOOKUP(R12,'[1]VNSH03 gia thanh sx '!$F$6:$G$171,2,0)</f>
        <v>1000</v>
      </c>
      <c r="AF12" s="2">
        <f t="shared" si="8"/>
        <v>0</v>
      </c>
      <c r="AG12" s="2">
        <f>IF(VLOOKUP(R12,'VNET-XF-2105'!$B$12:$D$145,3,0)&gt;=P12,P12,VLOOKUP(R12,'VNET-XF-2105'!$B$12:$D$145,3,0))</f>
        <v>990</v>
      </c>
      <c r="AH12" s="2"/>
      <c r="AI12" s="2"/>
      <c r="AJ12" s="2">
        <f t="shared" si="7"/>
        <v>10</v>
      </c>
    </row>
    <row r="13" spans="1:36" ht="60" x14ac:dyDescent="0.25">
      <c r="A13" s="1">
        <f t="shared" si="0"/>
        <v>7</v>
      </c>
      <c r="B13" s="1" t="str">
        <f t="shared" si="1"/>
        <v>RVT2A100M0605</v>
      </c>
      <c r="C13" s="1" t="s">
        <v>21</v>
      </c>
      <c r="D13" s="7" t="str">
        <f t="shared" si="2"/>
        <v>Board RK3562</v>
      </c>
      <c r="E13" s="7" t="str">
        <f t="shared" si="3"/>
        <v>Gerber_CAMBOX_RK3562_lot500_2505</v>
      </c>
      <c r="F13" s="7" t="str">
        <f t="shared" si="4"/>
        <v>BOM_CameraBox_2026-04-14 2205</v>
      </c>
      <c r="G13" s="1" t="s">
        <v>229</v>
      </c>
      <c r="H13" s="1" t="s">
        <v>149</v>
      </c>
      <c r="I13" s="1" t="s">
        <v>321</v>
      </c>
      <c r="J13" s="17"/>
      <c r="K13" s="1" t="s">
        <v>8</v>
      </c>
      <c r="L13" s="1" t="s">
        <v>28</v>
      </c>
      <c r="M13" s="1" t="s">
        <v>44</v>
      </c>
      <c r="N13" s="1">
        <v>2</v>
      </c>
      <c r="O13" s="7">
        <f t="shared" si="5"/>
        <v>500</v>
      </c>
      <c r="P13" s="7">
        <f t="shared" si="6"/>
        <v>1000</v>
      </c>
      <c r="Q13" s="20" t="s">
        <v>459</v>
      </c>
      <c r="R13" s="20" t="s">
        <v>472</v>
      </c>
      <c r="S13" s="1"/>
      <c r="T13" s="1"/>
      <c r="U13" s="1" t="s">
        <v>38</v>
      </c>
      <c r="V13" s="1" t="s">
        <v>551</v>
      </c>
      <c r="W13" s="1" t="s">
        <v>550</v>
      </c>
      <c r="X13" s="1" t="s">
        <v>37</v>
      </c>
      <c r="Y13" s="1" t="s">
        <v>31</v>
      </c>
      <c r="Z13" s="1"/>
      <c r="AA13" s="1" t="s">
        <v>24</v>
      </c>
      <c r="AB13" s="2"/>
      <c r="AC13" s="1"/>
      <c r="AD13" s="2"/>
      <c r="AE13" s="2">
        <f>VLOOKUP(R13,'[1]VNSH03 gia thanh sx '!$F$6:$G$171,2,0)</f>
        <v>1000</v>
      </c>
      <c r="AF13" s="2">
        <f t="shared" si="8"/>
        <v>0</v>
      </c>
      <c r="AG13" s="2">
        <f>IF(VLOOKUP(R13,'VNET-XF-2105'!$B$12:$D$145,3,0)&gt;=P13,P13,VLOOKUP(R13,'VNET-XF-2105'!$B$12:$D$145,3,0))</f>
        <v>990</v>
      </c>
      <c r="AH13" s="2"/>
      <c r="AI13" s="2"/>
      <c r="AJ13" s="2">
        <f t="shared" si="7"/>
        <v>10</v>
      </c>
    </row>
    <row r="14" spans="1:36" ht="60" x14ac:dyDescent="0.25">
      <c r="A14" s="1">
        <f t="shared" si="0"/>
        <v>8</v>
      </c>
      <c r="B14" s="1" t="str">
        <f t="shared" si="1"/>
        <v>CS3225X7R106K500NRL</v>
      </c>
      <c r="C14" s="1" t="s">
        <v>21</v>
      </c>
      <c r="D14" s="7" t="str">
        <f t="shared" si="2"/>
        <v>Board RK3562</v>
      </c>
      <c r="E14" s="7" t="str">
        <f t="shared" si="3"/>
        <v>Gerber_CAMBOX_RK3562_lot500_2505</v>
      </c>
      <c r="F14" s="7" t="str">
        <f t="shared" si="4"/>
        <v>BOM_CameraBox_2026-04-14 2205</v>
      </c>
      <c r="G14" s="1" t="s">
        <v>560</v>
      </c>
      <c r="H14" s="1" t="s">
        <v>149</v>
      </c>
      <c r="I14" s="1" t="s">
        <v>279</v>
      </c>
      <c r="J14" s="17" t="s">
        <v>730</v>
      </c>
      <c r="K14" s="1" t="s">
        <v>8</v>
      </c>
      <c r="L14" s="1" t="s">
        <v>28</v>
      </c>
      <c r="M14" s="1" t="s">
        <v>44</v>
      </c>
      <c r="N14" s="1">
        <v>5</v>
      </c>
      <c r="O14" s="7">
        <f t="shared" si="5"/>
        <v>500</v>
      </c>
      <c r="P14" s="7">
        <f t="shared" si="6"/>
        <v>2500</v>
      </c>
      <c r="Q14" s="20" t="s">
        <v>406</v>
      </c>
      <c r="R14" s="20" t="s">
        <v>407</v>
      </c>
      <c r="S14" s="1"/>
      <c r="T14" s="1"/>
      <c r="U14" s="1" t="s">
        <v>38</v>
      </c>
      <c r="V14" s="1" t="s">
        <v>551</v>
      </c>
      <c r="W14" s="1" t="s">
        <v>550</v>
      </c>
      <c r="X14" s="1" t="s">
        <v>37</v>
      </c>
      <c r="Y14" s="1" t="s">
        <v>31</v>
      </c>
      <c r="Z14" s="1"/>
      <c r="AA14" s="1" t="s">
        <v>24</v>
      </c>
      <c r="AB14" s="2"/>
      <c r="AC14" s="1"/>
      <c r="AD14" s="2"/>
      <c r="AE14" s="2">
        <f>VLOOKUP(R14,'[1]VNSH03 gia thanh sx '!$F$6:$G$171,2,0)</f>
        <v>3500</v>
      </c>
      <c r="AF14" s="2">
        <f t="shared" si="8"/>
        <v>-1000</v>
      </c>
      <c r="AG14" s="2">
        <f>IF(VLOOKUP(R14,'VNET-XF-2105'!$B$12:$D$145,3,0)&gt;=P14,P14,VLOOKUP(R14,'VNET-XF-2105'!$B$12:$D$145,3,0))</f>
        <v>2475</v>
      </c>
      <c r="AH14" s="2"/>
      <c r="AI14" s="2"/>
      <c r="AJ14" s="2">
        <f t="shared" si="7"/>
        <v>25</v>
      </c>
    </row>
    <row r="15" spans="1:36" ht="75" x14ac:dyDescent="0.25">
      <c r="A15" s="1">
        <f t="shared" si="0"/>
        <v>9</v>
      </c>
      <c r="B15" s="1" t="str">
        <f t="shared" si="1"/>
        <v>CC0603KRX7R9BB104</v>
      </c>
      <c r="C15" s="1" t="s">
        <v>21</v>
      </c>
      <c r="D15" s="7" t="str">
        <f t="shared" si="2"/>
        <v>Board RK3562</v>
      </c>
      <c r="E15" s="7" t="str">
        <f t="shared" si="3"/>
        <v>Gerber_CAMBOX_RK3562_lot500_2505</v>
      </c>
      <c r="F15" s="7" t="str">
        <f t="shared" si="4"/>
        <v>BOM_CameraBox_2026-04-14 2205</v>
      </c>
      <c r="G15" s="1" t="s">
        <v>561</v>
      </c>
      <c r="H15" s="1" t="s">
        <v>149</v>
      </c>
      <c r="I15" s="1" t="s">
        <v>337</v>
      </c>
      <c r="J15" s="17" t="s">
        <v>386</v>
      </c>
      <c r="K15" s="1" t="s">
        <v>8</v>
      </c>
      <c r="L15" s="1" t="s">
        <v>28</v>
      </c>
      <c r="M15" s="1" t="s">
        <v>44</v>
      </c>
      <c r="N15" s="1">
        <v>12</v>
      </c>
      <c r="O15" s="7">
        <f t="shared" si="5"/>
        <v>500</v>
      </c>
      <c r="P15" s="7">
        <f t="shared" si="6"/>
        <v>6000</v>
      </c>
      <c r="Q15" s="20" t="s">
        <v>433</v>
      </c>
      <c r="R15" s="20" t="s">
        <v>494</v>
      </c>
      <c r="S15" s="1"/>
      <c r="T15" s="1"/>
      <c r="U15" s="1" t="s">
        <v>38</v>
      </c>
      <c r="V15" s="1" t="s">
        <v>551</v>
      </c>
      <c r="W15" s="1" t="s">
        <v>550</v>
      </c>
      <c r="X15" s="1" t="s">
        <v>37</v>
      </c>
      <c r="Y15" s="1" t="s">
        <v>31</v>
      </c>
      <c r="Z15" s="1"/>
      <c r="AA15" s="1" t="s">
        <v>24</v>
      </c>
      <c r="AB15" s="2"/>
      <c r="AC15" s="1" t="s">
        <v>707</v>
      </c>
      <c r="AD15" s="2"/>
      <c r="AE15" s="2">
        <f>VLOOKUP(R15,'[1]VNSH03 gia thanh sx '!$F$6:$G$171,2,0)</f>
        <v>6500</v>
      </c>
      <c r="AF15" s="2">
        <f t="shared" si="8"/>
        <v>-500</v>
      </c>
      <c r="AG15" s="2">
        <f>IF(VLOOKUP(R15,'VNET-XF-2105'!$B$12:$D$145,3,0)&gt;=P15,P15,VLOOKUP(R15,'VNET-XF-2105'!$B$12:$D$145,3,0))</f>
        <v>5445</v>
      </c>
      <c r="AH15" s="2"/>
      <c r="AI15" s="2"/>
      <c r="AJ15" s="2">
        <f t="shared" si="7"/>
        <v>555</v>
      </c>
    </row>
    <row r="16" spans="1:36" ht="60" x14ac:dyDescent="0.25">
      <c r="A16" s="1">
        <f t="shared" si="0"/>
        <v>10</v>
      </c>
      <c r="B16" s="1" t="str">
        <f t="shared" si="1"/>
        <v>CC0402JRNPO9BN220</v>
      </c>
      <c r="C16" s="1" t="s">
        <v>21</v>
      </c>
      <c r="D16" s="7" t="str">
        <f t="shared" si="2"/>
        <v>Board RK3562</v>
      </c>
      <c r="E16" s="7" t="str">
        <f t="shared" si="3"/>
        <v>Gerber_CAMBOX_RK3562_lot500_2505</v>
      </c>
      <c r="F16" s="7" t="str">
        <f t="shared" si="4"/>
        <v>BOM_CameraBox_2026-04-14 2205</v>
      </c>
      <c r="G16" s="1" t="s">
        <v>562</v>
      </c>
      <c r="H16" s="1" t="s">
        <v>149</v>
      </c>
      <c r="I16" s="1" t="s">
        <v>361</v>
      </c>
      <c r="J16" s="17" t="s">
        <v>387</v>
      </c>
      <c r="K16" s="1" t="s">
        <v>8</v>
      </c>
      <c r="L16" s="1" t="s">
        <v>28</v>
      </c>
      <c r="M16" s="1" t="s">
        <v>44</v>
      </c>
      <c r="N16" s="1">
        <v>2</v>
      </c>
      <c r="O16" s="7">
        <f t="shared" si="5"/>
        <v>500</v>
      </c>
      <c r="P16" s="7">
        <f t="shared" si="6"/>
        <v>1000</v>
      </c>
      <c r="Q16" s="20" t="s">
        <v>433</v>
      </c>
      <c r="R16" s="20" t="s">
        <v>521</v>
      </c>
      <c r="S16" s="1"/>
      <c r="T16" s="1"/>
      <c r="U16" s="1" t="s">
        <v>38</v>
      </c>
      <c r="V16" s="1" t="s">
        <v>551</v>
      </c>
      <c r="W16" s="1" t="s">
        <v>550</v>
      </c>
      <c r="X16" s="1" t="s">
        <v>37</v>
      </c>
      <c r="Y16" s="1" t="s">
        <v>31</v>
      </c>
      <c r="Z16" s="1"/>
      <c r="AA16" s="1" t="s">
        <v>24</v>
      </c>
      <c r="AB16" s="2"/>
      <c r="AC16" s="1"/>
      <c r="AD16" s="2"/>
      <c r="AE16" s="2">
        <f>VLOOKUP(R16,'[1]VNSH03 gia thanh sx '!$F$6:$G$171,2,0)</f>
        <v>1500</v>
      </c>
      <c r="AF16" s="2">
        <f t="shared" si="8"/>
        <v>-500</v>
      </c>
      <c r="AG16" s="2">
        <f>IF(VLOOKUP(R16,'VNET-XF-2105'!$B$12:$D$145,3,0)&gt;=P16,P16,VLOOKUP(R16,'VNET-XF-2105'!$B$12:$D$145,3,0))</f>
        <v>990</v>
      </c>
      <c r="AH16" s="2"/>
      <c r="AI16" s="2"/>
      <c r="AJ16" s="2">
        <f t="shared" si="7"/>
        <v>10</v>
      </c>
    </row>
    <row r="17" spans="1:36" ht="60" x14ac:dyDescent="0.25">
      <c r="A17" s="1">
        <f t="shared" si="0"/>
        <v>11</v>
      </c>
      <c r="B17" s="1" t="str">
        <f t="shared" si="1"/>
        <v>FCC0402B681K500AT</v>
      </c>
      <c r="C17" s="1" t="s">
        <v>21</v>
      </c>
      <c r="D17" s="7" t="str">
        <f t="shared" si="2"/>
        <v>Board RK3562</v>
      </c>
      <c r="E17" s="7" t="str">
        <f t="shared" si="3"/>
        <v>Gerber_CAMBOX_RK3562_lot500_2505</v>
      </c>
      <c r="F17" s="7" t="str">
        <f t="shared" si="4"/>
        <v>BOM_CameraBox_2026-04-14 2205</v>
      </c>
      <c r="G17" s="1" t="s">
        <v>252</v>
      </c>
      <c r="H17" s="1" t="s">
        <v>149</v>
      </c>
      <c r="I17" s="1" t="s">
        <v>365</v>
      </c>
      <c r="J17" s="17" t="s">
        <v>387</v>
      </c>
      <c r="K17" s="1" t="s">
        <v>8</v>
      </c>
      <c r="L17" s="1" t="s">
        <v>28</v>
      </c>
      <c r="M17" s="1" t="s">
        <v>44</v>
      </c>
      <c r="N17" s="1">
        <v>1</v>
      </c>
      <c r="O17" s="7">
        <f t="shared" si="5"/>
        <v>500</v>
      </c>
      <c r="P17" s="7">
        <f t="shared" si="6"/>
        <v>500</v>
      </c>
      <c r="Q17" s="20" t="s">
        <v>663</v>
      </c>
      <c r="R17" s="20" t="s">
        <v>525</v>
      </c>
      <c r="S17" s="1"/>
      <c r="T17" s="1"/>
      <c r="U17" s="1" t="s">
        <v>38</v>
      </c>
      <c r="V17" s="1" t="s">
        <v>551</v>
      </c>
      <c r="W17" s="1" t="s">
        <v>550</v>
      </c>
      <c r="X17" s="1" t="s">
        <v>37</v>
      </c>
      <c r="Y17" s="1" t="s">
        <v>31</v>
      </c>
      <c r="Z17" s="1"/>
      <c r="AA17" s="1" t="s">
        <v>24</v>
      </c>
      <c r="AB17" s="2"/>
      <c r="AC17" s="1"/>
      <c r="AD17" s="2"/>
      <c r="AE17" s="2">
        <f>VLOOKUP(R17,'[1]VNSH03 gia thanh sx '!$F$6:$G$171,2,0)</f>
        <v>500</v>
      </c>
      <c r="AF17" s="2">
        <f t="shared" si="8"/>
        <v>0</v>
      </c>
      <c r="AG17" s="2">
        <f>IF(VLOOKUP(R17,'VNET-XF-2105'!$B$12:$D$145,3,0)&gt;=P17,P17,VLOOKUP(R17,'VNET-XF-2105'!$B$12:$D$145,3,0))</f>
        <v>495</v>
      </c>
      <c r="AH17" s="2"/>
      <c r="AI17" s="2"/>
      <c r="AJ17" s="2">
        <f t="shared" si="7"/>
        <v>5</v>
      </c>
    </row>
    <row r="18" spans="1:36" ht="409.5" x14ac:dyDescent="0.25">
      <c r="A18" s="1">
        <f t="shared" si="0"/>
        <v>12</v>
      </c>
      <c r="B18" s="1" t="str">
        <f t="shared" si="1"/>
        <v>CC0402KRX7R7BB104</v>
      </c>
      <c r="C18" s="1" t="s">
        <v>21</v>
      </c>
      <c r="D18" s="7" t="str">
        <f t="shared" si="2"/>
        <v>Board RK3562</v>
      </c>
      <c r="E18" s="7" t="str">
        <f t="shared" si="3"/>
        <v>Gerber_CAMBOX_RK3562_lot500_2505</v>
      </c>
      <c r="F18" s="7" t="str">
        <f t="shared" si="4"/>
        <v>BOM_CameraBox_2026-04-14 2205</v>
      </c>
      <c r="G18" s="1" t="s">
        <v>563</v>
      </c>
      <c r="H18" s="1" t="s">
        <v>149</v>
      </c>
      <c r="I18" s="1" t="s">
        <v>317</v>
      </c>
      <c r="J18" s="17" t="s">
        <v>387</v>
      </c>
      <c r="K18" s="1" t="s">
        <v>8</v>
      </c>
      <c r="L18" s="1" t="s">
        <v>28</v>
      </c>
      <c r="M18" s="1" t="s">
        <v>44</v>
      </c>
      <c r="N18" s="1">
        <v>83</v>
      </c>
      <c r="O18" s="7">
        <f t="shared" si="5"/>
        <v>500</v>
      </c>
      <c r="P18" s="7">
        <f t="shared" si="6"/>
        <v>41500</v>
      </c>
      <c r="Q18" s="20" t="s">
        <v>433</v>
      </c>
      <c r="R18" s="20" t="s">
        <v>466</v>
      </c>
      <c r="S18" s="1"/>
      <c r="T18" s="1"/>
      <c r="U18" s="1" t="s">
        <v>38</v>
      </c>
      <c r="V18" s="1" t="s">
        <v>551</v>
      </c>
      <c r="W18" s="1" t="s">
        <v>550</v>
      </c>
      <c r="X18" s="1" t="s">
        <v>37</v>
      </c>
      <c r="Y18" s="1" t="s">
        <v>31</v>
      </c>
      <c r="Z18" s="1"/>
      <c r="AA18" s="1" t="s">
        <v>24</v>
      </c>
      <c r="AB18" s="2"/>
      <c r="AC18" s="1" t="s">
        <v>708</v>
      </c>
      <c r="AD18" s="2"/>
      <c r="AE18" s="2">
        <f>VLOOKUP(R18,'[1]VNSH03 gia thanh sx '!$F$6:$G$171,2,0)</f>
        <v>41000</v>
      </c>
      <c r="AF18" s="2">
        <f t="shared" si="8"/>
        <v>500</v>
      </c>
      <c r="AG18" s="2">
        <f>IF(VLOOKUP(R18,'VNET-XF-2105'!$B$12:$D$145,3,0)&gt;=P18,P18,VLOOKUP(R18,'VNET-XF-2105'!$B$12:$D$145,3,0))</f>
        <v>40570</v>
      </c>
      <c r="AH18" s="2">
        <f>IF(VLOOKUP(R18,'VNET-XF_dự kiến lần 2'!$B$2:$D$42,3,0)&gt;=(P18-AG18),(P18-AG18),VLOOKUP(R18,'VNET-XF_dự kiến lần 2'!$B$2:$D$42,3,0))</f>
        <v>930</v>
      </c>
      <c r="AI18" s="2"/>
      <c r="AJ18" s="2">
        <f t="shared" si="7"/>
        <v>0</v>
      </c>
    </row>
    <row r="19" spans="1:36" ht="60" x14ac:dyDescent="0.25">
      <c r="A19" s="1">
        <f t="shared" si="0"/>
        <v>13</v>
      </c>
      <c r="B19" s="1" t="str">
        <f t="shared" si="1"/>
        <v>RT1H101M0810</v>
      </c>
      <c r="C19" s="1" t="s">
        <v>21</v>
      </c>
      <c r="D19" s="7" t="str">
        <f t="shared" si="2"/>
        <v>Board RK3562</v>
      </c>
      <c r="E19" s="7" t="str">
        <f t="shared" si="3"/>
        <v>Gerber_CAMBOX_RK3562_lot500_2505</v>
      </c>
      <c r="F19" s="7" t="str">
        <f t="shared" si="4"/>
        <v>BOM_CameraBox_2026-04-14 2205</v>
      </c>
      <c r="G19" s="20" t="s">
        <v>564</v>
      </c>
      <c r="H19" s="1" t="s">
        <v>149</v>
      </c>
      <c r="I19" s="1" t="s">
        <v>314</v>
      </c>
      <c r="J19" s="17"/>
      <c r="K19" s="1" t="s">
        <v>8</v>
      </c>
      <c r="L19" s="1" t="s">
        <v>28</v>
      </c>
      <c r="M19" s="1" t="s">
        <v>44</v>
      </c>
      <c r="N19" s="1">
        <v>1</v>
      </c>
      <c r="O19" s="7">
        <f t="shared" si="5"/>
        <v>500</v>
      </c>
      <c r="P19" s="7">
        <f t="shared" si="6"/>
        <v>500</v>
      </c>
      <c r="Q19" s="20" t="s">
        <v>459</v>
      </c>
      <c r="R19" s="20" t="s">
        <v>461</v>
      </c>
      <c r="S19" s="1"/>
      <c r="T19" s="1"/>
      <c r="U19" s="1" t="s">
        <v>38</v>
      </c>
      <c r="V19" s="1" t="s">
        <v>551</v>
      </c>
      <c r="W19" s="1" t="s">
        <v>550</v>
      </c>
      <c r="X19" s="1" t="s">
        <v>37</v>
      </c>
      <c r="Y19" s="1" t="s">
        <v>31</v>
      </c>
      <c r="Z19" s="1"/>
      <c r="AA19" s="1" t="s">
        <v>24</v>
      </c>
      <c r="AB19" s="2"/>
      <c r="AC19" s="1" t="s">
        <v>709</v>
      </c>
      <c r="AD19" s="2"/>
      <c r="AE19" s="2">
        <f>VLOOKUP(R19,'[1]VNSH03 gia thanh sx '!$F$6:$G$171,2,0)</f>
        <v>1000</v>
      </c>
      <c r="AF19" s="2">
        <f t="shared" si="8"/>
        <v>-500</v>
      </c>
      <c r="AG19" s="2">
        <f>IF(VLOOKUP(R19,'VNET-XF-2105'!$B$12:$D$145,3,0)&gt;=P19,P19,VLOOKUP(R19,'VNET-XF-2105'!$B$12:$D$145,3,0))</f>
        <v>500</v>
      </c>
      <c r="AH19" s="2"/>
      <c r="AI19" s="2"/>
      <c r="AJ19" s="2">
        <f t="shared" si="7"/>
        <v>0</v>
      </c>
    </row>
    <row r="20" spans="1:36" ht="60" x14ac:dyDescent="0.25">
      <c r="A20" s="1">
        <f t="shared" si="0"/>
        <v>14</v>
      </c>
      <c r="B20" s="1" t="str">
        <f t="shared" si="1"/>
        <v>CC0402KRX7R9BB822</v>
      </c>
      <c r="C20" s="1" t="s">
        <v>21</v>
      </c>
      <c r="D20" s="7" t="str">
        <f t="shared" si="2"/>
        <v>Board RK3562</v>
      </c>
      <c r="E20" s="7" t="str">
        <f t="shared" si="3"/>
        <v>Gerber_CAMBOX_RK3562_lot500_2505</v>
      </c>
      <c r="F20" s="7" t="str">
        <f t="shared" si="4"/>
        <v>BOM_CameraBox_2026-04-14 2205</v>
      </c>
      <c r="G20" s="1" t="s">
        <v>268</v>
      </c>
      <c r="H20" s="1" t="s">
        <v>149</v>
      </c>
      <c r="I20" s="1" t="s">
        <v>382</v>
      </c>
      <c r="J20" s="17" t="s">
        <v>387</v>
      </c>
      <c r="K20" s="1" t="s">
        <v>8</v>
      </c>
      <c r="L20" s="1" t="s">
        <v>28</v>
      </c>
      <c r="M20" s="1" t="s">
        <v>44</v>
      </c>
      <c r="N20" s="1">
        <v>1</v>
      </c>
      <c r="O20" s="7">
        <f t="shared" si="5"/>
        <v>500</v>
      </c>
      <c r="P20" s="7">
        <f t="shared" si="6"/>
        <v>500</v>
      </c>
      <c r="Q20" s="20" t="s">
        <v>433</v>
      </c>
      <c r="R20" s="20" t="s">
        <v>544</v>
      </c>
      <c r="S20" s="1"/>
      <c r="T20" s="1"/>
      <c r="U20" s="1" t="s">
        <v>38</v>
      </c>
      <c r="V20" s="1" t="s">
        <v>551</v>
      </c>
      <c r="W20" s="1" t="s">
        <v>550</v>
      </c>
      <c r="X20" s="1" t="s">
        <v>37</v>
      </c>
      <c r="Y20" s="1" t="s">
        <v>31</v>
      </c>
      <c r="Z20" s="1"/>
      <c r="AA20" s="1" t="s">
        <v>24</v>
      </c>
      <c r="AB20" s="2"/>
      <c r="AC20" s="1"/>
      <c r="AD20" s="2"/>
      <c r="AE20" s="2">
        <f>VLOOKUP(R20,'[1]VNSH03 gia thanh sx '!$F$6:$G$171,2,0)</f>
        <v>500</v>
      </c>
      <c r="AF20" s="2">
        <f t="shared" si="8"/>
        <v>0</v>
      </c>
      <c r="AG20" s="2">
        <f>IF(VLOOKUP(R20,'VNET-XF-2105'!$B$12:$D$145,3,0)&gt;=P20,P20,VLOOKUP(R20,'VNET-XF-2105'!$B$12:$D$145,3,0))</f>
        <v>495</v>
      </c>
      <c r="AH20" s="2"/>
      <c r="AI20" s="2"/>
      <c r="AJ20" s="2">
        <f t="shared" si="7"/>
        <v>5</v>
      </c>
    </row>
    <row r="21" spans="1:36" ht="60" x14ac:dyDescent="0.25">
      <c r="A21" s="1">
        <f t="shared" si="0"/>
        <v>15</v>
      </c>
      <c r="B21" s="1" t="str">
        <f t="shared" si="1"/>
        <v>RT1E470M0605</v>
      </c>
      <c r="C21" s="1" t="s">
        <v>21</v>
      </c>
      <c r="D21" s="7" t="str">
        <f t="shared" si="2"/>
        <v>Board RK3562</v>
      </c>
      <c r="E21" s="7" t="str">
        <f t="shared" si="3"/>
        <v>Gerber_CAMBOX_RK3562_lot500_2505</v>
      </c>
      <c r="F21" s="7" t="str">
        <f t="shared" si="4"/>
        <v>BOM_CameraBox_2026-04-14 2205</v>
      </c>
      <c r="G21" s="1" t="s">
        <v>565</v>
      </c>
      <c r="H21" s="1" t="s">
        <v>149</v>
      </c>
      <c r="I21" s="1" t="s">
        <v>628</v>
      </c>
      <c r="J21" s="17"/>
      <c r="K21" s="1" t="s">
        <v>8</v>
      </c>
      <c r="L21" s="1" t="s">
        <v>28</v>
      </c>
      <c r="M21" s="1" t="s">
        <v>44</v>
      </c>
      <c r="N21" s="1">
        <v>1</v>
      </c>
      <c r="O21" s="7">
        <f t="shared" si="5"/>
        <v>500</v>
      </c>
      <c r="P21" s="7">
        <f t="shared" si="6"/>
        <v>500</v>
      </c>
      <c r="Q21" s="20" t="s">
        <v>459</v>
      </c>
      <c r="R21" s="20" t="s">
        <v>664</v>
      </c>
      <c r="S21" s="1"/>
      <c r="T21" s="1"/>
      <c r="U21" s="1" t="s">
        <v>38</v>
      </c>
      <c r="V21" s="1" t="s">
        <v>551</v>
      </c>
      <c r="W21" s="1" t="s">
        <v>550</v>
      </c>
      <c r="X21" s="1" t="s">
        <v>37</v>
      </c>
      <c r="Y21" s="1" t="s">
        <v>31</v>
      </c>
      <c r="Z21" s="1"/>
      <c r="AA21" s="1" t="s">
        <v>24</v>
      </c>
      <c r="AB21" s="2"/>
      <c r="AC21" s="1" t="s">
        <v>710</v>
      </c>
      <c r="AD21" s="2"/>
      <c r="AE21" s="2">
        <f>VLOOKUP(R21,'[1]VNSH03 gia thanh sx '!$F$6:$G$171,2,0)</f>
        <v>500</v>
      </c>
      <c r="AF21" s="2">
        <f t="shared" si="8"/>
        <v>0</v>
      </c>
      <c r="AG21" s="2"/>
      <c r="AH21" s="2"/>
      <c r="AI21" s="2"/>
      <c r="AJ21" s="2">
        <f t="shared" si="7"/>
        <v>500</v>
      </c>
    </row>
    <row r="22" spans="1:36" ht="60" x14ac:dyDescent="0.25">
      <c r="A22" s="31">
        <f t="shared" si="0"/>
        <v>16</v>
      </c>
      <c r="B22" s="31" t="str">
        <f t="shared" si="1"/>
        <v>EMK316BBJ476ML-T</v>
      </c>
      <c r="C22" s="31" t="s">
        <v>21</v>
      </c>
      <c r="D22" s="32" t="str">
        <f t="shared" si="2"/>
        <v>Board RK3562</v>
      </c>
      <c r="E22" s="32" t="str">
        <f t="shared" si="3"/>
        <v>Gerber_CAMBOX_RK3562_lot500_2505</v>
      </c>
      <c r="F22" s="32" t="str">
        <f t="shared" si="4"/>
        <v>BOM_CameraBox_2026-04-14 2205</v>
      </c>
      <c r="G22" s="31" t="s">
        <v>566</v>
      </c>
      <c r="H22" s="31" t="s">
        <v>149</v>
      </c>
      <c r="I22" s="31" t="s">
        <v>299</v>
      </c>
      <c r="J22" s="72" t="s">
        <v>389</v>
      </c>
      <c r="K22" s="31" t="s">
        <v>8</v>
      </c>
      <c r="L22" s="31" t="s">
        <v>28</v>
      </c>
      <c r="M22" s="31" t="s">
        <v>44</v>
      </c>
      <c r="N22" s="31">
        <v>0</v>
      </c>
      <c r="O22" s="32">
        <f t="shared" si="5"/>
        <v>500</v>
      </c>
      <c r="P22" s="32">
        <f t="shared" si="6"/>
        <v>0</v>
      </c>
      <c r="Q22" s="31" t="s">
        <v>399</v>
      </c>
      <c r="R22" s="31" t="s">
        <v>439</v>
      </c>
      <c r="S22" s="31"/>
      <c r="T22" s="31"/>
      <c r="U22" s="31" t="s">
        <v>38</v>
      </c>
      <c r="V22" s="31" t="s">
        <v>551</v>
      </c>
      <c r="W22" s="31" t="s">
        <v>550</v>
      </c>
      <c r="X22" s="31" t="s">
        <v>37</v>
      </c>
      <c r="Y22" s="31" t="s">
        <v>31</v>
      </c>
      <c r="Z22" s="31"/>
      <c r="AA22" s="31" t="s">
        <v>24</v>
      </c>
      <c r="AB22" s="33" t="s">
        <v>912</v>
      </c>
      <c r="AC22" s="31" t="s">
        <v>711</v>
      </c>
      <c r="AD22" s="33"/>
      <c r="AE22" s="33">
        <f>VLOOKUP(R22,'[1]VNSH03 gia thanh sx '!$F$6:$G$171,2,0)</f>
        <v>500</v>
      </c>
      <c r="AF22" s="33">
        <f t="shared" si="8"/>
        <v>-500</v>
      </c>
      <c r="AG22" s="33">
        <f>IF(VLOOKUP(R22,'VNET-XF-2105'!$B$12:$D$145,3,0)&gt;=P22,P22,VLOOKUP(R22,'VNET-XF-2105'!$B$12:$D$145,3,0))</f>
        <v>0</v>
      </c>
      <c r="AH22" s="2"/>
      <c r="AI22" s="33"/>
      <c r="AJ22" s="2">
        <f t="shared" si="7"/>
        <v>0</v>
      </c>
    </row>
    <row r="23" spans="1:36" ht="60" x14ac:dyDescent="0.25">
      <c r="A23" s="1">
        <f t="shared" si="0"/>
        <v>17</v>
      </c>
      <c r="B23" s="1" t="str">
        <f t="shared" si="1"/>
        <v>CC0603KRX7R9BB474</v>
      </c>
      <c r="C23" s="1" t="s">
        <v>21</v>
      </c>
      <c r="D23" s="7" t="str">
        <f t="shared" si="2"/>
        <v>Board RK3562</v>
      </c>
      <c r="E23" s="7" t="str">
        <f t="shared" si="3"/>
        <v>Gerber_CAMBOX_RK3562_lot500_2505</v>
      </c>
      <c r="F23" s="7" t="str">
        <f t="shared" si="4"/>
        <v>BOM_CameraBox_2026-04-14 2205</v>
      </c>
      <c r="G23" s="1" t="s">
        <v>239</v>
      </c>
      <c r="H23" s="1" t="s">
        <v>149</v>
      </c>
      <c r="I23" s="1" t="s">
        <v>334</v>
      </c>
      <c r="J23" s="17" t="s">
        <v>386</v>
      </c>
      <c r="K23" s="1" t="s">
        <v>8</v>
      </c>
      <c r="L23" s="1" t="s">
        <v>28</v>
      </c>
      <c r="M23" s="1" t="s">
        <v>44</v>
      </c>
      <c r="N23" s="1">
        <v>1</v>
      </c>
      <c r="O23" s="7">
        <f t="shared" si="5"/>
        <v>500</v>
      </c>
      <c r="P23" s="7">
        <f t="shared" si="6"/>
        <v>500</v>
      </c>
      <c r="Q23" s="20" t="s">
        <v>433</v>
      </c>
      <c r="R23" s="20" t="s">
        <v>492</v>
      </c>
      <c r="S23" s="1"/>
      <c r="T23" s="1"/>
      <c r="U23" s="1" t="s">
        <v>38</v>
      </c>
      <c r="V23" s="1" t="s">
        <v>551</v>
      </c>
      <c r="W23" s="1" t="s">
        <v>550</v>
      </c>
      <c r="X23" s="1" t="s">
        <v>37</v>
      </c>
      <c r="Y23" s="1" t="s">
        <v>31</v>
      </c>
      <c r="Z23" s="1"/>
      <c r="AA23" s="1" t="s">
        <v>24</v>
      </c>
      <c r="AB23" s="2"/>
      <c r="AC23" s="1"/>
      <c r="AD23" s="2"/>
      <c r="AE23" s="2">
        <f>VLOOKUP(R23,'[1]VNSH03 gia thanh sx '!$F$6:$G$171,2,0)</f>
        <v>500</v>
      </c>
      <c r="AF23" s="2">
        <f t="shared" si="8"/>
        <v>0</v>
      </c>
      <c r="AG23" s="2">
        <f>IF(VLOOKUP(R23,'VNET-XF-2105'!$B$12:$D$145,3,0)&gt;=P23,P23,VLOOKUP(R23,'VNET-XF-2105'!$B$12:$D$145,3,0))</f>
        <v>495</v>
      </c>
      <c r="AH23" s="2"/>
      <c r="AI23" s="2"/>
      <c r="AJ23" s="2">
        <f t="shared" si="7"/>
        <v>5</v>
      </c>
    </row>
    <row r="24" spans="1:36" ht="60" x14ac:dyDescent="0.25">
      <c r="A24" s="1">
        <f t="shared" si="0"/>
        <v>18</v>
      </c>
      <c r="B24" s="1" t="str">
        <f t="shared" si="1"/>
        <v>CC0603KRX7R9BB561</v>
      </c>
      <c r="C24" s="1" t="s">
        <v>21</v>
      </c>
      <c r="D24" s="7" t="str">
        <f t="shared" si="2"/>
        <v>Board RK3562</v>
      </c>
      <c r="E24" s="7" t="str">
        <f t="shared" si="3"/>
        <v>Gerber_CAMBOX_RK3562_lot500_2505</v>
      </c>
      <c r="F24" s="7" t="str">
        <f t="shared" si="4"/>
        <v>BOM_CameraBox_2026-04-14 2205</v>
      </c>
      <c r="G24" s="1" t="s">
        <v>245</v>
      </c>
      <c r="H24" s="1" t="s">
        <v>149</v>
      </c>
      <c r="I24" s="1" t="s">
        <v>349</v>
      </c>
      <c r="J24" s="17" t="s">
        <v>386</v>
      </c>
      <c r="K24" s="1" t="s">
        <v>8</v>
      </c>
      <c r="L24" s="1" t="s">
        <v>28</v>
      </c>
      <c r="M24" s="1" t="s">
        <v>44</v>
      </c>
      <c r="N24" s="1">
        <v>1</v>
      </c>
      <c r="O24" s="7">
        <f t="shared" si="5"/>
        <v>500</v>
      </c>
      <c r="P24" s="7">
        <f t="shared" si="6"/>
        <v>500</v>
      </c>
      <c r="Q24" s="20" t="s">
        <v>433</v>
      </c>
      <c r="R24" s="20" t="s">
        <v>510</v>
      </c>
      <c r="S24" s="1"/>
      <c r="T24" s="1"/>
      <c r="U24" s="1" t="s">
        <v>38</v>
      </c>
      <c r="V24" s="1" t="s">
        <v>551</v>
      </c>
      <c r="W24" s="1" t="s">
        <v>550</v>
      </c>
      <c r="X24" s="1" t="s">
        <v>37</v>
      </c>
      <c r="Y24" s="1" t="s">
        <v>31</v>
      </c>
      <c r="Z24" s="1"/>
      <c r="AA24" s="1" t="s">
        <v>24</v>
      </c>
      <c r="AB24" s="2"/>
      <c r="AC24" s="1"/>
      <c r="AD24" s="2"/>
      <c r="AE24" s="2">
        <f>VLOOKUP(R24,'[1]VNSH03 gia thanh sx '!$F$6:$G$171,2,0)</f>
        <v>500</v>
      </c>
      <c r="AF24" s="2">
        <f t="shared" si="8"/>
        <v>0</v>
      </c>
      <c r="AG24" s="2">
        <f>IF(VLOOKUP(R24,'VNET-XF-2105'!$B$12:$D$145,3,0)&gt;=P24,P24,VLOOKUP(R24,'VNET-XF-2105'!$B$12:$D$145,3,0))</f>
        <v>495</v>
      </c>
      <c r="AH24" s="2"/>
      <c r="AI24" s="2"/>
      <c r="AJ24" s="2">
        <f t="shared" si="7"/>
        <v>5</v>
      </c>
    </row>
    <row r="25" spans="1:36" ht="60" x14ac:dyDescent="0.25">
      <c r="A25" s="1">
        <f t="shared" si="0"/>
        <v>19</v>
      </c>
      <c r="B25" s="1" t="str">
        <f t="shared" si="1"/>
        <v>CC0603JRNPO9BN750</v>
      </c>
      <c r="C25" s="1" t="s">
        <v>21</v>
      </c>
      <c r="D25" s="7" t="str">
        <f t="shared" si="2"/>
        <v>Board RK3562</v>
      </c>
      <c r="E25" s="7" t="str">
        <f t="shared" si="3"/>
        <v>Gerber_CAMBOX_RK3562_lot500_2505</v>
      </c>
      <c r="F25" s="7" t="str">
        <f t="shared" si="4"/>
        <v>BOM_CameraBox_2026-04-14 2205</v>
      </c>
      <c r="G25" s="1" t="s">
        <v>246</v>
      </c>
      <c r="H25" s="1" t="s">
        <v>149</v>
      </c>
      <c r="I25" s="1" t="s">
        <v>350</v>
      </c>
      <c r="J25" s="17" t="s">
        <v>386</v>
      </c>
      <c r="K25" s="1" t="s">
        <v>8</v>
      </c>
      <c r="L25" s="1" t="s">
        <v>28</v>
      </c>
      <c r="M25" s="1" t="s">
        <v>44</v>
      </c>
      <c r="N25" s="1">
        <v>1</v>
      </c>
      <c r="O25" s="7">
        <f t="shared" si="5"/>
        <v>500</v>
      </c>
      <c r="P25" s="7">
        <f t="shared" si="6"/>
        <v>500</v>
      </c>
      <c r="Q25" s="20" t="s">
        <v>433</v>
      </c>
      <c r="R25" s="20" t="s">
        <v>511</v>
      </c>
      <c r="S25" s="1"/>
      <c r="T25" s="1"/>
      <c r="U25" s="1" t="s">
        <v>38</v>
      </c>
      <c r="V25" s="1" t="s">
        <v>551</v>
      </c>
      <c r="W25" s="1" t="s">
        <v>550</v>
      </c>
      <c r="X25" s="1" t="s">
        <v>37</v>
      </c>
      <c r="Y25" s="1" t="s">
        <v>31</v>
      </c>
      <c r="Z25" s="1"/>
      <c r="AA25" s="1" t="s">
        <v>24</v>
      </c>
      <c r="AB25" s="2"/>
      <c r="AC25" s="1"/>
      <c r="AD25" s="2"/>
      <c r="AE25" s="2">
        <f>VLOOKUP(R25,'[1]VNSH03 gia thanh sx '!$F$6:$G$171,2,0)</f>
        <v>500</v>
      </c>
      <c r="AF25" s="2">
        <f t="shared" si="8"/>
        <v>0</v>
      </c>
      <c r="AG25" s="2">
        <f>IF(VLOOKUP(R25,'VNET-XF-2105'!$B$12:$D$145,3,0)&gt;=P25,P25,VLOOKUP(R25,'VNET-XF-2105'!$B$12:$D$145,3,0))</f>
        <v>495</v>
      </c>
      <c r="AH25" s="2"/>
      <c r="AI25" s="2"/>
      <c r="AJ25" s="2">
        <f t="shared" si="7"/>
        <v>5</v>
      </c>
    </row>
    <row r="26" spans="1:36" ht="60" x14ac:dyDescent="0.25">
      <c r="A26" s="1">
        <f t="shared" si="0"/>
        <v>20</v>
      </c>
      <c r="B26" s="1" t="str">
        <f t="shared" si="1"/>
        <v>CC0603KRX7R9BB563</v>
      </c>
      <c r="C26" s="1" t="s">
        <v>21</v>
      </c>
      <c r="D26" s="7" t="str">
        <f t="shared" si="2"/>
        <v>Board RK3562</v>
      </c>
      <c r="E26" s="7" t="str">
        <f t="shared" si="3"/>
        <v>Gerber_CAMBOX_RK3562_lot500_2505</v>
      </c>
      <c r="F26" s="7" t="str">
        <f t="shared" si="4"/>
        <v>BOM_CameraBox_2026-04-14 2205</v>
      </c>
      <c r="G26" s="1" t="s">
        <v>247</v>
      </c>
      <c r="H26" s="1" t="s">
        <v>149</v>
      </c>
      <c r="I26" s="1" t="s">
        <v>351</v>
      </c>
      <c r="J26" s="17" t="s">
        <v>386</v>
      </c>
      <c r="K26" s="1" t="s">
        <v>8</v>
      </c>
      <c r="L26" s="1" t="s">
        <v>28</v>
      </c>
      <c r="M26" s="1" t="s">
        <v>44</v>
      </c>
      <c r="N26" s="1">
        <v>1</v>
      </c>
      <c r="O26" s="7">
        <f t="shared" si="5"/>
        <v>500</v>
      </c>
      <c r="P26" s="7">
        <f t="shared" si="6"/>
        <v>500</v>
      </c>
      <c r="Q26" s="20" t="s">
        <v>433</v>
      </c>
      <c r="R26" s="20" t="s">
        <v>512</v>
      </c>
      <c r="S26" s="1"/>
      <c r="T26" s="1"/>
      <c r="U26" s="1" t="s">
        <v>38</v>
      </c>
      <c r="V26" s="1" t="s">
        <v>551</v>
      </c>
      <c r="W26" s="1" t="s">
        <v>550</v>
      </c>
      <c r="X26" s="1" t="s">
        <v>37</v>
      </c>
      <c r="Y26" s="1" t="s">
        <v>31</v>
      </c>
      <c r="Z26" s="1"/>
      <c r="AA26" s="1" t="s">
        <v>24</v>
      </c>
      <c r="AB26" s="2"/>
      <c r="AC26" s="1"/>
      <c r="AD26" s="2"/>
      <c r="AE26" s="2">
        <f>VLOOKUP(R26,'[1]VNSH03 gia thanh sx '!$F$6:$G$171,2,0)</f>
        <v>500</v>
      </c>
      <c r="AF26" s="2">
        <f t="shared" si="8"/>
        <v>0</v>
      </c>
      <c r="AG26" s="2">
        <f>IF(VLOOKUP(R26,'VNET-XF-2105'!$B$12:$D$145,3,0)&gt;=P26,P26,VLOOKUP(R26,'VNET-XF-2105'!$B$12:$D$145,3,0))</f>
        <v>495</v>
      </c>
      <c r="AH26" s="2"/>
      <c r="AI26" s="2"/>
      <c r="AJ26" s="2">
        <f t="shared" si="7"/>
        <v>5</v>
      </c>
    </row>
    <row r="27" spans="1:36" ht="60" x14ac:dyDescent="0.25">
      <c r="A27" s="1">
        <f t="shared" si="0"/>
        <v>21</v>
      </c>
      <c r="B27" s="1" t="str">
        <f t="shared" si="1"/>
        <v>CC0402FRNPO9BN101</v>
      </c>
      <c r="C27" s="1" t="s">
        <v>21</v>
      </c>
      <c r="D27" s="7" t="str">
        <f t="shared" si="2"/>
        <v>Board RK3562</v>
      </c>
      <c r="E27" s="7" t="str">
        <f t="shared" si="3"/>
        <v>Gerber_CAMBOX_RK3562_lot500_2505</v>
      </c>
      <c r="F27" s="7" t="str">
        <f t="shared" si="4"/>
        <v>BOM_CameraBox_2026-04-14 2205</v>
      </c>
      <c r="G27" s="1" t="s">
        <v>567</v>
      </c>
      <c r="H27" s="1" t="s">
        <v>149</v>
      </c>
      <c r="I27" s="1" t="s">
        <v>347</v>
      </c>
      <c r="J27" s="17" t="s">
        <v>387</v>
      </c>
      <c r="K27" s="1" t="s">
        <v>8</v>
      </c>
      <c r="L27" s="1" t="s">
        <v>28</v>
      </c>
      <c r="M27" s="1" t="s">
        <v>44</v>
      </c>
      <c r="N27" s="1">
        <v>9</v>
      </c>
      <c r="O27" s="7">
        <f t="shared" si="5"/>
        <v>500</v>
      </c>
      <c r="P27" s="7">
        <f t="shared" si="6"/>
        <v>4500</v>
      </c>
      <c r="Q27" s="20" t="s">
        <v>433</v>
      </c>
      <c r="R27" s="20" t="s">
        <v>508</v>
      </c>
      <c r="S27" s="1"/>
      <c r="T27" s="1"/>
      <c r="U27" s="1" t="s">
        <v>38</v>
      </c>
      <c r="V27" s="1" t="s">
        <v>551</v>
      </c>
      <c r="W27" s="1" t="s">
        <v>550</v>
      </c>
      <c r="X27" s="1" t="s">
        <v>37</v>
      </c>
      <c r="Y27" s="1" t="s">
        <v>31</v>
      </c>
      <c r="Z27" s="1"/>
      <c r="AA27" s="1" t="s">
        <v>24</v>
      </c>
      <c r="AB27" s="2"/>
      <c r="AC27" s="1" t="s">
        <v>712</v>
      </c>
      <c r="AD27" s="2"/>
      <c r="AE27" s="2">
        <f>VLOOKUP(R27,'[1]VNSH03 gia thanh sx '!$F$6:$G$171,2,0)</f>
        <v>4000</v>
      </c>
      <c r="AF27" s="2">
        <f t="shared" si="8"/>
        <v>500</v>
      </c>
      <c r="AG27" s="2">
        <f>IF(VLOOKUP(R27,'VNET-XF-2105'!$B$12:$D$145,3,0)&gt;=P27,P27,VLOOKUP(R27,'VNET-XF-2105'!$B$12:$D$145,3,0))</f>
        <v>3945</v>
      </c>
      <c r="AH27" s="2">
        <f>IF(VLOOKUP(R27,'VNET-XF_dự kiến lần 2'!$B$2:$D$42,3,0)&gt;=(P27-AG27),(P27-AG27),VLOOKUP(R27,'VNET-XF_dự kiến lần 2'!$B$2:$D$42,3,0))</f>
        <v>555</v>
      </c>
      <c r="AI27" s="2"/>
      <c r="AJ27" s="2">
        <f t="shared" si="7"/>
        <v>0</v>
      </c>
    </row>
    <row r="28" spans="1:36" ht="60" x14ac:dyDescent="0.25">
      <c r="A28" s="1">
        <f t="shared" si="0"/>
        <v>22</v>
      </c>
      <c r="B28" s="1" t="str">
        <f t="shared" si="1"/>
        <v>C0603X7R104K500NT</v>
      </c>
      <c r="C28" s="1" t="s">
        <v>21</v>
      </c>
      <c r="D28" s="7" t="str">
        <f t="shared" si="2"/>
        <v>Board RK3562</v>
      </c>
      <c r="E28" s="7" t="str">
        <f t="shared" si="3"/>
        <v>Gerber_CAMBOX_RK3562_lot500_2505</v>
      </c>
      <c r="F28" s="7" t="str">
        <f t="shared" si="4"/>
        <v>BOM_CameraBox_2026-04-14 2205</v>
      </c>
      <c r="G28" s="1" t="s">
        <v>568</v>
      </c>
      <c r="H28" s="1" t="s">
        <v>149</v>
      </c>
      <c r="I28" s="1" t="s">
        <v>341</v>
      </c>
      <c r="J28" s="17" t="s">
        <v>386</v>
      </c>
      <c r="K28" s="1" t="s">
        <v>8</v>
      </c>
      <c r="L28" s="1" t="s">
        <v>28</v>
      </c>
      <c r="M28" s="1" t="s">
        <v>44</v>
      </c>
      <c r="N28" s="1">
        <v>1</v>
      </c>
      <c r="O28" s="7">
        <f t="shared" si="5"/>
        <v>500</v>
      </c>
      <c r="P28" s="7">
        <f t="shared" si="6"/>
        <v>500</v>
      </c>
      <c r="Q28" s="20" t="s">
        <v>401</v>
      </c>
      <c r="R28" s="20" t="s">
        <v>500</v>
      </c>
      <c r="S28" s="1"/>
      <c r="T28" s="1"/>
      <c r="U28" s="1" t="s">
        <v>38</v>
      </c>
      <c r="V28" s="1" t="s">
        <v>551</v>
      </c>
      <c r="W28" s="1" t="s">
        <v>550</v>
      </c>
      <c r="X28" s="1" t="s">
        <v>37</v>
      </c>
      <c r="Y28" s="1" t="s">
        <v>31</v>
      </c>
      <c r="Z28" s="1"/>
      <c r="AA28" s="1" t="s">
        <v>24</v>
      </c>
      <c r="AB28" s="2"/>
      <c r="AC28" s="1"/>
      <c r="AD28" s="2"/>
      <c r="AE28" s="2">
        <f>VLOOKUP(R28,'[1]VNSH03 gia thanh sx '!$F$6:$G$171,2,0)</f>
        <v>500</v>
      </c>
      <c r="AF28" s="2">
        <f t="shared" si="8"/>
        <v>0</v>
      </c>
      <c r="AG28" s="2">
        <f>IF(VLOOKUP(R28,'VNET-XF-2105'!$B$12:$D$145,3,0)&gt;=P28,P28,VLOOKUP(R28,'VNET-XF-2105'!$B$12:$D$145,3,0))</f>
        <v>500</v>
      </c>
      <c r="AH28" s="2">
        <f>IF(VLOOKUP(R28,'VNET-XF_dự kiến lần 2'!$B$2:$D$42,3,0)&gt;=(P28-AG28),(P28-AG28),VLOOKUP(R28,'VNET-XF_dự kiến lần 2'!$B$2:$D$42,3,0))</f>
        <v>0</v>
      </c>
      <c r="AI28" s="2"/>
      <c r="AJ28" s="2">
        <f t="shared" si="7"/>
        <v>0</v>
      </c>
    </row>
    <row r="29" spans="1:36" ht="180" x14ac:dyDescent="0.25">
      <c r="A29" s="1">
        <f t="shared" si="0"/>
        <v>23</v>
      </c>
      <c r="B29" s="1" t="str">
        <f t="shared" si="1"/>
        <v>C0805X5R106K160NT</v>
      </c>
      <c r="C29" s="1" t="s">
        <v>21</v>
      </c>
      <c r="D29" s="7" t="str">
        <f t="shared" si="2"/>
        <v>Board RK3562</v>
      </c>
      <c r="E29" s="7" t="str">
        <f t="shared" si="3"/>
        <v>Gerber_CAMBOX_RK3562_lot500_2505</v>
      </c>
      <c r="F29" s="7" t="str">
        <f t="shared" si="4"/>
        <v>BOM_CameraBox_2026-04-14 2205</v>
      </c>
      <c r="G29" s="1" t="s">
        <v>569</v>
      </c>
      <c r="H29" s="1" t="s">
        <v>149</v>
      </c>
      <c r="I29" s="1" t="s">
        <v>277</v>
      </c>
      <c r="J29" s="17" t="s">
        <v>388</v>
      </c>
      <c r="K29" s="1" t="s">
        <v>8</v>
      </c>
      <c r="L29" s="1" t="s">
        <v>28</v>
      </c>
      <c r="M29" s="1" t="s">
        <v>44</v>
      </c>
      <c r="N29" s="1">
        <v>28</v>
      </c>
      <c r="O29" s="7">
        <f t="shared" si="5"/>
        <v>500</v>
      </c>
      <c r="P29" s="7">
        <f t="shared" si="6"/>
        <v>14000</v>
      </c>
      <c r="Q29" s="20" t="s">
        <v>401</v>
      </c>
      <c r="R29" s="20" t="s">
        <v>402</v>
      </c>
      <c r="S29" s="1" t="s">
        <v>488</v>
      </c>
      <c r="T29" s="1" t="s">
        <v>867</v>
      </c>
      <c r="U29" s="1" t="s">
        <v>38</v>
      </c>
      <c r="V29" s="1" t="s">
        <v>551</v>
      </c>
      <c r="W29" s="1" t="s">
        <v>550</v>
      </c>
      <c r="X29" s="1" t="s">
        <v>37</v>
      </c>
      <c r="Y29" s="1" t="s">
        <v>31</v>
      </c>
      <c r="Z29" s="1"/>
      <c r="AA29" s="1" t="s">
        <v>24</v>
      </c>
      <c r="AB29" s="2"/>
      <c r="AC29" s="1" t="s">
        <v>913</v>
      </c>
      <c r="AD29" s="2"/>
      <c r="AE29" s="2">
        <f>VLOOKUP(R29,'[1]VNSH03 gia thanh sx '!$F$6:$G$171,2,0)</f>
        <v>13500</v>
      </c>
      <c r="AF29" s="2">
        <f t="shared" si="8"/>
        <v>500</v>
      </c>
      <c r="AG29" s="2">
        <v>13360</v>
      </c>
      <c r="AH29" s="2">
        <f>IF(VLOOKUP(R29,'VNET-XF_dự kiến lần 2'!$B$2:$D$42,3,0)&gt;=(P29-AG29),(P29-AG29),VLOOKUP(R29,'VNET-XF_dự kiến lần 2'!$B$2:$D$42,3,0))</f>
        <v>500</v>
      </c>
      <c r="AI29" s="2"/>
      <c r="AJ29" s="2">
        <f t="shared" si="7"/>
        <v>140</v>
      </c>
    </row>
    <row r="30" spans="1:36" ht="60" x14ac:dyDescent="0.25">
      <c r="A30" s="1">
        <f t="shared" si="0"/>
        <v>24</v>
      </c>
      <c r="B30" s="1" t="str">
        <f t="shared" si="1"/>
        <v>C0603X5R475K350NT</v>
      </c>
      <c r="C30" s="1" t="s">
        <v>21</v>
      </c>
      <c r="D30" s="7" t="str">
        <f t="shared" si="2"/>
        <v>Board RK3562</v>
      </c>
      <c r="E30" s="7" t="str">
        <f t="shared" si="3"/>
        <v>Gerber_CAMBOX_RK3562_lot500_2505</v>
      </c>
      <c r="F30" s="7" t="str">
        <f t="shared" si="4"/>
        <v>BOM_CameraBox_2026-04-14 2205</v>
      </c>
      <c r="G30" s="1" t="s">
        <v>570</v>
      </c>
      <c r="H30" s="1" t="s">
        <v>149</v>
      </c>
      <c r="I30" s="1" t="s">
        <v>309</v>
      </c>
      <c r="J30" s="17"/>
      <c r="K30" s="1" t="s">
        <v>8</v>
      </c>
      <c r="L30" s="1" t="s">
        <v>28</v>
      </c>
      <c r="M30" s="1" t="s">
        <v>44</v>
      </c>
      <c r="N30" s="1">
        <v>3</v>
      </c>
      <c r="O30" s="7">
        <f t="shared" si="5"/>
        <v>500</v>
      </c>
      <c r="P30" s="7">
        <f t="shared" si="6"/>
        <v>1500</v>
      </c>
      <c r="Q30" s="20" t="s">
        <v>665</v>
      </c>
      <c r="R30" s="20" t="s">
        <v>454</v>
      </c>
      <c r="S30" s="1"/>
      <c r="T30" s="1"/>
      <c r="U30" s="1" t="s">
        <v>38</v>
      </c>
      <c r="V30" s="1" t="s">
        <v>551</v>
      </c>
      <c r="W30" s="1" t="s">
        <v>550</v>
      </c>
      <c r="X30" s="1" t="s">
        <v>37</v>
      </c>
      <c r="Y30" s="1" t="s">
        <v>31</v>
      </c>
      <c r="Z30" s="1"/>
      <c r="AA30" s="1" t="s">
        <v>24</v>
      </c>
      <c r="AB30" s="2"/>
      <c r="AC30" s="1"/>
      <c r="AD30" s="2"/>
      <c r="AE30" s="2">
        <f>VLOOKUP(R30,'[1]VNSH03 gia thanh sx '!$F$6:$G$171,2,0)</f>
        <v>1500</v>
      </c>
      <c r="AF30" s="2">
        <f t="shared" si="8"/>
        <v>0</v>
      </c>
      <c r="AG30" s="2">
        <f>IF(VLOOKUP(R30,'VNET-XF-2105'!$B$12:$D$145,3,0)&gt;=P30,P30,VLOOKUP(R30,'VNET-XF-2105'!$B$12:$D$145,3,0))</f>
        <v>1485</v>
      </c>
      <c r="AH30" s="2"/>
      <c r="AI30" s="2"/>
      <c r="AJ30" s="2">
        <f t="shared" si="7"/>
        <v>15</v>
      </c>
    </row>
    <row r="31" spans="1:36" ht="60" x14ac:dyDescent="0.25">
      <c r="A31" s="1">
        <f t="shared" si="0"/>
        <v>25</v>
      </c>
      <c r="B31" s="1" t="str">
        <f t="shared" si="1"/>
        <v>CL05C330JB5NNNC</v>
      </c>
      <c r="C31" s="1" t="s">
        <v>21</v>
      </c>
      <c r="D31" s="7" t="str">
        <f t="shared" si="2"/>
        <v>Board RK3562</v>
      </c>
      <c r="E31" s="7" t="str">
        <f t="shared" si="3"/>
        <v>Gerber_CAMBOX_RK3562_lot500_2505</v>
      </c>
      <c r="F31" s="7" t="str">
        <f t="shared" si="4"/>
        <v>BOM_CameraBox_2026-04-14 2205</v>
      </c>
      <c r="G31" s="1" t="s">
        <v>571</v>
      </c>
      <c r="H31" s="1" t="s">
        <v>149</v>
      </c>
      <c r="I31" s="1" t="s">
        <v>346</v>
      </c>
      <c r="J31" s="17" t="s">
        <v>387</v>
      </c>
      <c r="K31" s="1" t="s">
        <v>8</v>
      </c>
      <c r="L31" s="1" t="s">
        <v>28</v>
      </c>
      <c r="M31" s="1" t="s">
        <v>44</v>
      </c>
      <c r="N31" s="1">
        <v>8</v>
      </c>
      <c r="O31" s="7">
        <f t="shared" si="5"/>
        <v>500</v>
      </c>
      <c r="P31" s="7">
        <f t="shared" si="6"/>
        <v>4000</v>
      </c>
      <c r="Q31" s="20" t="s">
        <v>506</v>
      </c>
      <c r="R31" s="20" t="s">
        <v>507</v>
      </c>
      <c r="S31" s="1"/>
      <c r="T31" s="1"/>
      <c r="U31" s="1" t="s">
        <v>38</v>
      </c>
      <c r="V31" s="1" t="s">
        <v>551</v>
      </c>
      <c r="W31" s="1" t="s">
        <v>550</v>
      </c>
      <c r="X31" s="1" t="s">
        <v>37</v>
      </c>
      <c r="Y31" s="1" t="s">
        <v>31</v>
      </c>
      <c r="Z31" s="1"/>
      <c r="AA31" s="1" t="s">
        <v>24</v>
      </c>
      <c r="AB31" s="2"/>
      <c r="AC31" s="1"/>
      <c r="AD31" s="2"/>
      <c r="AE31" s="2">
        <f>VLOOKUP(R31,'[1]VNSH03 gia thanh sx '!$F$6:$G$171,2,0)</f>
        <v>4000</v>
      </c>
      <c r="AF31" s="2">
        <f t="shared" si="8"/>
        <v>0</v>
      </c>
      <c r="AG31" s="2">
        <f>IF(VLOOKUP(R31,'VNET-XF-2105'!$B$12:$D$145,3,0)&gt;=P31,P31,VLOOKUP(R31,'VNET-XF-2105'!$B$12:$D$145,3,0))</f>
        <v>3960</v>
      </c>
      <c r="AH31" s="2"/>
      <c r="AI31" s="2"/>
      <c r="AJ31" s="2">
        <f t="shared" si="7"/>
        <v>40</v>
      </c>
    </row>
    <row r="32" spans="1:36" ht="60" x14ac:dyDescent="0.25">
      <c r="A32" s="1">
        <f t="shared" si="0"/>
        <v>26</v>
      </c>
      <c r="B32" s="1" t="str">
        <f t="shared" si="1"/>
        <v>CL10A226MQ8NRNE</v>
      </c>
      <c r="C32" s="1" t="s">
        <v>21</v>
      </c>
      <c r="D32" s="7" t="str">
        <f t="shared" si="2"/>
        <v>Board RK3562</v>
      </c>
      <c r="E32" s="7" t="str">
        <f t="shared" si="3"/>
        <v>Gerber_CAMBOX_RK3562_lot500_2505</v>
      </c>
      <c r="F32" s="7" t="str">
        <f t="shared" si="4"/>
        <v>BOM_CameraBox_2026-04-14 2205</v>
      </c>
      <c r="G32" s="1" t="s">
        <v>248</v>
      </c>
      <c r="H32" s="1" t="s">
        <v>149</v>
      </c>
      <c r="I32" s="1" t="s">
        <v>352</v>
      </c>
      <c r="J32" s="17" t="s">
        <v>386</v>
      </c>
      <c r="K32" s="1" t="s">
        <v>8</v>
      </c>
      <c r="L32" s="1" t="s">
        <v>28</v>
      </c>
      <c r="M32" s="1" t="s">
        <v>44</v>
      </c>
      <c r="N32" s="1">
        <v>1</v>
      </c>
      <c r="O32" s="7">
        <f t="shared" si="5"/>
        <v>500</v>
      </c>
      <c r="P32" s="7">
        <f t="shared" si="6"/>
        <v>500</v>
      </c>
      <c r="Q32" s="20" t="s">
        <v>506</v>
      </c>
      <c r="R32" s="20" t="s">
        <v>513</v>
      </c>
      <c r="S32" s="1"/>
      <c r="T32" s="1"/>
      <c r="U32" s="1" t="s">
        <v>38</v>
      </c>
      <c r="V32" s="1" t="s">
        <v>551</v>
      </c>
      <c r="W32" s="1" t="s">
        <v>550</v>
      </c>
      <c r="X32" s="1" t="s">
        <v>37</v>
      </c>
      <c r="Y32" s="1" t="s">
        <v>31</v>
      </c>
      <c r="Z32" s="1"/>
      <c r="AA32" s="1" t="s">
        <v>24</v>
      </c>
      <c r="AB32" s="2"/>
      <c r="AC32" s="1"/>
      <c r="AD32" s="2"/>
      <c r="AE32" s="2">
        <f>VLOOKUP(R32,'[1]VNSH03 gia thanh sx '!$F$6:$G$171,2,0)</f>
        <v>500</v>
      </c>
      <c r="AF32" s="2">
        <f t="shared" si="8"/>
        <v>0</v>
      </c>
      <c r="AG32" s="2">
        <f>IF(VLOOKUP(R32,'VNET-XF-2105'!$B$12:$D$145,3,0)&gt;=P32,P32,VLOOKUP(R32,'VNET-XF-2105'!$B$12:$D$145,3,0))</f>
        <v>495</v>
      </c>
      <c r="AH32" s="2"/>
      <c r="AI32" s="2"/>
      <c r="AJ32" s="2">
        <f t="shared" si="7"/>
        <v>5</v>
      </c>
    </row>
    <row r="33" spans="1:36" ht="60" x14ac:dyDescent="0.25">
      <c r="A33" s="1">
        <f t="shared" si="0"/>
        <v>27</v>
      </c>
      <c r="B33" s="1" t="str">
        <f t="shared" si="1"/>
        <v>C1206X5R106K500NT</v>
      </c>
      <c r="C33" s="1" t="s">
        <v>21</v>
      </c>
      <c r="D33" s="7" t="str">
        <f t="shared" si="2"/>
        <v>Board RK3562</v>
      </c>
      <c r="E33" s="7" t="str">
        <f t="shared" si="3"/>
        <v>Gerber_CAMBOX_RK3562_lot500_2505</v>
      </c>
      <c r="F33" s="7" t="str">
        <f t="shared" si="4"/>
        <v>BOM_CameraBox_2026-04-14 2205</v>
      </c>
      <c r="G33" s="1" t="s">
        <v>572</v>
      </c>
      <c r="H33" s="1" t="s">
        <v>149</v>
      </c>
      <c r="I33" s="1" t="s">
        <v>308</v>
      </c>
      <c r="J33" s="17" t="s">
        <v>389</v>
      </c>
      <c r="K33" s="1" t="s">
        <v>8</v>
      </c>
      <c r="L33" s="1" t="s">
        <v>28</v>
      </c>
      <c r="M33" s="1" t="s">
        <v>44</v>
      </c>
      <c r="N33" s="1">
        <v>1</v>
      </c>
      <c r="O33" s="7">
        <f t="shared" si="5"/>
        <v>500</v>
      </c>
      <c r="P33" s="7">
        <f t="shared" si="6"/>
        <v>500</v>
      </c>
      <c r="Q33" s="20" t="s">
        <v>401</v>
      </c>
      <c r="R33" s="20" t="s">
        <v>666</v>
      </c>
      <c r="S33" s="1"/>
      <c r="T33" s="1"/>
      <c r="U33" s="1" t="s">
        <v>38</v>
      </c>
      <c r="V33" s="1" t="s">
        <v>551</v>
      </c>
      <c r="W33" s="1" t="s">
        <v>550</v>
      </c>
      <c r="X33" s="1" t="s">
        <v>37</v>
      </c>
      <c r="Y33" s="1" t="s">
        <v>31</v>
      </c>
      <c r="Z33" s="1"/>
      <c r="AA33" s="1" t="s">
        <v>24</v>
      </c>
      <c r="AB33" s="2"/>
      <c r="AC33" s="1"/>
      <c r="AD33" s="2"/>
      <c r="AE33" s="2">
        <f>VLOOKUP(R33,'[1]VNSH03 gia thanh sx '!$F$6:$G$171,2,0)</f>
        <v>500</v>
      </c>
      <c r="AF33" s="2">
        <f t="shared" si="8"/>
        <v>0</v>
      </c>
      <c r="AG33" s="2"/>
      <c r="AH33" s="2"/>
      <c r="AI33" s="2"/>
      <c r="AJ33" s="2">
        <f t="shared" si="7"/>
        <v>500</v>
      </c>
    </row>
    <row r="34" spans="1:36" ht="60" x14ac:dyDescent="0.25">
      <c r="A34" s="1">
        <f t="shared" si="0"/>
        <v>28</v>
      </c>
      <c r="B34" s="1" t="str">
        <f t="shared" si="1"/>
        <v>CC0402FRNPO9BN120</v>
      </c>
      <c r="C34" s="1" t="s">
        <v>21</v>
      </c>
      <c r="D34" s="7" t="str">
        <f t="shared" si="2"/>
        <v>Board RK3562</v>
      </c>
      <c r="E34" s="7" t="str">
        <f t="shared" si="3"/>
        <v>Gerber_CAMBOX_RK3562_lot500_2505</v>
      </c>
      <c r="F34" s="7" t="str">
        <f t="shared" si="4"/>
        <v>BOM_CameraBox_2026-04-14 2205</v>
      </c>
      <c r="G34" s="1" t="s">
        <v>573</v>
      </c>
      <c r="H34" s="1" t="s">
        <v>149</v>
      </c>
      <c r="I34" s="1" t="s">
        <v>629</v>
      </c>
      <c r="J34" s="17" t="s">
        <v>387</v>
      </c>
      <c r="K34" s="1" t="s">
        <v>8</v>
      </c>
      <c r="L34" s="1" t="s">
        <v>28</v>
      </c>
      <c r="M34" s="1" t="s">
        <v>44</v>
      </c>
      <c r="N34" s="1">
        <v>2</v>
      </c>
      <c r="O34" s="7">
        <f t="shared" si="5"/>
        <v>500</v>
      </c>
      <c r="P34" s="7">
        <f t="shared" si="6"/>
        <v>1000</v>
      </c>
      <c r="Q34" s="20" t="s">
        <v>433</v>
      </c>
      <c r="R34" s="20" t="s">
        <v>667</v>
      </c>
      <c r="S34" s="1"/>
      <c r="T34" s="1"/>
      <c r="U34" s="1" t="s">
        <v>38</v>
      </c>
      <c r="V34" s="1" t="s">
        <v>551</v>
      </c>
      <c r="W34" s="1" t="s">
        <v>550</v>
      </c>
      <c r="X34" s="1" t="s">
        <v>37</v>
      </c>
      <c r="Y34" s="1" t="s">
        <v>31</v>
      </c>
      <c r="Z34" s="1"/>
      <c r="AA34" s="1" t="s">
        <v>24</v>
      </c>
      <c r="AB34" s="2"/>
      <c r="AC34" s="1"/>
      <c r="AD34" s="2"/>
      <c r="AE34" s="2">
        <f>VLOOKUP(R34,'[1]VNSH03 gia thanh sx '!$F$6:$G$171,2,0)</f>
        <v>1000</v>
      </c>
      <c r="AF34" s="2">
        <f t="shared" si="8"/>
        <v>0</v>
      </c>
      <c r="AG34" s="2">
        <f>IF(VLOOKUP(R34,'VNET-XF-2105'!$B$12:$D$145,3,0)&gt;=P34,P34,VLOOKUP(R34,'VNET-XF-2105'!$B$12:$D$145,3,0))</f>
        <v>990</v>
      </c>
      <c r="AH34" s="2"/>
      <c r="AI34" s="2"/>
      <c r="AJ34" s="2">
        <f t="shared" si="7"/>
        <v>10</v>
      </c>
    </row>
    <row r="35" spans="1:36" ht="60" x14ac:dyDescent="0.25">
      <c r="A35" s="1">
        <f t="shared" si="0"/>
        <v>29</v>
      </c>
      <c r="B35" s="1" t="str">
        <f t="shared" si="1"/>
        <v>EMK325ABJ107MM-T</v>
      </c>
      <c r="C35" s="1" t="s">
        <v>21</v>
      </c>
      <c r="D35" s="7" t="str">
        <f t="shared" si="2"/>
        <v>Board RK3562</v>
      </c>
      <c r="E35" s="7" t="str">
        <f t="shared" si="3"/>
        <v>Gerber_CAMBOX_RK3562_lot500_2505</v>
      </c>
      <c r="F35" s="7" t="str">
        <f t="shared" si="4"/>
        <v>BOM_CameraBox_2026-04-14 2205</v>
      </c>
      <c r="G35" s="1" t="s">
        <v>205</v>
      </c>
      <c r="H35" s="1" t="s">
        <v>149</v>
      </c>
      <c r="I35" s="1" t="s">
        <v>276</v>
      </c>
      <c r="J35" s="17" t="s">
        <v>730</v>
      </c>
      <c r="K35" s="1" t="s">
        <v>8</v>
      </c>
      <c r="L35" s="1" t="s">
        <v>28</v>
      </c>
      <c r="M35" s="1" t="s">
        <v>44</v>
      </c>
      <c r="N35" s="1">
        <v>2</v>
      </c>
      <c r="O35" s="7">
        <f t="shared" si="5"/>
        <v>500</v>
      </c>
      <c r="P35" s="7">
        <f t="shared" si="6"/>
        <v>1000</v>
      </c>
      <c r="Q35" s="20" t="s">
        <v>399</v>
      </c>
      <c r="R35" s="20" t="s">
        <v>400</v>
      </c>
      <c r="S35" s="1"/>
      <c r="T35" s="1"/>
      <c r="U35" s="1" t="s">
        <v>38</v>
      </c>
      <c r="V35" s="1" t="s">
        <v>551</v>
      </c>
      <c r="W35" s="1" t="s">
        <v>550</v>
      </c>
      <c r="X35" s="1" t="s">
        <v>37</v>
      </c>
      <c r="Y35" s="1" t="s">
        <v>31</v>
      </c>
      <c r="Z35" s="1"/>
      <c r="AA35" s="1" t="s">
        <v>24</v>
      </c>
      <c r="AB35" s="2"/>
      <c r="AC35" s="1"/>
      <c r="AD35" s="2"/>
      <c r="AE35" s="2">
        <f>VLOOKUP(R35,'[1]VNSH03 gia thanh sx '!$F$6:$G$171,2,0)</f>
        <v>1000</v>
      </c>
      <c r="AF35" s="2">
        <f t="shared" si="8"/>
        <v>0</v>
      </c>
      <c r="AG35" s="2">
        <f>IF(VLOOKUP(R35,'VNET-XF-2105'!$B$12:$D$145,3,0)&gt;=P35,P35,VLOOKUP(R35,'VNET-XF-2105'!$B$12:$D$145,3,0))</f>
        <v>500</v>
      </c>
      <c r="AH35" s="2">
        <f>IF(VLOOKUP(R35,'VNET-XF_dự kiến lần 2'!$B$2:$D$42,3,0)&gt;=(P35-AG35),(P35-AG35),VLOOKUP(R35,'VNET-XF_dự kiến lần 2'!$B$2:$D$42,3,0))</f>
        <v>500</v>
      </c>
      <c r="AI35" s="2"/>
      <c r="AJ35" s="2">
        <f t="shared" si="7"/>
        <v>0</v>
      </c>
    </row>
    <row r="36" spans="1:36" ht="60" x14ac:dyDescent="0.25">
      <c r="A36" s="1">
        <f t="shared" si="0"/>
        <v>30</v>
      </c>
      <c r="B36" s="1" t="str">
        <f t="shared" si="1"/>
        <v>0805CG330J500NT</v>
      </c>
      <c r="C36" s="1" t="s">
        <v>21</v>
      </c>
      <c r="D36" s="7" t="str">
        <f t="shared" si="2"/>
        <v>Board RK3562</v>
      </c>
      <c r="E36" s="7" t="str">
        <f t="shared" si="3"/>
        <v>Gerber_CAMBOX_RK3562_lot500_2505</v>
      </c>
      <c r="F36" s="7" t="str">
        <f t="shared" si="4"/>
        <v>BOM_CameraBox_2026-04-14 2205</v>
      </c>
      <c r="G36" s="1" t="s">
        <v>243</v>
      </c>
      <c r="H36" s="1" t="s">
        <v>149</v>
      </c>
      <c r="I36" s="1" t="s">
        <v>340</v>
      </c>
      <c r="J36" s="17" t="s">
        <v>388</v>
      </c>
      <c r="K36" s="1" t="s">
        <v>8</v>
      </c>
      <c r="L36" s="1" t="s">
        <v>28</v>
      </c>
      <c r="M36" s="1" t="s">
        <v>44</v>
      </c>
      <c r="N36" s="1">
        <v>1</v>
      </c>
      <c r="O36" s="7">
        <f t="shared" si="5"/>
        <v>500</v>
      </c>
      <c r="P36" s="7">
        <f t="shared" si="6"/>
        <v>500</v>
      </c>
      <c r="Q36" s="20" t="s">
        <v>498</v>
      </c>
      <c r="R36" s="20" t="s">
        <v>499</v>
      </c>
      <c r="S36" s="1"/>
      <c r="T36" s="1"/>
      <c r="U36" s="1" t="s">
        <v>38</v>
      </c>
      <c r="V36" s="1" t="s">
        <v>551</v>
      </c>
      <c r="W36" s="1" t="s">
        <v>550</v>
      </c>
      <c r="X36" s="1" t="s">
        <v>37</v>
      </c>
      <c r="Y36" s="1" t="s">
        <v>31</v>
      </c>
      <c r="Z36" s="1"/>
      <c r="AA36" s="1" t="s">
        <v>24</v>
      </c>
      <c r="AB36" s="2"/>
      <c r="AC36" s="1"/>
      <c r="AD36" s="2"/>
      <c r="AE36" s="2">
        <f>VLOOKUP(R36,'[1]VNSH03 gia thanh sx '!$F$6:$G$171,2,0)</f>
        <v>1000</v>
      </c>
      <c r="AF36" s="2">
        <f t="shared" si="8"/>
        <v>-500</v>
      </c>
      <c r="AG36" s="2">
        <f>IF(VLOOKUP(R36,'VNET-XF-2105'!$B$12:$D$145,3,0)&gt;=P36,P36,VLOOKUP(R36,'VNET-XF-2105'!$B$12:$D$145,3,0))</f>
        <v>495</v>
      </c>
      <c r="AH36" s="2"/>
      <c r="AI36" s="2"/>
      <c r="AJ36" s="2">
        <f t="shared" si="7"/>
        <v>5</v>
      </c>
    </row>
    <row r="37" spans="1:36" ht="60" x14ac:dyDescent="0.25">
      <c r="A37" s="1">
        <f t="shared" si="0"/>
        <v>31</v>
      </c>
      <c r="B37" s="1" t="str">
        <f t="shared" si="1"/>
        <v>FN21N100J500PAG</v>
      </c>
      <c r="C37" s="1" t="s">
        <v>21</v>
      </c>
      <c r="D37" s="7" t="str">
        <f t="shared" si="2"/>
        <v>Board RK3562</v>
      </c>
      <c r="E37" s="7" t="str">
        <f t="shared" si="3"/>
        <v>Gerber_CAMBOX_RK3562_lot500_2505</v>
      </c>
      <c r="F37" s="7" t="str">
        <f t="shared" si="4"/>
        <v>BOM_CameraBox_2026-04-14 2205</v>
      </c>
      <c r="G37" s="1" t="s">
        <v>238</v>
      </c>
      <c r="H37" s="1" t="s">
        <v>149</v>
      </c>
      <c r="I37" s="1" t="s">
        <v>333</v>
      </c>
      <c r="J37" s="17" t="s">
        <v>388</v>
      </c>
      <c r="K37" s="1" t="s">
        <v>8</v>
      </c>
      <c r="L37" s="1" t="s">
        <v>28</v>
      </c>
      <c r="M37" s="1" t="s">
        <v>44</v>
      </c>
      <c r="N37" s="1">
        <v>1</v>
      </c>
      <c r="O37" s="7">
        <f t="shared" si="5"/>
        <v>500</v>
      </c>
      <c r="P37" s="7">
        <f t="shared" si="6"/>
        <v>500</v>
      </c>
      <c r="Q37" s="20" t="s">
        <v>490</v>
      </c>
      <c r="R37" s="20" t="s">
        <v>491</v>
      </c>
      <c r="S37" s="1"/>
      <c r="T37" s="1"/>
      <c r="U37" s="1" t="s">
        <v>38</v>
      </c>
      <c r="V37" s="1" t="s">
        <v>551</v>
      </c>
      <c r="W37" s="1" t="s">
        <v>550</v>
      </c>
      <c r="X37" s="1" t="s">
        <v>37</v>
      </c>
      <c r="Y37" s="1" t="s">
        <v>31</v>
      </c>
      <c r="Z37" s="1"/>
      <c r="AA37" s="1" t="s">
        <v>24</v>
      </c>
      <c r="AB37" s="2"/>
      <c r="AC37" s="1"/>
      <c r="AD37" s="2"/>
      <c r="AE37" s="2">
        <f>VLOOKUP(R37,'[1]VNSH03 gia thanh sx '!$F$6:$G$171,2,0)</f>
        <v>500</v>
      </c>
      <c r="AF37" s="2">
        <f t="shared" si="8"/>
        <v>0</v>
      </c>
      <c r="AG37" s="2">
        <f>IF(VLOOKUP(R37,'VNET-XF-2105'!$B$12:$D$145,3,0)&gt;=P37,P37,VLOOKUP(R37,'VNET-XF-2105'!$B$12:$D$145,3,0))</f>
        <v>495</v>
      </c>
      <c r="AH37" s="2"/>
      <c r="AI37" s="2"/>
      <c r="AJ37" s="2">
        <f t="shared" si="7"/>
        <v>5</v>
      </c>
    </row>
    <row r="38" spans="1:36" ht="60" x14ac:dyDescent="0.25">
      <c r="A38" s="1">
        <f t="shared" si="0"/>
        <v>32</v>
      </c>
      <c r="B38" s="1" t="str">
        <f t="shared" si="1"/>
        <v>CCTC TCC1206X7R225K101HT</v>
      </c>
      <c r="C38" s="1" t="s">
        <v>21</v>
      </c>
      <c r="D38" s="7" t="str">
        <f t="shared" si="2"/>
        <v>Board RK3562</v>
      </c>
      <c r="E38" s="7" t="str">
        <f t="shared" si="3"/>
        <v>Gerber_CAMBOX_RK3562_lot500_2505</v>
      </c>
      <c r="F38" s="7" t="str">
        <f t="shared" si="4"/>
        <v>BOM_CameraBox_2026-04-14 2205</v>
      </c>
      <c r="G38" s="1" t="s">
        <v>574</v>
      </c>
      <c r="H38" s="1" t="s">
        <v>149</v>
      </c>
      <c r="I38" s="1" t="s">
        <v>319</v>
      </c>
      <c r="J38" s="17" t="s">
        <v>389</v>
      </c>
      <c r="K38" s="1" t="s">
        <v>8</v>
      </c>
      <c r="L38" s="1" t="s">
        <v>28</v>
      </c>
      <c r="M38" s="1" t="s">
        <v>44</v>
      </c>
      <c r="N38" s="1">
        <v>1</v>
      </c>
      <c r="O38" s="7">
        <f t="shared" si="5"/>
        <v>500</v>
      </c>
      <c r="P38" s="7">
        <f t="shared" si="6"/>
        <v>500</v>
      </c>
      <c r="Q38" s="20" t="s">
        <v>469</v>
      </c>
      <c r="R38" s="20" t="s">
        <v>470</v>
      </c>
      <c r="S38" s="1"/>
      <c r="T38" s="1"/>
      <c r="U38" s="1" t="s">
        <v>38</v>
      </c>
      <c r="V38" s="1" t="s">
        <v>551</v>
      </c>
      <c r="W38" s="1" t="s">
        <v>550</v>
      </c>
      <c r="X38" s="1" t="s">
        <v>37</v>
      </c>
      <c r="Y38" s="1" t="s">
        <v>31</v>
      </c>
      <c r="Z38" s="1"/>
      <c r="AA38" s="1" t="s">
        <v>24</v>
      </c>
      <c r="AB38" s="2"/>
      <c r="AC38" s="1" t="s">
        <v>713</v>
      </c>
      <c r="AD38" s="2"/>
      <c r="AE38" s="2" t="e">
        <f>VLOOKUP(R38,'[1]VNSH03 gia thanh sx '!$F$6:$G$171,2,0)</f>
        <v>#REF!</v>
      </c>
      <c r="AF38" s="2" t="e">
        <f t="shared" si="8"/>
        <v>#REF!</v>
      </c>
      <c r="AG38" s="2"/>
      <c r="AH38" s="2"/>
      <c r="AI38" s="2"/>
      <c r="AJ38" s="2">
        <f t="shared" si="7"/>
        <v>500</v>
      </c>
    </row>
    <row r="39" spans="1:36" ht="60" x14ac:dyDescent="0.25">
      <c r="A39" s="1">
        <f t="shared" si="0"/>
        <v>33</v>
      </c>
      <c r="B39" s="1" t="str">
        <f t="shared" si="1"/>
        <v>CL10A225KQ8NNNC</v>
      </c>
      <c r="C39" s="1" t="s">
        <v>21</v>
      </c>
      <c r="D39" s="7" t="str">
        <f t="shared" si="2"/>
        <v>Board RK3562</v>
      </c>
      <c r="E39" s="7" t="str">
        <f t="shared" si="3"/>
        <v>Gerber_CAMBOX_RK3562_lot500_2505</v>
      </c>
      <c r="F39" s="7" t="str">
        <f t="shared" si="4"/>
        <v>BOM_CameraBox_2026-04-14 2205</v>
      </c>
      <c r="G39" s="1" t="s">
        <v>575</v>
      </c>
      <c r="H39" s="1" t="s">
        <v>149</v>
      </c>
      <c r="I39" s="1" t="s">
        <v>343</v>
      </c>
      <c r="J39" s="17" t="s">
        <v>386</v>
      </c>
      <c r="K39" s="1" t="s">
        <v>8</v>
      </c>
      <c r="L39" s="1" t="s">
        <v>28</v>
      </c>
      <c r="M39" s="1" t="s">
        <v>44</v>
      </c>
      <c r="N39" s="1">
        <v>1</v>
      </c>
      <c r="O39" s="7">
        <f t="shared" si="5"/>
        <v>500</v>
      </c>
      <c r="P39" s="7">
        <f t="shared" ref="P39:P70" si="9">IF($N39="","",$N39*$O39)</f>
        <v>500</v>
      </c>
      <c r="Q39" s="20" t="s">
        <v>502</v>
      </c>
      <c r="R39" s="20" t="s">
        <v>503</v>
      </c>
      <c r="S39" s="1"/>
      <c r="T39" s="1"/>
      <c r="U39" s="1" t="s">
        <v>38</v>
      </c>
      <c r="V39" s="1" t="s">
        <v>551</v>
      </c>
      <c r="W39" s="1" t="s">
        <v>550</v>
      </c>
      <c r="X39" s="1" t="s">
        <v>37</v>
      </c>
      <c r="Y39" s="1" t="s">
        <v>31</v>
      </c>
      <c r="Z39" s="1"/>
      <c r="AA39" s="1" t="s">
        <v>24</v>
      </c>
      <c r="AB39" s="2"/>
      <c r="AC39" s="1"/>
      <c r="AD39" s="2"/>
      <c r="AE39" s="2">
        <f>VLOOKUP(R39,'[1]VNSH03 gia thanh sx '!$F$6:$G$171,2,0)</f>
        <v>500</v>
      </c>
      <c r="AF39" s="2">
        <f t="shared" si="8"/>
        <v>0</v>
      </c>
      <c r="AG39" s="2">
        <f>IF(VLOOKUP(R39,'VNET-XF-2105'!$B$12:$D$145,3,0)&gt;=P39,P39,VLOOKUP(R39,'VNET-XF-2105'!$B$12:$D$145,3,0))</f>
        <v>495</v>
      </c>
      <c r="AH39" s="2"/>
      <c r="AI39" s="2"/>
      <c r="AJ39" s="2">
        <f t="shared" si="7"/>
        <v>5</v>
      </c>
    </row>
    <row r="40" spans="1:36" ht="60" x14ac:dyDescent="0.25">
      <c r="A40" s="1">
        <f t="shared" si="0"/>
        <v>34</v>
      </c>
      <c r="B40" s="1" t="str">
        <f t="shared" si="1"/>
        <v>CL05A105KO5NNNC</v>
      </c>
      <c r="C40" s="1" t="s">
        <v>21</v>
      </c>
      <c r="D40" s="7" t="str">
        <f t="shared" si="2"/>
        <v>Board RK3562</v>
      </c>
      <c r="E40" s="7" t="str">
        <f t="shared" si="3"/>
        <v>Gerber_CAMBOX_RK3562_lot500_2505</v>
      </c>
      <c r="F40" s="7" t="str">
        <f t="shared" si="4"/>
        <v>BOM_CameraBox_2026-04-14 2205</v>
      </c>
      <c r="G40" s="1" t="s">
        <v>576</v>
      </c>
      <c r="H40" s="1" t="s">
        <v>149</v>
      </c>
      <c r="I40" s="1" t="s">
        <v>630</v>
      </c>
      <c r="J40" s="17" t="s">
        <v>387</v>
      </c>
      <c r="K40" s="1" t="s">
        <v>8</v>
      </c>
      <c r="L40" s="1" t="s">
        <v>28</v>
      </c>
      <c r="M40" s="1" t="s">
        <v>44</v>
      </c>
      <c r="N40" s="1">
        <v>3</v>
      </c>
      <c r="O40" s="7">
        <f t="shared" si="5"/>
        <v>500</v>
      </c>
      <c r="P40" s="7">
        <f t="shared" si="9"/>
        <v>1500</v>
      </c>
      <c r="Q40" s="20" t="s">
        <v>506</v>
      </c>
      <c r="R40" s="20" t="s">
        <v>668</v>
      </c>
      <c r="S40" s="1"/>
      <c r="T40" s="1"/>
      <c r="U40" s="1" t="s">
        <v>38</v>
      </c>
      <c r="V40" s="1" t="s">
        <v>551</v>
      </c>
      <c r="W40" s="1" t="s">
        <v>550</v>
      </c>
      <c r="X40" s="1" t="s">
        <v>37</v>
      </c>
      <c r="Y40" s="1" t="s">
        <v>31</v>
      </c>
      <c r="Z40" s="1"/>
      <c r="AA40" s="1" t="s">
        <v>24</v>
      </c>
      <c r="AB40" s="2"/>
      <c r="AC40" s="1" t="s">
        <v>714</v>
      </c>
      <c r="AD40" s="2"/>
      <c r="AE40" s="2">
        <f>VLOOKUP(R40,'[1]VNSH03 gia thanh sx '!$F$6:$G$171,2,0)</f>
        <v>1000</v>
      </c>
      <c r="AF40" s="2">
        <f t="shared" si="8"/>
        <v>500</v>
      </c>
      <c r="AG40" s="2">
        <f>IF(VLOOKUP(R40,'VNET-XF-2105'!$B$12:$D$145,3,0)&gt;=P40,P40,VLOOKUP(R40,'VNET-XF-2105'!$B$12:$D$145,3,0))</f>
        <v>990</v>
      </c>
      <c r="AH40" s="2"/>
      <c r="AI40" s="2"/>
      <c r="AJ40" s="2">
        <f t="shared" si="7"/>
        <v>510</v>
      </c>
    </row>
    <row r="41" spans="1:36" ht="60" x14ac:dyDescent="0.25">
      <c r="A41" s="1">
        <f t="shared" si="0"/>
        <v>35</v>
      </c>
      <c r="B41" s="1" t="str">
        <f t="shared" si="1"/>
        <v>TAJB476K010RNJ</v>
      </c>
      <c r="C41" s="1" t="s">
        <v>21</v>
      </c>
      <c r="D41" s="7" t="str">
        <f t="shared" si="2"/>
        <v>Board RK3562</v>
      </c>
      <c r="E41" s="7" t="str">
        <f t="shared" si="3"/>
        <v>Gerber_CAMBOX_RK3562_lot500_2505</v>
      </c>
      <c r="F41" s="7" t="str">
        <f t="shared" si="4"/>
        <v>BOM_CameraBox_2026-04-14 2205</v>
      </c>
      <c r="G41" s="1" t="s">
        <v>577</v>
      </c>
      <c r="H41" s="1" t="s">
        <v>149</v>
      </c>
      <c r="I41" s="1" t="s">
        <v>631</v>
      </c>
      <c r="J41" s="17"/>
      <c r="K41" s="1" t="s">
        <v>8</v>
      </c>
      <c r="L41" s="1" t="s">
        <v>28</v>
      </c>
      <c r="M41" s="1" t="s">
        <v>44</v>
      </c>
      <c r="N41" s="1">
        <v>2</v>
      </c>
      <c r="O41" s="7">
        <f t="shared" si="5"/>
        <v>500</v>
      </c>
      <c r="P41" s="7">
        <f t="shared" si="9"/>
        <v>1000</v>
      </c>
      <c r="Q41" s="20" t="s">
        <v>669</v>
      </c>
      <c r="R41" s="20" t="s">
        <v>670</v>
      </c>
      <c r="S41" s="1"/>
      <c r="T41" s="1"/>
      <c r="U41" s="1" t="s">
        <v>38</v>
      </c>
      <c r="V41" s="1" t="s">
        <v>551</v>
      </c>
      <c r="W41" s="1" t="s">
        <v>550</v>
      </c>
      <c r="X41" s="1" t="s">
        <v>37</v>
      </c>
      <c r="Y41" s="1" t="s">
        <v>31</v>
      </c>
      <c r="Z41" s="1"/>
      <c r="AA41" s="1" t="s">
        <v>24</v>
      </c>
      <c r="AB41" s="2"/>
      <c r="AC41" s="1"/>
      <c r="AD41" s="2"/>
      <c r="AE41" s="2">
        <f>VLOOKUP(R41,'[1]VNSH03 gia thanh sx '!$F$6:$G$171,2,0)</f>
        <v>1000</v>
      </c>
      <c r="AF41" s="2">
        <f t="shared" si="8"/>
        <v>0</v>
      </c>
      <c r="AG41" s="2">
        <f>IF(VLOOKUP(R41,'VNET-XF-2105'!$B$12:$D$145,3,0)&gt;=P41,P41,VLOOKUP(R41,'VNET-XF-2105'!$B$12:$D$145,3,0))</f>
        <v>990</v>
      </c>
      <c r="AH41" s="2"/>
      <c r="AI41" s="2"/>
      <c r="AJ41" s="2">
        <f t="shared" si="7"/>
        <v>10</v>
      </c>
    </row>
    <row r="42" spans="1:36" ht="60" x14ac:dyDescent="0.25">
      <c r="A42" s="1">
        <f t="shared" si="0"/>
        <v>36</v>
      </c>
      <c r="B42" s="1" t="str">
        <f t="shared" si="1"/>
        <v>MY-2016-02</v>
      </c>
      <c r="C42" s="1" t="s">
        <v>21</v>
      </c>
      <c r="D42" s="7" t="str">
        <f t="shared" si="2"/>
        <v>Board RK3562</v>
      </c>
      <c r="E42" s="7" t="str">
        <f t="shared" si="3"/>
        <v>Gerber_CAMBOX_RK3562_lot500_2505</v>
      </c>
      <c r="F42" s="7" t="str">
        <f t="shared" si="4"/>
        <v>BOM_CameraBox_2026-04-14 2205</v>
      </c>
      <c r="G42" s="1" t="s">
        <v>578</v>
      </c>
      <c r="H42" s="1" t="s">
        <v>175</v>
      </c>
      <c r="I42" s="1" t="s">
        <v>632</v>
      </c>
      <c r="J42" s="1"/>
      <c r="K42" s="1" t="s">
        <v>8</v>
      </c>
      <c r="L42" s="1" t="s">
        <v>28</v>
      </c>
      <c r="M42" s="1" t="s">
        <v>44</v>
      </c>
      <c r="N42" s="1">
        <v>1</v>
      </c>
      <c r="O42" s="7">
        <f t="shared" si="5"/>
        <v>500</v>
      </c>
      <c r="P42" s="7">
        <f t="shared" si="9"/>
        <v>500</v>
      </c>
      <c r="Q42" s="20" t="s">
        <v>671</v>
      </c>
      <c r="R42" s="20" t="s">
        <v>672</v>
      </c>
      <c r="S42" s="1"/>
      <c r="T42" s="1"/>
      <c r="U42" s="1" t="s">
        <v>38</v>
      </c>
      <c r="V42" s="1" t="s">
        <v>551</v>
      </c>
      <c r="W42" s="1" t="s">
        <v>550</v>
      </c>
      <c r="X42" s="1" t="s">
        <v>37</v>
      </c>
      <c r="Y42" s="1" t="s">
        <v>31</v>
      </c>
      <c r="Z42" s="1"/>
      <c r="AA42" s="1" t="s">
        <v>24</v>
      </c>
      <c r="AB42" s="2"/>
      <c r="AC42" s="1"/>
      <c r="AD42" s="2"/>
      <c r="AE42" s="2">
        <f>VLOOKUP(R42,'[1]VNSH03 gia thanh sx '!$F$6:$G$171,2,0)</f>
        <v>500</v>
      </c>
      <c r="AF42" s="2">
        <f t="shared" si="8"/>
        <v>0</v>
      </c>
      <c r="AG42" s="2">
        <f>IF(VLOOKUP(R42,'VNET-XF-2105'!$B$12:$D$145,3,0)&gt;=P42,P42,VLOOKUP(R42,'VNET-XF-2105'!$B$12:$D$145,3,0))</f>
        <v>495</v>
      </c>
      <c r="AH42" s="2">
        <f>IF(VLOOKUP(R42,'VNET-XF_dự kiến lần 2'!$B$2:$D$42,3,0)&gt;=(P42-AG42),(P42-AG42),VLOOKUP(R42,'VNET-XF_dự kiến lần 2'!$B$2:$D$42,3,0))</f>
        <v>5</v>
      </c>
      <c r="AI42" s="2"/>
      <c r="AJ42" s="2">
        <f t="shared" si="7"/>
        <v>0</v>
      </c>
    </row>
    <row r="43" spans="1:36" ht="60" x14ac:dyDescent="0.25">
      <c r="A43" s="1">
        <f t="shared" si="0"/>
        <v>37</v>
      </c>
      <c r="B43" s="1" t="str">
        <f t="shared" si="1"/>
        <v>M6110-01</v>
      </c>
      <c r="C43" s="1" t="s">
        <v>21</v>
      </c>
      <c r="D43" s="7" t="str">
        <f t="shared" si="2"/>
        <v>Board RK3562</v>
      </c>
      <c r="E43" s="7" t="str">
        <f t="shared" si="3"/>
        <v>Gerber_CAMBOX_RK3562_lot500_2505</v>
      </c>
      <c r="F43" s="7" t="str">
        <f t="shared" si="4"/>
        <v>BOM_CameraBox_2026-04-14 2205</v>
      </c>
      <c r="G43" s="1" t="s">
        <v>271</v>
      </c>
      <c r="H43" s="1" t="s">
        <v>175</v>
      </c>
      <c r="I43" s="1" t="s">
        <v>385</v>
      </c>
      <c r="J43" s="1"/>
      <c r="K43" s="1" t="s">
        <v>8</v>
      </c>
      <c r="L43" s="1" t="s">
        <v>28</v>
      </c>
      <c r="M43" s="1" t="s">
        <v>44</v>
      </c>
      <c r="N43" s="1">
        <v>1</v>
      </c>
      <c r="O43" s="7">
        <f t="shared" si="5"/>
        <v>500</v>
      </c>
      <c r="P43" s="7">
        <f t="shared" si="9"/>
        <v>500</v>
      </c>
      <c r="Q43" s="20" t="s">
        <v>547</v>
      </c>
      <c r="R43" s="20" t="s">
        <v>673</v>
      </c>
      <c r="S43" s="1"/>
      <c r="T43" s="1"/>
      <c r="U43" s="1" t="s">
        <v>38</v>
      </c>
      <c r="V43" s="1" t="s">
        <v>551</v>
      </c>
      <c r="W43" s="1" t="s">
        <v>550</v>
      </c>
      <c r="X43" s="1" t="s">
        <v>37</v>
      </c>
      <c r="Y43" s="1" t="s">
        <v>31</v>
      </c>
      <c r="Z43" s="1"/>
      <c r="AA43" s="1" t="s">
        <v>24</v>
      </c>
      <c r="AB43" s="2"/>
      <c r="AC43" s="1"/>
      <c r="AD43" s="2"/>
      <c r="AE43" s="2">
        <f>VLOOKUP(R43,'[1]VNSH03 gia thanh sx '!$F$6:$G$171,2,0)</f>
        <v>500</v>
      </c>
      <c r="AF43" s="2">
        <f t="shared" si="8"/>
        <v>0</v>
      </c>
      <c r="AG43" s="2">
        <f>IF(VLOOKUP(R43,'VNET-XF-2105'!$B$12:$D$145,3,0)&gt;=P43,P43,VLOOKUP(R43,'VNET-XF-2105'!$B$12:$D$145,3,0))</f>
        <v>495</v>
      </c>
      <c r="AH43" s="2"/>
      <c r="AI43" s="2"/>
      <c r="AJ43" s="2">
        <f t="shared" si="7"/>
        <v>5</v>
      </c>
    </row>
    <row r="44" spans="1:36" ht="60" x14ac:dyDescent="0.25">
      <c r="A44" s="1">
        <f t="shared" si="0"/>
        <v>38</v>
      </c>
      <c r="B44" s="1" t="str">
        <f t="shared" si="1"/>
        <v>KH-IPEX-K501-29</v>
      </c>
      <c r="C44" s="1" t="s">
        <v>21</v>
      </c>
      <c r="D44" s="7" t="str">
        <f t="shared" si="2"/>
        <v>Board RK3562</v>
      </c>
      <c r="E44" s="7" t="str">
        <f t="shared" si="3"/>
        <v>Gerber_CAMBOX_RK3562_lot500_2505</v>
      </c>
      <c r="F44" s="7" t="str">
        <f t="shared" si="4"/>
        <v>BOM_CameraBox_2026-04-14 2205</v>
      </c>
      <c r="G44" s="1" t="s">
        <v>579</v>
      </c>
      <c r="H44" s="1" t="s">
        <v>175</v>
      </c>
      <c r="I44" s="1" t="s">
        <v>301</v>
      </c>
      <c r="J44" s="1"/>
      <c r="K44" s="1" t="s">
        <v>8</v>
      </c>
      <c r="L44" s="1" t="s">
        <v>28</v>
      </c>
      <c r="M44" s="1" t="s">
        <v>44</v>
      </c>
      <c r="N44" s="1">
        <v>3</v>
      </c>
      <c r="O44" s="7">
        <f t="shared" si="5"/>
        <v>500</v>
      </c>
      <c r="P44" s="7">
        <f t="shared" si="9"/>
        <v>1500</v>
      </c>
      <c r="Q44" s="20" t="s">
        <v>442</v>
      </c>
      <c r="R44" s="20" t="s">
        <v>443</v>
      </c>
      <c r="S44" s="1"/>
      <c r="T44" s="1"/>
      <c r="U44" s="1" t="s">
        <v>38</v>
      </c>
      <c r="V44" s="1" t="s">
        <v>551</v>
      </c>
      <c r="W44" s="1" t="s">
        <v>550</v>
      </c>
      <c r="X44" s="1" t="s">
        <v>37</v>
      </c>
      <c r="Y44" s="1" t="s">
        <v>31</v>
      </c>
      <c r="Z44" s="1"/>
      <c r="AA44" s="1" t="s">
        <v>24</v>
      </c>
      <c r="AB44" s="2"/>
      <c r="AC44" s="1"/>
      <c r="AD44" s="2"/>
      <c r="AE44" s="2">
        <f>VLOOKUP(R44,'[1]VNSH03 gia thanh sx '!$F$6:$G$171,2,0)</f>
        <v>1000</v>
      </c>
      <c r="AF44" s="2">
        <f t="shared" si="8"/>
        <v>500</v>
      </c>
      <c r="AG44" s="2">
        <f>IF(VLOOKUP(R44,'VNET-XF-2105'!$B$12:$D$145,3,0)&gt;=P44,P44,VLOOKUP(R44,'VNET-XF-2105'!$B$12:$D$145,3,0))</f>
        <v>985</v>
      </c>
      <c r="AH44" s="2">
        <f>IF(VLOOKUP(R44,'VNET-XF_dự kiến lần 2'!$B$2:$D$42,3,0)&gt;=(P44-AG44),(P44-AG44),VLOOKUP(R44,'VNET-XF_dự kiến lần 2'!$B$2:$D$42,3,0))</f>
        <v>500</v>
      </c>
      <c r="AI44" s="2"/>
      <c r="AJ44" s="2">
        <f t="shared" si="7"/>
        <v>15</v>
      </c>
    </row>
    <row r="45" spans="1:36" ht="60" x14ac:dyDescent="0.25">
      <c r="A45" s="1">
        <f t="shared" si="0"/>
        <v>39</v>
      </c>
      <c r="B45" s="1" t="str">
        <f t="shared" si="1"/>
        <v>APCI0146-P001A</v>
      </c>
      <c r="C45" s="1" t="s">
        <v>21</v>
      </c>
      <c r="D45" s="7" t="str">
        <f t="shared" si="2"/>
        <v>Board RK3562</v>
      </c>
      <c r="E45" s="7" t="str">
        <f t="shared" si="3"/>
        <v>Gerber_CAMBOX_RK3562_lot500_2505</v>
      </c>
      <c r="F45" s="7" t="str">
        <f t="shared" si="4"/>
        <v>BOM_CameraBox_2026-04-14 2205</v>
      </c>
      <c r="G45" s="1" t="s">
        <v>580</v>
      </c>
      <c r="H45" s="1" t="s">
        <v>175</v>
      </c>
      <c r="I45" s="1" t="s">
        <v>633</v>
      </c>
      <c r="J45" s="1"/>
      <c r="K45" s="1" t="s">
        <v>8</v>
      </c>
      <c r="L45" s="1" t="s">
        <v>28</v>
      </c>
      <c r="M45" s="1" t="s">
        <v>44</v>
      </c>
      <c r="N45" s="1">
        <v>1</v>
      </c>
      <c r="O45" s="7">
        <f t="shared" si="5"/>
        <v>500</v>
      </c>
      <c r="P45" s="7">
        <f t="shared" si="9"/>
        <v>500</v>
      </c>
      <c r="Q45" s="20" t="s">
        <v>674</v>
      </c>
      <c r="R45" s="20" t="s">
        <v>675</v>
      </c>
      <c r="S45" s="1"/>
      <c r="T45" s="1"/>
      <c r="U45" s="1" t="s">
        <v>38</v>
      </c>
      <c r="V45" s="1" t="s">
        <v>551</v>
      </c>
      <c r="W45" s="1" t="s">
        <v>550</v>
      </c>
      <c r="X45" s="1" t="s">
        <v>37</v>
      </c>
      <c r="Y45" s="1" t="s">
        <v>31</v>
      </c>
      <c r="Z45" s="1"/>
      <c r="AA45" s="1" t="s">
        <v>24</v>
      </c>
      <c r="AB45" s="2"/>
      <c r="AC45" s="1"/>
      <c r="AD45" s="2"/>
      <c r="AE45" s="2">
        <f>VLOOKUP(R45,'[1]VNSH03 gia thanh sx '!$F$6:$G$171,2,0)</f>
        <v>500</v>
      </c>
      <c r="AF45" s="2">
        <f t="shared" si="8"/>
        <v>0</v>
      </c>
      <c r="AG45" s="2">
        <f>IF(VLOOKUP(R45,'VNET-XF-2105'!$B$12:$D$145,3,0)&gt;=P45,P45,VLOOKUP(R45,'VNET-XF-2105'!$B$12:$D$145,3,0))</f>
        <v>495</v>
      </c>
      <c r="AH45" s="2"/>
      <c r="AI45" s="2"/>
      <c r="AJ45" s="2">
        <f t="shared" si="7"/>
        <v>5</v>
      </c>
    </row>
    <row r="46" spans="1:36" ht="60" x14ac:dyDescent="0.25">
      <c r="A46" s="1">
        <f t="shared" si="0"/>
        <v>40</v>
      </c>
      <c r="B46" s="1" t="str">
        <f t="shared" si="1"/>
        <v>C7802-02</v>
      </c>
      <c r="C46" s="1" t="s">
        <v>21</v>
      </c>
      <c r="D46" s="7" t="str">
        <f t="shared" si="2"/>
        <v>Board RK3562</v>
      </c>
      <c r="E46" s="7" t="str">
        <f t="shared" si="3"/>
        <v>Gerber_CAMBOX_RK3562_lot500_2505</v>
      </c>
      <c r="F46" s="7" t="str">
        <f t="shared" si="4"/>
        <v>BOM_CameraBox_2026-04-14 2205</v>
      </c>
      <c r="G46" s="1" t="s">
        <v>210</v>
      </c>
      <c r="H46" s="1" t="s">
        <v>175</v>
      </c>
      <c r="I46" s="1" t="s">
        <v>282</v>
      </c>
      <c r="J46" s="1"/>
      <c r="K46" s="1" t="s">
        <v>8</v>
      </c>
      <c r="L46" s="1" t="s">
        <v>28</v>
      </c>
      <c r="M46" s="1" t="s">
        <v>44</v>
      </c>
      <c r="N46" s="1">
        <v>1</v>
      </c>
      <c r="O46" s="7">
        <f t="shared" si="5"/>
        <v>500</v>
      </c>
      <c r="P46" s="7">
        <f t="shared" si="9"/>
        <v>500</v>
      </c>
      <c r="Q46" s="20" t="s">
        <v>547</v>
      </c>
      <c r="R46" s="20" t="s">
        <v>413</v>
      </c>
      <c r="S46" s="1"/>
      <c r="T46" s="1"/>
      <c r="U46" s="1" t="s">
        <v>38</v>
      </c>
      <c r="V46" s="1" t="s">
        <v>551</v>
      </c>
      <c r="W46" s="1" t="s">
        <v>550</v>
      </c>
      <c r="X46" s="1" t="s">
        <v>37</v>
      </c>
      <c r="Y46" s="1" t="s">
        <v>31</v>
      </c>
      <c r="Z46" s="1"/>
      <c r="AA46" s="1" t="s">
        <v>24</v>
      </c>
      <c r="AB46" s="2"/>
      <c r="AC46" s="1"/>
      <c r="AD46" s="2"/>
      <c r="AE46" s="2">
        <f>VLOOKUP(R46,'[1]VNSH03 gia thanh sx '!$F$6:$G$171,2,0)</f>
        <v>500</v>
      </c>
      <c r="AF46" s="2">
        <f t="shared" si="8"/>
        <v>0</v>
      </c>
      <c r="AG46" s="2">
        <f>IF(VLOOKUP(R46,'VNET-XF-2105'!$B$12:$D$145,3,0)&gt;=P46,P46,VLOOKUP(R46,'VNET-XF-2105'!$B$12:$D$145,3,0))</f>
        <v>495</v>
      </c>
      <c r="AH46" s="2"/>
      <c r="AI46" s="2"/>
      <c r="AJ46" s="2">
        <f t="shared" si="7"/>
        <v>5</v>
      </c>
    </row>
    <row r="47" spans="1:36" ht="60" x14ac:dyDescent="0.25">
      <c r="A47" s="1">
        <f t="shared" si="0"/>
        <v>41</v>
      </c>
      <c r="B47" s="1" t="str">
        <f t="shared" si="1"/>
        <v>2.D.1.270002002</v>
      </c>
      <c r="C47" s="1" t="s">
        <v>21</v>
      </c>
      <c r="D47" s="7" t="str">
        <f t="shared" si="2"/>
        <v>Board RK3562</v>
      </c>
      <c r="E47" s="7" t="str">
        <f t="shared" si="3"/>
        <v>Gerber_CAMBOX_RK3562_lot500_2505</v>
      </c>
      <c r="F47" s="7" t="str">
        <f t="shared" si="4"/>
        <v>BOM_CameraBox_2026-04-14 2205</v>
      </c>
      <c r="G47" s="1" t="s">
        <v>227</v>
      </c>
      <c r="H47" s="1" t="s">
        <v>728</v>
      </c>
      <c r="I47" s="1" t="s">
        <v>318</v>
      </c>
      <c r="J47" s="1"/>
      <c r="K47" s="1" t="s">
        <v>8</v>
      </c>
      <c r="L47" s="1" t="s">
        <v>28</v>
      </c>
      <c r="M47" s="1" t="s">
        <v>44</v>
      </c>
      <c r="N47" s="1">
        <v>1</v>
      </c>
      <c r="O47" s="7">
        <f t="shared" si="5"/>
        <v>500</v>
      </c>
      <c r="P47" s="7">
        <f t="shared" si="9"/>
        <v>500</v>
      </c>
      <c r="Q47" s="20" t="s">
        <v>467</v>
      </c>
      <c r="R47" s="20" t="s">
        <v>468</v>
      </c>
      <c r="S47" s="1"/>
      <c r="T47" s="1"/>
      <c r="U47" s="1" t="s">
        <v>38</v>
      </c>
      <c r="V47" s="1" t="s">
        <v>551</v>
      </c>
      <c r="W47" s="1" t="s">
        <v>550</v>
      </c>
      <c r="X47" s="1" t="s">
        <v>37</v>
      </c>
      <c r="Y47" s="1" t="s">
        <v>31</v>
      </c>
      <c r="Z47" s="1"/>
      <c r="AA47" s="1" t="s">
        <v>24</v>
      </c>
      <c r="AB47" s="2"/>
      <c r="AC47" s="1"/>
      <c r="AD47" s="2"/>
      <c r="AE47" s="2">
        <f>VLOOKUP(R47,'[1]VNSH03 gia thanh sx '!$F$6:$G$171,2,0)</f>
        <v>500</v>
      </c>
      <c r="AF47" s="2">
        <f t="shared" si="8"/>
        <v>0</v>
      </c>
      <c r="AG47" s="2"/>
      <c r="AH47" s="2">
        <f>IF(VLOOKUP(R47,'VNET-XF_dự kiến lần 2'!$B$2:$D$42,3,0)&gt;=(P47-AG47),(P47-AG47),VLOOKUP(R47,'VNET-XF_dự kiến lần 2'!$B$2:$D$42,3,0))</f>
        <v>500</v>
      </c>
      <c r="AI47" s="2"/>
      <c r="AJ47" s="2">
        <f t="shared" si="7"/>
        <v>0</v>
      </c>
    </row>
    <row r="48" spans="1:36" ht="60" x14ac:dyDescent="0.25">
      <c r="A48" s="1">
        <f t="shared" si="0"/>
        <v>42</v>
      </c>
      <c r="B48" s="1" t="str">
        <f t="shared" si="1"/>
        <v>ABS07-32.768KHZ-T</v>
      </c>
      <c r="C48" s="1" t="s">
        <v>21</v>
      </c>
      <c r="D48" s="7" t="str">
        <f t="shared" si="2"/>
        <v>Board RK3562</v>
      </c>
      <c r="E48" s="7" t="str">
        <f t="shared" si="3"/>
        <v>Gerber_CAMBOX_RK3562_lot500_2505</v>
      </c>
      <c r="F48" s="7" t="str">
        <f t="shared" si="4"/>
        <v>BOM_CameraBox_2026-04-14 2205</v>
      </c>
      <c r="G48" s="1" t="s">
        <v>581</v>
      </c>
      <c r="H48" s="1" t="s">
        <v>728</v>
      </c>
      <c r="I48" s="1" t="s">
        <v>634</v>
      </c>
      <c r="J48" s="1"/>
      <c r="K48" s="1" t="s">
        <v>8</v>
      </c>
      <c r="L48" s="1" t="s">
        <v>28</v>
      </c>
      <c r="M48" s="1" t="s">
        <v>44</v>
      </c>
      <c r="N48" s="1">
        <v>1</v>
      </c>
      <c r="O48" s="7">
        <f t="shared" si="5"/>
        <v>500</v>
      </c>
      <c r="P48" s="7">
        <f t="shared" si="9"/>
        <v>500</v>
      </c>
      <c r="Q48" s="20" t="s">
        <v>676</v>
      </c>
      <c r="R48" s="20" t="s">
        <v>677</v>
      </c>
      <c r="S48" s="1"/>
      <c r="T48" s="1"/>
      <c r="U48" s="1" t="s">
        <v>38</v>
      </c>
      <c r="V48" s="1" t="s">
        <v>551</v>
      </c>
      <c r="W48" s="1" t="s">
        <v>550</v>
      </c>
      <c r="X48" s="1" t="s">
        <v>37</v>
      </c>
      <c r="Y48" s="1" t="s">
        <v>31</v>
      </c>
      <c r="Z48" s="1"/>
      <c r="AA48" s="1" t="s">
        <v>24</v>
      </c>
      <c r="AB48" s="2"/>
      <c r="AC48" s="1"/>
      <c r="AD48" s="2"/>
      <c r="AE48" s="2">
        <f>VLOOKUP(R48,'[1]VNSH03 gia thanh sx '!$F$6:$G$171,2,0)</f>
        <v>500</v>
      </c>
      <c r="AF48" s="2">
        <f t="shared" si="8"/>
        <v>0</v>
      </c>
      <c r="AG48" s="2">
        <f>IF(VLOOKUP(R48,'VNET-XF-2105'!$B$12:$D$145,3,0)&gt;=P48,P48,VLOOKUP(R48,'VNET-XF-2105'!$B$12:$D$145,3,0))</f>
        <v>495</v>
      </c>
      <c r="AH48" s="2"/>
      <c r="AI48" s="2"/>
      <c r="AJ48" s="2">
        <f t="shared" si="7"/>
        <v>5</v>
      </c>
    </row>
    <row r="49" spans="1:36" ht="60" x14ac:dyDescent="0.25">
      <c r="A49" s="1">
        <f t="shared" si="0"/>
        <v>43</v>
      </c>
      <c r="B49" s="1" t="str">
        <f t="shared" si="1"/>
        <v>SX20Y025000B91T002</v>
      </c>
      <c r="C49" s="1" t="s">
        <v>21</v>
      </c>
      <c r="D49" s="7" t="str">
        <f t="shared" si="2"/>
        <v>Board RK3562</v>
      </c>
      <c r="E49" s="7" t="str">
        <f t="shared" si="3"/>
        <v>Gerber_CAMBOX_RK3562_lot500_2505</v>
      </c>
      <c r="F49" s="7" t="str">
        <f t="shared" si="4"/>
        <v>BOM_CameraBox_2026-04-14 2205</v>
      </c>
      <c r="G49" s="1" t="s">
        <v>582</v>
      </c>
      <c r="H49" s="1" t="s">
        <v>728</v>
      </c>
      <c r="I49" s="1" t="s">
        <v>635</v>
      </c>
      <c r="J49" s="1"/>
      <c r="K49" s="1" t="s">
        <v>8</v>
      </c>
      <c r="L49" s="1" t="s">
        <v>28</v>
      </c>
      <c r="M49" s="1" t="s">
        <v>44</v>
      </c>
      <c r="N49" s="1">
        <v>1</v>
      </c>
      <c r="O49" s="7">
        <f t="shared" si="5"/>
        <v>500</v>
      </c>
      <c r="P49" s="7">
        <f t="shared" si="9"/>
        <v>500</v>
      </c>
      <c r="Q49" s="20" t="s">
        <v>678</v>
      </c>
      <c r="R49" s="20" t="s">
        <v>679</v>
      </c>
      <c r="S49" s="1"/>
      <c r="T49" s="1"/>
      <c r="U49" s="1" t="s">
        <v>38</v>
      </c>
      <c r="V49" s="1" t="s">
        <v>551</v>
      </c>
      <c r="W49" s="1" t="s">
        <v>550</v>
      </c>
      <c r="X49" s="1" t="s">
        <v>37</v>
      </c>
      <c r="Y49" s="1" t="s">
        <v>31</v>
      </c>
      <c r="Z49" s="1"/>
      <c r="AA49" s="1" t="s">
        <v>24</v>
      </c>
      <c r="AB49" s="2"/>
      <c r="AC49" s="1"/>
      <c r="AD49" s="2"/>
      <c r="AE49" s="2">
        <f>VLOOKUP(R49,'[1]VNSH03 gia thanh sx '!$F$6:$G$171,2,0)</f>
        <v>500</v>
      </c>
      <c r="AF49" s="2">
        <f t="shared" si="8"/>
        <v>0</v>
      </c>
      <c r="AG49" s="2">
        <f>IF(VLOOKUP(R49,'VNET-XF-2105'!$B$12:$D$145,3,0)&gt;=P49,P49,VLOOKUP(R49,'VNET-XF-2105'!$B$12:$D$145,3,0))</f>
        <v>495</v>
      </c>
      <c r="AH49" s="2"/>
      <c r="AI49" s="2"/>
      <c r="AJ49" s="2">
        <f t="shared" si="7"/>
        <v>5</v>
      </c>
    </row>
    <row r="50" spans="1:36" ht="60" x14ac:dyDescent="0.25">
      <c r="A50" s="1">
        <f t="shared" si="0"/>
        <v>44</v>
      </c>
      <c r="B50" s="1" t="str">
        <f t="shared" si="1"/>
        <v>ESD5Z5V0</v>
      </c>
      <c r="C50" s="1" t="s">
        <v>21</v>
      </c>
      <c r="D50" s="7" t="str">
        <f t="shared" si="2"/>
        <v>Board RK3562</v>
      </c>
      <c r="E50" s="7" t="str">
        <f t="shared" si="3"/>
        <v>Gerber_CAMBOX_RK3562_lot500_2505</v>
      </c>
      <c r="F50" s="7" t="str">
        <f t="shared" si="4"/>
        <v>BOM_CameraBox_2026-04-14 2205</v>
      </c>
      <c r="G50" s="1" t="s">
        <v>583</v>
      </c>
      <c r="H50" s="1" t="s">
        <v>158</v>
      </c>
      <c r="I50" s="1" t="s">
        <v>315</v>
      </c>
      <c r="J50" s="1"/>
      <c r="K50" s="1" t="s">
        <v>8</v>
      </c>
      <c r="L50" s="1" t="s">
        <v>28</v>
      </c>
      <c r="M50" s="1" t="s">
        <v>44</v>
      </c>
      <c r="N50" s="1">
        <v>3</v>
      </c>
      <c r="O50" s="7">
        <f t="shared" si="5"/>
        <v>500</v>
      </c>
      <c r="P50" s="7">
        <f t="shared" si="9"/>
        <v>1500</v>
      </c>
      <c r="Q50" s="20" t="s">
        <v>462</v>
      </c>
      <c r="R50" s="20" t="s">
        <v>463</v>
      </c>
      <c r="S50" s="1"/>
      <c r="T50" s="1"/>
      <c r="U50" s="1" t="s">
        <v>38</v>
      </c>
      <c r="V50" s="1" t="s">
        <v>551</v>
      </c>
      <c r="W50" s="1" t="s">
        <v>550</v>
      </c>
      <c r="X50" s="1" t="s">
        <v>37</v>
      </c>
      <c r="Y50" s="1" t="s">
        <v>31</v>
      </c>
      <c r="Z50" s="1"/>
      <c r="AA50" s="1" t="s">
        <v>24</v>
      </c>
      <c r="AB50" s="2"/>
      <c r="AC50" s="1" t="s">
        <v>715</v>
      </c>
      <c r="AD50" s="2"/>
      <c r="AE50" s="2">
        <f>VLOOKUP(R50,'[1]VNSH03 gia thanh sx '!$F$6:$G$171,2,0)</f>
        <v>4500</v>
      </c>
      <c r="AF50" s="2">
        <f t="shared" si="8"/>
        <v>-3000</v>
      </c>
      <c r="AG50" s="2">
        <f>IF(VLOOKUP(R50,'VNET-XF-2105'!$B$12:$D$145,3,0)&gt;=P50,P50,VLOOKUP(R50,'VNET-XF-2105'!$B$12:$D$145,3,0))</f>
        <v>1500</v>
      </c>
      <c r="AH50" s="2">
        <f>IF(VLOOKUP(R50,'VNET-XF_dự kiến lần 2'!$B$2:$D$42,3,0)&gt;=(P50-AG50),(P50-AG50),VLOOKUP(R50,'VNET-XF_dự kiến lần 2'!$B$2:$D$42,3,0))</f>
        <v>0</v>
      </c>
      <c r="AI50" s="2"/>
      <c r="AJ50" s="2">
        <f t="shared" si="7"/>
        <v>0</v>
      </c>
    </row>
    <row r="51" spans="1:36" ht="60" x14ac:dyDescent="0.25">
      <c r="A51" s="1">
        <f t="shared" si="0"/>
        <v>45</v>
      </c>
      <c r="B51" s="1" t="str">
        <f t="shared" si="1"/>
        <v>LM-AZ6118-01F</v>
      </c>
      <c r="C51" s="1" t="s">
        <v>21</v>
      </c>
      <c r="D51" s="7" t="str">
        <f t="shared" si="2"/>
        <v>Board RK3562</v>
      </c>
      <c r="E51" s="7" t="str">
        <f t="shared" si="3"/>
        <v>Gerber_CAMBOX_RK3562_lot500_2505</v>
      </c>
      <c r="F51" s="7" t="str">
        <f t="shared" si="4"/>
        <v>BOM_CameraBox_2026-04-14 2205</v>
      </c>
      <c r="G51" s="1" t="s">
        <v>584</v>
      </c>
      <c r="H51" s="1" t="s">
        <v>158</v>
      </c>
      <c r="I51" s="1" t="s">
        <v>288</v>
      </c>
      <c r="J51" s="17" t="s">
        <v>732</v>
      </c>
      <c r="K51" s="1" t="s">
        <v>8</v>
      </c>
      <c r="L51" s="1" t="s">
        <v>28</v>
      </c>
      <c r="M51" s="1" t="s">
        <v>44</v>
      </c>
      <c r="N51" s="1">
        <v>6</v>
      </c>
      <c r="O51" s="7">
        <f t="shared" si="5"/>
        <v>500</v>
      </c>
      <c r="P51" s="7">
        <f t="shared" si="9"/>
        <v>3000</v>
      </c>
      <c r="Q51" s="20" t="s">
        <v>421</v>
      </c>
      <c r="R51" s="20" t="s">
        <v>422</v>
      </c>
      <c r="S51" s="1"/>
      <c r="T51" s="1"/>
      <c r="U51" s="1" t="s">
        <v>38</v>
      </c>
      <c r="V51" s="1" t="s">
        <v>551</v>
      </c>
      <c r="W51" s="1" t="s">
        <v>550</v>
      </c>
      <c r="X51" s="1" t="s">
        <v>37</v>
      </c>
      <c r="Y51" s="1" t="s">
        <v>31</v>
      </c>
      <c r="Z51" s="1"/>
      <c r="AA51" s="1" t="s">
        <v>24</v>
      </c>
      <c r="AB51" s="2"/>
      <c r="AC51" s="1"/>
      <c r="AD51" s="2"/>
      <c r="AE51" s="2">
        <f>VLOOKUP(R51,'[1]VNSH03 gia thanh sx '!$F$6:$G$171,2,0)</f>
        <v>3000</v>
      </c>
      <c r="AF51" s="2">
        <f t="shared" si="8"/>
        <v>0</v>
      </c>
      <c r="AG51" s="2">
        <f>IF(VLOOKUP(R51,'VNET-XF-2105'!$B$12:$D$145,3,0)&gt;=P51,P51,VLOOKUP(R51,'VNET-XF-2105'!$B$12:$D$145,3,0))</f>
        <v>2970</v>
      </c>
      <c r="AH51" s="2"/>
      <c r="AI51" s="2"/>
      <c r="AJ51" s="2">
        <f t="shared" si="7"/>
        <v>30</v>
      </c>
    </row>
    <row r="52" spans="1:36" ht="60" x14ac:dyDescent="0.25">
      <c r="A52" s="1">
        <f t="shared" si="0"/>
        <v>46</v>
      </c>
      <c r="B52" s="1" t="str">
        <f t="shared" si="1"/>
        <v>PDS760-13</v>
      </c>
      <c r="C52" s="1" t="s">
        <v>21</v>
      </c>
      <c r="D52" s="7" t="str">
        <f t="shared" si="2"/>
        <v>Board RK3562</v>
      </c>
      <c r="E52" s="7" t="str">
        <f t="shared" si="3"/>
        <v>Gerber_CAMBOX_RK3562_lot500_2505</v>
      </c>
      <c r="F52" s="7" t="str">
        <f t="shared" si="4"/>
        <v>BOM_CameraBox_2026-04-14 2205</v>
      </c>
      <c r="G52" s="1" t="s">
        <v>209</v>
      </c>
      <c r="H52" s="1" t="s">
        <v>158</v>
      </c>
      <c r="I52" s="1" t="s">
        <v>281</v>
      </c>
      <c r="J52" s="1"/>
      <c r="K52" s="1" t="s">
        <v>8</v>
      </c>
      <c r="L52" s="1" t="s">
        <v>28</v>
      </c>
      <c r="M52" s="1" t="s">
        <v>44</v>
      </c>
      <c r="N52" s="1">
        <v>1</v>
      </c>
      <c r="O52" s="7">
        <f t="shared" si="5"/>
        <v>500</v>
      </c>
      <c r="P52" s="7">
        <f t="shared" si="9"/>
        <v>500</v>
      </c>
      <c r="Q52" s="20" t="s">
        <v>410</v>
      </c>
      <c r="R52" s="20" t="s">
        <v>411</v>
      </c>
      <c r="S52" s="1"/>
      <c r="T52" s="1"/>
      <c r="U52" s="1" t="s">
        <v>38</v>
      </c>
      <c r="V52" s="1" t="s">
        <v>551</v>
      </c>
      <c r="W52" s="1" t="s">
        <v>550</v>
      </c>
      <c r="X52" s="1" t="s">
        <v>37</v>
      </c>
      <c r="Y52" s="1" t="s">
        <v>31</v>
      </c>
      <c r="Z52" s="1"/>
      <c r="AA52" s="1" t="s">
        <v>24</v>
      </c>
      <c r="AB52" s="2"/>
      <c r="AC52" s="1"/>
      <c r="AD52" s="2"/>
      <c r="AE52" s="2">
        <f>VLOOKUP(R52,'[1]VNSH03 gia thanh sx '!$F$6:$G$171,2,0)</f>
        <v>500</v>
      </c>
      <c r="AF52" s="2">
        <f t="shared" si="8"/>
        <v>0</v>
      </c>
      <c r="AG52" s="2">
        <f>IF(VLOOKUP(R52,'VNET-XF-2105'!$B$12:$D$145,3,0)&gt;=P52,P52,VLOOKUP(R52,'VNET-XF-2105'!$B$12:$D$145,3,0))</f>
        <v>495</v>
      </c>
      <c r="AH52" s="2"/>
      <c r="AI52" s="2"/>
      <c r="AJ52" s="2">
        <f t="shared" si="7"/>
        <v>5</v>
      </c>
    </row>
    <row r="53" spans="1:36" ht="60" x14ac:dyDescent="0.25">
      <c r="A53" s="1">
        <f t="shared" si="0"/>
        <v>47</v>
      </c>
      <c r="B53" s="1" t="str">
        <f t="shared" si="1"/>
        <v>SS34A</v>
      </c>
      <c r="C53" s="1" t="s">
        <v>21</v>
      </c>
      <c r="D53" s="7" t="str">
        <f t="shared" si="2"/>
        <v>Board RK3562</v>
      </c>
      <c r="E53" s="7" t="str">
        <f t="shared" si="3"/>
        <v>Gerber_CAMBOX_RK3562_lot500_2505</v>
      </c>
      <c r="F53" s="7" t="str">
        <f t="shared" si="4"/>
        <v>BOM_CameraBox_2026-04-14 2205</v>
      </c>
      <c r="G53" s="1" t="s">
        <v>226</v>
      </c>
      <c r="H53" s="1" t="s">
        <v>158</v>
      </c>
      <c r="I53" s="1" t="s">
        <v>316</v>
      </c>
      <c r="J53" s="1"/>
      <c r="K53" s="1" t="s">
        <v>8</v>
      </c>
      <c r="L53" s="1" t="s">
        <v>28</v>
      </c>
      <c r="M53" s="1" t="s">
        <v>44</v>
      </c>
      <c r="N53" s="1">
        <v>1</v>
      </c>
      <c r="O53" s="7">
        <f t="shared" si="5"/>
        <v>500</v>
      </c>
      <c r="P53" s="7">
        <f t="shared" si="9"/>
        <v>500</v>
      </c>
      <c r="Q53" s="20" t="s">
        <v>464</v>
      </c>
      <c r="R53" s="20" t="s">
        <v>465</v>
      </c>
      <c r="S53" s="1"/>
      <c r="T53" s="1"/>
      <c r="U53" s="1" t="s">
        <v>38</v>
      </c>
      <c r="V53" s="1" t="s">
        <v>551</v>
      </c>
      <c r="W53" s="1" t="s">
        <v>550</v>
      </c>
      <c r="X53" s="1" t="s">
        <v>37</v>
      </c>
      <c r="Y53" s="1" t="s">
        <v>31</v>
      </c>
      <c r="Z53" s="1"/>
      <c r="AA53" s="1" t="s">
        <v>24</v>
      </c>
      <c r="AB53" s="2"/>
      <c r="AC53" s="1"/>
      <c r="AD53" s="2"/>
      <c r="AE53" s="2">
        <f>VLOOKUP(R53,'[1]VNSH03 gia thanh sx '!$F$6:$G$171,2,0)</f>
        <v>500</v>
      </c>
      <c r="AF53" s="2">
        <f t="shared" si="8"/>
        <v>0</v>
      </c>
      <c r="AG53" s="2">
        <f>IF(VLOOKUP(R53,'VNET-XF-2105'!$B$12:$D$145,3,0)&gt;=P53,P53,VLOOKUP(R53,'VNET-XF-2105'!$B$12:$D$145,3,0))</f>
        <v>495</v>
      </c>
      <c r="AH53" s="2"/>
      <c r="AI53" s="2"/>
      <c r="AJ53" s="2">
        <f t="shared" si="7"/>
        <v>5</v>
      </c>
    </row>
    <row r="54" spans="1:36" ht="60" x14ac:dyDescent="0.25">
      <c r="A54" s="1">
        <f t="shared" si="0"/>
        <v>48</v>
      </c>
      <c r="B54" s="1" t="str">
        <f t="shared" si="1"/>
        <v>WE05DGCF-B</v>
      </c>
      <c r="C54" s="1" t="s">
        <v>21</v>
      </c>
      <c r="D54" s="7" t="str">
        <f t="shared" si="2"/>
        <v>Board RK3562</v>
      </c>
      <c r="E54" s="7" t="str">
        <f t="shared" si="3"/>
        <v>Gerber_CAMBOX_RK3562_lot500_2505</v>
      </c>
      <c r="F54" s="7" t="str">
        <f t="shared" si="4"/>
        <v>BOM_CameraBox_2026-04-14 2205</v>
      </c>
      <c r="G54" s="1" t="s">
        <v>235</v>
      </c>
      <c r="H54" s="1" t="s">
        <v>158</v>
      </c>
      <c r="I54" s="1" t="s">
        <v>330</v>
      </c>
      <c r="J54" s="17" t="s">
        <v>731</v>
      </c>
      <c r="K54" s="1" t="s">
        <v>8</v>
      </c>
      <c r="L54" s="1" t="s">
        <v>28</v>
      </c>
      <c r="M54" s="1" t="s">
        <v>44</v>
      </c>
      <c r="N54" s="1">
        <v>2</v>
      </c>
      <c r="O54" s="7">
        <f t="shared" si="5"/>
        <v>500</v>
      </c>
      <c r="P54" s="7">
        <f t="shared" si="9"/>
        <v>1000</v>
      </c>
      <c r="Q54" s="20" t="s">
        <v>486</v>
      </c>
      <c r="R54" s="20" t="s">
        <v>487</v>
      </c>
      <c r="S54" s="1"/>
      <c r="T54" s="1"/>
      <c r="U54" s="1" t="s">
        <v>38</v>
      </c>
      <c r="V54" s="1" t="s">
        <v>551</v>
      </c>
      <c r="W54" s="1" t="s">
        <v>550</v>
      </c>
      <c r="X54" s="1" t="s">
        <v>37</v>
      </c>
      <c r="Y54" s="1" t="s">
        <v>31</v>
      </c>
      <c r="Z54" s="1"/>
      <c r="AA54" s="1" t="s">
        <v>24</v>
      </c>
      <c r="AB54" s="2"/>
      <c r="AC54" s="1"/>
      <c r="AD54" s="2"/>
      <c r="AE54" s="2">
        <f>VLOOKUP(R54,'[1]VNSH03 gia thanh sx '!$F$6:$G$171,2,0)</f>
        <v>500</v>
      </c>
      <c r="AF54" s="2">
        <f t="shared" si="8"/>
        <v>500</v>
      </c>
      <c r="AG54" s="2">
        <f>IF(VLOOKUP(R54,'VNET-XF-2105'!$B$12:$D$145,3,0)&gt;=P54,P54,VLOOKUP(R54,'VNET-XF-2105'!$B$12:$D$145,3,0))</f>
        <v>490</v>
      </c>
      <c r="AH54" s="2">
        <f>IF(VLOOKUP(R54,'VNET-XF_dự kiến lần 2'!$B$2:$D$42,3,0)&gt;=(P54-AG54),(P54-AG54),VLOOKUP(R54,'VNET-XF_dự kiến lần 2'!$B$2:$D$42,3,0))</f>
        <v>500</v>
      </c>
      <c r="AI54" s="2"/>
      <c r="AJ54" s="2">
        <f t="shared" si="7"/>
        <v>10</v>
      </c>
    </row>
    <row r="55" spans="1:36" ht="90" x14ac:dyDescent="0.25">
      <c r="A55" s="1">
        <f t="shared" si="0"/>
        <v>49</v>
      </c>
      <c r="B55" s="1" t="str">
        <f t="shared" si="1"/>
        <v>B72590D50H160</v>
      </c>
      <c r="C55" s="1" t="s">
        <v>21</v>
      </c>
      <c r="D55" s="7" t="str">
        <f t="shared" si="2"/>
        <v>Board RK3562</v>
      </c>
      <c r="E55" s="7" t="str">
        <f t="shared" si="3"/>
        <v>Gerber_CAMBOX_RK3562_lot500_2505</v>
      </c>
      <c r="F55" s="7" t="str">
        <f t="shared" si="4"/>
        <v>BOM_CameraBox_2026-04-14 2205</v>
      </c>
      <c r="G55" s="1" t="s">
        <v>585</v>
      </c>
      <c r="H55" s="1" t="s">
        <v>158</v>
      </c>
      <c r="I55" s="1" t="s">
        <v>292</v>
      </c>
      <c r="J55" s="17" t="s">
        <v>387</v>
      </c>
      <c r="K55" s="1" t="s">
        <v>8</v>
      </c>
      <c r="L55" s="1" t="s">
        <v>28</v>
      </c>
      <c r="M55" s="1" t="s">
        <v>44</v>
      </c>
      <c r="N55" s="1">
        <v>18</v>
      </c>
      <c r="O55" s="7">
        <f t="shared" si="5"/>
        <v>500</v>
      </c>
      <c r="P55" s="7">
        <f t="shared" si="9"/>
        <v>9000</v>
      </c>
      <c r="Q55" s="20" t="s">
        <v>427</v>
      </c>
      <c r="R55" s="20" t="s">
        <v>428</v>
      </c>
      <c r="S55" s="1"/>
      <c r="T55" s="1"/>
      <c r="U55" s="1" t="s">
        <v>38</v>
      </c>
      <c r="V55" s="1" t="s">
        <v>551</v>
      </c>
      <c r="W55" s="1" t="s">
        <v>550</v>
      </c>
      <c r="X55" s="1" t="s">
        <v>37</v>
      </c>
      <c r="Y55" s="1" t="s">
        <v>31</v>
      </c>
      <c r="Z55" s="1"/>
      <c r="AA55" s="1" t="s">
        <v>24</v>
      </c>
      <c r="AB55" s="2"/>
      <c r="AC55" s="1" t="s">
        <v>716</v>
      </c>
      <c r="AD55" s="2"/>
      <c r="AE55" s="2">
        <f>VLOOKUP(R55,'[1]VNSH03 gia thanh sx '!$F$6:$G$171,2,0)</f>
        <v>7000</v>
      </c>
      <c r="AF55" s="2">
        <f t="shared" si="8"/>
        <v>2000</v>
      </c>
      <c r="AG55" s="2">
        <f>IF(VLOOKUP(R55,'VNET-XF-2105'!$B$12:$D$145,3,0)&gt;=P55,P55,VLOOKUP(R55,'VNET-XF-2105'!$B$12:$D$145,3,0))</f>
        <v>6915</v>
      </c>
      <c r="AH55" s="2">
        <f>IF(VLOOKUP(R55,'VNET-XF_dự kiến lần 2'!$B$2:$D$42,3,0)&gt;=(P55-AG55),(P55-AG55),VLOOKUP(R55,'VNET-XF_dự kiến lần 2'!$B$2:$D$42,3,0))</f>
        <v>1500</v>
      </c>
      <c r="AI55" s="2"/>
      <c r="AJ55" s="2">
        <f t="shared" si="7"/>
        <v>585</v>
      </c>
    </row>
    <row r="56" spans="1:36" ht="60" x14ac:dyDescent="0.25">
      <c r="A56" s="1">
        <f t="shared" si="0"/>
        <v>50</v>
      </c>
      <c r="B56" s="1" t="str">
        <f t="shared" si="1"/>
        <v>LBAT54CLT1G</v>
      </c>
      <c r="C56" s="1" t="s">
        <v>21</v>
      </c>
      <c r="D56" s="7" t="str">
        <f t="shared" si="2"/>
        <v>Board RK3562</v>
      </c>
      <c r="E56" s="7" t="str">
        <f t="shared" si="3"/>
        <v>Gerber_CAMBOX_RK3562_lot500_2505</v>
      </c>
      <c r="F56" s="7" t="str">
        <f t="shared" si="4"/>
        <v>BOM_CameraBox_2026-04-14 2205</v>
      </c>
      <c r="G56" s="1" t="s">
        <v>586</v>
      </c>
      <c r="H56" s="1" t="s">
        <v>158</v>
      </c>
      <c r="I56" s="1" t="s">
        <v>636</v>
      </c>
      <c r="J56" s="1"/>
      <c r="K56" s="1" t="s">
        <v>8</v>
      </c>
      <c r="L56" s="1" t="s">
        <v>28</v>
      </c>
      <c r="M56" s="1" t="s">
        <v>44</v>
      </c>
      <c r="N56" s="1">
        <v>1</v>
      </c>
      <c r="O56" s="7">
        <f t="shared" si="5"/>
        <v>500</v>
      </c>
      <c r="P56" s="7">
        <f t="shared" si="9"/>
        <v>500</v>
      </c>
      <c r="Q56" s="20" t="s">
        <v>451</v>
      </c>
      <c r="R56" s="20" t="s">
        <v>680</v>
      </c>
      <c r="S56" s="1"/>
      <c r="T56" s="1"/>
      <c r="U56" s="1" t="s">
        <v>38</v>
      </c>
      <c r="V56" s="1" t="s">
        <v>551</v>
      </c>
      <c r="W56" s="1" t="s">
        <v>550</v>
      </c>
      <c r="X56" s="1" t="s">
        <v>37</v>
      </c>
      <c r="Y56" s="1" t="s">
        <v>31</v>
      </c>
      <c r="Z56" s="1"/>
      <c r="AA56" s="1" t="s">
        <v>24</v>
      </c>
      <c r="AB56" s="2"/>
      <c r="AC56" s="1"/>
      <c r="AD56" s="2"/>
      <c r="AE56" s="2">
        <f>VLOOKUP(R56,'[1]VNSH03 gia thanh sx '!$F$6:$G$171,2,0)</f>
        <v>500</v>
      </c>
      <c r="AF56" s="2">
        <f t="shared" si="8"/>
        <v>0</v>
      </c>
      <c r="AG56" s="2">
        <f>IF(VLOOKUP(R56,'VNET-XF-2105'!$B$12:$D$145,3,0)&gt;=P56,P56,VLOOKUP(R56,'VNET-XF-2105'!$B$12:$D$145,3,0))</f>
        <v>495</v>
      </c>
      <c r="AH56" s="2"/>
      <c r="AI56" s="2"/>
      <c r="AJ56" s="2">
        <f t="shared" si="7"/>
        <v>5</v>
      </c>
    </row>
    <row r="57" spans="1:36" ht="60" x14ac:dyDescent="0.25">
      <c r="A57" s="1">
        <f t="shared" si="0"/>
        <v>51</v>
      </c>
      <c r="B57" s="1" t="str">
        <f t="shared" si="1"/>
        <v>PTVS5V0S1UR</v>
      </c>
      <c r="C57" s="1" t="s">
        <v>21</v>
      </c>
      <c r="D57" s="7" t="str">
        <f t="shared" si="2"/>
        <v>Board RK3562</v>
      </c>
      <c r="E57" s="7" t="str">
        <f t="shared" si="3"/>
        <v>Gerber_CAMBOX_RK3562_lot500_2505</v>
      </c>
      <c r="F57" s="7" t="str">
        <f t="shared" si="4"/>
        <v>BOM_CameraBox_2026-04-14 2205</v>
      </c>
      <c r="G57" s="1" t="s">
        <v>211</v>
      </c>
      <c r="H57" s="1" t="s">
        <v>158</v>
      </c>
      <c r="I57" s="1" t="s">
        <v>283</v>
      </c>
      <c r="J57" s="1"/>
      <c r="K57" s="1" t="s">
        <v>8</v>
      </c>
      <c r="L57" s="1" t="s">
        <v>28</v>
      </c>
      <c r="M57" s="1" t="s">
        <v>44</v>
      </c>
      <c r="N57" s="1">
        <v>5</v>
      </c>
      <c r="O57" s="7">
        <f t="shared" si="5"/>
        <v>500</v>
      </c>
      <c r="P57" s="7">
        <f t="shared" si="9"/>
        <v>2500</v>
      </c>
      <c r="Q57" s="20" t="s">
        <v>414</v>
      </c>
      <c r="R57" s="20" t="s">
        <v>415</v>
      </c>
      <c r="S57" s="1"/>
      <c r="T57" s="1"/>
      <c r="U57" s="1" t="s">
        <v>38</v>
      </c>
      <c r="V57" s="1" t="s">
        <v>551</v>
      </c>
      <c r="W57" s="1" t="s">
        <v>550</v>
      </c>
      <c r="X57" s="1" t="s">
        <v>37</v>
      </c>
      <c r="Y57" s="1" t="s">
        <v>31</v>
      </c>
      <c r="Z57" s="1"/>
      <c r="AA57" s="1" t="s">
        <v>24</v>
      </c>
      <c r="AB57" s="2"/>
      <c r="AC57" s="1"/>
      <c r="AD57" s="2"/>
      <c r="AE57" s="2">
        <f>VLOOKUP(R57,'[1]VNSH03 gia thanh sx '!$F$6:$G$171,2,0)</f>
        <v>2500</v>
      </c>
      <c r="AF57" s="2">
        <f t="shared" si="8"/>
        <v>0</v>
      </c>
      <c r="AG57" s="2">
        <f>IF(VLOOKUP(R57,'VNET-XF-2105'!$B$12:$D$145,3,0)&gt;=P57,P57,VLOOKUP(R57,'VNET-XF-2105'!$B$12:$D$145,3,0))</f>
        <v>2475</v>
      </c>
      <c r="AH57" s="2"/>
      <c r="AI57" s="2"/>
      <c r="AJ57" s="2">
        <f t="shared" si="7"/>
        <v>25</v>
      </c>
    </row>
    <row r="58" spans="1:36" ht="60" x14ac:dyDescent="0.25">
      <c r="A58" s="1">
        <f t="shared" si="0"/>
        <v>52</v>
      </c>
      <c r="B58" s="1" t="str">
        <f t="shared" si="1"/>
        <v>M7</v>
      </c>
      <c r="C58" s="1" t="s">
        <v>21</v>
      </c>
      <c r="D58" s="7" t="str">
        <f t="shared" si="2"/>
        <v>Board RK3562</v>
      </c>
      <c r="E58" s="7" t="str">
        <f t="shared" si="3"/>
        <v>Gerber_CAMBOX_RK3562_lot500_2505</v>
      </c>
      <c r="F58" s="7" t="str">
        <f t="shared" si="4"/>
        <v>BOM_CameraBox_2026-04-14 2205</v>
      </c>
      <c r="G58" s="1" t="s">
        <v>587</v>
      </c>
      <c r="H58" s="1" t="s">
        <v>158</v>
      </c>
      <c r="I58" s="1" t="s">
        <v>304</v>
      </c>
      <c r="J58" s="1"/>
      <c r="K58" s="1" t="s">
        <v>8</v>
      </c>
      <c r="L58" s="1" t="s">
        <v>28</v>
      </c>
      <c r="M58" s="1" t="s">
        <v>44</v>
      </c>
      <c r="N58" s="1">
        <v>2</v>
      </c>
      <c r="O58" s="7">
        <f t="shared" si="5"/>
        <v>500</v>
      </c>
      <c r="P58" s="7">
        <f t="shared" si="9"/>
        <v>1000</v>
      </c>
      <c r="Q58" s="20" t="s">
        <v>401</v>
      </c>
      <c r="R58" s="20" t="s">
        <v>681</v>
      </c>
      <c r="S58" s="1"/>
      <c r="T58" s="1"/>
      <c r="U58" s="1" t="s">
        <v>38</v>
      </c>
      <c r="V58" s="1" t="s">
        <v>551</v>
      </c>
      <c r="W58" s="1" t="s">
        <v>550</v>
      </c>
      <c r="X58" s="1" t="s">
        <v>37</v>
      </c>
      <c r="Y58" s="1" t="s">
        <v>31</v>
      </c>
      <c r="Z58" s="1"/>
      <c r="AA58" s="1" t="s">
        <v>24</v>
      </c>
      <c r="AB58" s="2"/>
      <c r="AC58" s="1"/>
      <c r="AD58" s="2"/>
      <c r="AE58" s="2">
        <f>VLOOKUP(R58,'[1]VNSH03 gia thanh sx '!$F$6:$G$171,2,0)</f>
        <v>1000</v>
      </c>
      <c r="AF58" s="2">
        <f t="shared" si="8"/>
        <v>0</v>
      </c>
      <c r="AG58" s="2">
        <f>IF(VLOOKUP(R58,'VNET-XF-2105'!$B$12:$D$145,3,0)&gt;=P58,P58,VLOOKUP(R58,'VNET-XF-2105'!$B$12:$D$145,3,0))</f>
        <v>990</v>
      </c>
      <c r="AH58" s="2"/>
      <c r="AI58" s="2"/>
      <c r="AJ58" s="2">
        <f t="shared" si="7"/>
        <v>10</v>
      </c>
    </row>
    <row r="59" spans="1:36" ht="60" x14ac:dyDescent="0.25">
      <c r="A59" s="1">
        <f t="shared" si="0"/>
        <v>53</v>
      </c>
      <c r="B59" s="1" t="str">
        <f t="shared" si="1"/>
        <v>S10M</v>
      </c>
      <c r="C59" s="1" t="s">
        <v>21</v>
      </c>
      <c r="D59" s="7" t="str">
        <f t="shared" si="2"/>
        <v>Board RK3562</v>
      </c>
      <c r="E59" s="7" t="str">
        <f t="shared" si="3"/>
        <v>Gerber_CAMBOX_RK3562_lot500_2505</v>
      </c>
      <c r="F59" s="7" t="str">
        <f t="shared" si="4"/>
        <v>BOM_CameraBox_2026-04-14 2205</v>
      </c>
      <c r="G59" s="1" t="s">
        <v>233</v>
      </c>
      <c r="H59" s="1" t="s">
        <v>158</v>
      </c>
      <c r="I59" s="1" t="s">
        <v>328</v>
      </c>
      <c r="J59" s="1"/>
      <c r="K59" s="1" t="s">
        <v>8</v>
      </c>
      <c r="L59" s="1" t="s">
        <v>28</v>
      </c>
      <c r="M59" s="1" t="s">
        <v>44</v>
      </c>
      <c r="N59" s="1">
        <v>1</v>
      </c>
      <c r="O59" s="7">
        <f t="shared" si="5"/>
        <v>500</v>
      </c>
      <c r="P59" s="7">
        <f t="shared" si="9"/>
        <v>500</v>
      </c>
      <c r="Q59" s="20" t="s">
        <v>480</v>
      </c>
      <c r="R59" s="20" t="s">
        <v>481</v>
      </c>
      <c r="S59" s="1"/>
      <c r="T59" s="1"/>
      <c r="U59" s="1" t="s">
        <v>38</v>
      </c>
      <c r="V59" s="1" t="s">
        <v>551</v>
      </c>
      <c r="W59" s="1" t="s">
        <v>550</v>
      </c>
      <c r="X59" s="1" t="s">
        <v>37</v>
      </c>
      <c r="Y59" s="1" t="s">
        <v>31</v>
      </c>
      <c r="Z59" s="1"/>
      <c r="AA59" s="1" t="s">
        <v>24</v>
      </c>
      <c r="AB59" s="2"/>
      <c r="AC59" s="1"/>
      <c r="AD59" s="2"/>
      <c r="AE59" s="2">
        <f>VLOOKUP(R59,'[1]VNSH03 gia thanh sx '!$F$6:$G$171,2,0)</f>
        <v>500</v>
      </c>
      <c r="AF59" s="2">
        <f t="shared" si="8"/>
        <v>0</v>
      </c>
      <c r="AG59" s="2">
        <f>IF(VLOOKUP(R59,'VNET-XF-2105'!$B$12:$D$145,3,0)&gt;=P59,P59,VLOOKUP(R59,'VNET-XF-2105'!$B$12:$D$145,3,0))</f>
        <v>495</v>
      </c>
      <c r="AH59" s="2"/>
      <c r="AI59" s="2"/>
      <c r="AJ59" s="2">
        <f t="shared" si="7"/>
        <v>5</v>
      </c>
    </row>
    <row r="60" spans="1:36" ht="60" x14ac:dyDescent="0.25">
      <c r="A60" s="1">
        <f t="shared" si="0"/>
        <v>54</v>
      </c>
      <c r="B60" s="1" t="str">
        <f t="shared" si="1"/>
        <v>SMF36A</v>
      </c>
      <c r="C60" s="1" t="s">
        <v>21</v>
      </c>
      <c r="D60" s="7" t="str">
        <f t="shared" si="2"/>
        <v>Board RK3562</v>
      </c>
      <c r="E60" s="7" t="str">
        <f t="shared" si="3"/>
        <v>Gerber_CAMBOX_RK3562_lot500_2505</v>
      </c>
      <c r="F60" s="7" t="str">
        <f t="shared" si="4"/>
        <v>BOM_CameraBox_2026-04-14 2205</v>
      </c>
      <c r="G60" s="1" t="s">
        <v>242</v>
      </c>
      <c r="H60" s="1" t="s">
        <v>158</v>
      </c>
      <c r="I60" s="1" t="s">
        <v>339</v>
      </c>
      <c r="J60" s="1"/>
      <c r="K60" s="1" t="s">
        <v>8</v>
      </c>
      <c r="L60" s="1" t="s">
        <v>28</v>
      </c>
      <c r="M60" s="1" t="s">
        <v>44</v>
      </c>
      <c r="N60" s="1">
        <v>1</v>
      </c>
      <c r="O60" s="7">
        <f t="shared" si="5"/>
        <v>500</v>
      </c>
      <c r="P60" s="7">
        <f t="shared" si="9"/>
        <v>500</v>
      </c>
      <c r="Q60" s="20" t="s">
        <v>496</v>
      </c>
      <c r="R60" s="20" t="s">
        <v>497</v>
      </c>
      <c r="S60" s="1"/>
      <c r="T60" s="1"/>
      <c r="U60" s="1" t="s">
        <v>38</v>
      </c>
      <c r="V60" s="1" t="s">
        <v>551</v>
      </c>
      <c r="W60" s="1" t="s">
        <v>550</v>
      </c>
      <c r="X60" s="1" t="s">
        <v>37</v>
      </c>
      <c r="Y60" s="1" t="s">
        <v>31</v>
      </c>
      <c r="Z60" s="1"/>
      <c r="AA60" s="1" t="s">
        <v>24</v>
      </c>
      <c r="AB60" s="2"/>
      <c r="AC60" s="1"/>
      <c r="AD60" s="2"/>
      <c r="AE60" s="2">
        <f>VLOOKUP(R60,'[1]VNSH03 gia thanh sx '!$F$6:$G$171,2,0)</f>
        <v>500</v>
      </c>
      <c r="AF60" s="2">
        <f t="shared" si="8"/>
        <v>0</v>
      </c>
      <c r="AG60" s="2">
        <f>IF(VLOOKUP(R60,'VNET-XF-2105'!$B$12:$D$145,3,0)&gt;=P60,P60,VLOOKUP(R60,'VNET-XF-2105'!$B$12:$D$145,3,0))</f>
        <v>495</v>
      </c>
      <c r="AH60" s="2"/>
      <c r="AI60" s="2"/>
      <c r="AJ60" s="2">
        <f t="shared" si="7"/>
        <v>5</v>
      </c>
    </row>
    <row r="61" spans="1:36" ht="60" x14ac:dyDescent="0.25">
      <c r="A61" s="1">
        <f t="shared" si="0"/>
        <v>55</v>
      </c>
      <c r="B61" s="1" t="str">
        <f t="shared" si="1"/>
        <v>SS36F</v>
      </c>
      <c r="C61" s="1" t="s">
        <v>21</v>
      </c>
      <c r="D61" s="7" t="str">
        <f t="shared" si="2"/>
        <v>Board RK3562</v>
      </c>
      <c r="E61" s="7" t="str">
        <f t="shared" si="3"/>
        <v>Gerber_CAMBOX_RK3562_lot500_2505</v>
      </c>
      <c r="F61" s="7" t="str">
        <f t="shared" si="4"/>
        <v>BOM_CameraBox_2026-04-14 2205</v>
      </c>
      <c r="G61" s="1" t="s">
        <v>231</v>
      </c>
      <c r="H61" s="1" t="s">
        <v>158</v>
      </c>
      <c r="I61" s="1" t="s">
        <v>324</v>
      </c>
      <c r="J61" s="1"/>
      <c r="K61" s="1" t="s">
        <v>8</v>
      </c>
      <c r="L61" s="1" t="s">
        <v>28</v>
      </c>
      <c r="M61" s="1" t="s">
        <v>44</v>
      </c>
      <c r="N61" s="1">
        <v>2</v>
      </c>
      <c r="O61" s="7">
        <f t="shared" si="5"/>
        <v>500</v>
      </c>
      <c r="P61" s="7">
        <f t="shared" si="9"/>
        <v>1000</v>
      </c>
      <c r="Q61" s="20" t="s">
        <v>474</v>
      </c>
      <c r="R61" s="20" t="s">
        <v>475</v>
      </c>
      <c r="S61" s="1"/>
      <c r="T61" s="1"/>
      <c r="U61" s="1" t="s">
        <v>38</v>
      </c>
      <c r="V61" s="1" t="s">
        <v>551</v>
      </c>
      <c r="W61" s="1" t="s">
        <v>550</v>
      </c>
      <c r="X61" s="1" t="s">
        <v>37</v>
      </c>
      <c r="Y61" s="1" t="s">
        <v>31</v>
      </c>
      <c r="Z61" s="1"/>
      <c r="AA61" s="1" t="s">
        <v>24</v>
      </c>
      <c r="AB61" s="2"/>
      <c r="AC61" s="1"/>
      <c r="AD61" s="2"/>
      <c r="AE61" s="2">
        <f>VLOOKUP(R61,'[1]VNSH03 gia thanh sx '!$F$6:$G$171,2,0)</f>
        <v>1000</v>
      </c>
      <c r="AF61" s="2">
        <f t="shared" si="8"/>
        <v>0</v>
      </c>
      <c r="AG61" s="2">
        <f>IF(VLOOKUP(R61,'VNET-XF-2105'!$B$12:$D$145,3,0)&gt;=P61,P61,VLOOKUP(R61,'VNET-XF-2105'!$B$12:$D$145,3,0))</f>
        <v>990</v>
      </c>
      <c r="AH61" s="2"/>
      <c r="AI61" s="2"/>
      <c r="AJ61" s="2">
        <f t="shared" si="7"/>
        <v>10</v>
      </c>
    </row>
    <row r="62" spans="1:36" ht="60" x14ac:dyDescent="0.25">
      <c r="A62" s="1">
        <f t="shared" si="0"/>
        <v>56</v>
      </c>
      <c r="B62" s="1" t="str">
        <f t="shared" si="1"/>
        <v>YI160808U100-5R0T</v>
      </c>
      <c r="C62" s="1" t="s">
        <v>21</v>
      </c>
      <c r="D62" s="7" t="str">
        <f t="shared" si="2"/>
        <v>Board RK3562</v>
      </c>
      <c r="E62" s="7" t="str">
        <f t="shared" si="3"/>
        <v>Gerber_CAMBOX_RK3562_lot500_2505</v>
      </c>
      <c r="F62" s="7" t="str">
        <f t="shared" si="4"/>
        <v>BOM_CameraBox_2026-04-14 2205</v>
      </c>
      <c r="G62" s="1" t="s">
        <v>588</v>
      </c>
      <c r="H62" s="1" t="s">
        <v>155</v>
      </c>
      <c r="I62" s="1" t="s">
        <v>295</v>
      </c>
      <c r="J62" s="17" t="s">
        <v>386</v>
      </c>
      <c r="K62" s="1" t="s">
        <v>8</v>
      </c>
      <c r="L62" s="1" t="s">
        <v>28</v>
      </c>
      <c r="M62" s="1" t="s">
        <v>44</v>
      </c>
      <c r="N62" s="1">
        <v>10</v>
      </c>
      <c r="O62" s="7">
        <f t="shared" si="5"/>
        <v>500</v>
      </c>
      <c r="P62" s="7">
        <f t="shared" si="9"/>
        <v>5000</v>
      </c>
      <c r="Q62" s="20" t="s">
        <v>431</v>
      </c>
      <c r="R62" s="20" t="s">
        <v>432</v>
      </c>
      <c r="S62" s="1"/>
      <c r="T62" s="1"/>
      <c r="U62" s="1" t="s">
        <v>38</v>
      </c>
      <c r="V62" s="1" t="s">
        <v>551</v>
      </c>
      <c r="W62" s="1" t="s">
        <v>550</v>
      </c>
      <c r="X62" s="1" t="s">
        <v>37</v>
      </c>
      <c r="Y62" s="1" t="s">
        <v>31</v>
      </c>
      <c r="Z62" s="1"/>
      <c r="AA62" s="1" t="s">
        <v>24</v>
      </c>
      <c r="AB62" s="2"/>
      <c r="AC62" s="1"/>
      <c r="AD62" s="2"/>
      <c r="AE62" s="2">
        <f>VLOOKUP(R62,'[1]VNSH03 gia thanh sx '!$F$6:$G$171,2,0)</f>
        <v>6000</v>
      </c>
      <c r="AF62" s="2">
        <f t="shared" si="8"/>
        <v>-1000</v>
      </c>
      <c r="AG62" s="2">
        <f>IF(VLOOKUP(R62,'VNET-XF-2105'!$B$12:$D$145,3,0)&gt;=P62,P62,VLOOKUP(R62,'VNET-XF-2105'!$B$12:$D$145,3,0))</f>
        <v>4950</v>
      </c>
      <c r="AH62" s="2"/>
      <c r="AI62" s="2"/>
      <c r="AJ62" s="2">
        <f t="shared" si="7"/>
        <v>50</v>
      </c>
    </row>
    <row r="63" spans="1:36" ht="60" x14ac:dyDescent="0.25">
      <c r="A63" s="1">
        <f t="shared" si="0"/>
        <v>57</v>
      </c>
      <c r="B63" s="1" t="str">
        <f t="shared" si="1"/>
        <v>UPZ2012E102-1R5TF</v>
      </c>
      <c r="C63" s="1" t="s">
        <v>21</v>
      </c>
      <c r="D63" s="7" t="str">
        <f t="shared" si="2"/>
        <v>Board RK3562</v>
      </c>
      <c r="E63" s="7" t="str">
        <f t="shared" si="3"/>
        <v>Gerber_CAMBOX_RK3562_lot500_2505</v>
      </c>
      <c r="F63" s="7" t="str">
        <f t="shared" si="4"/>
        <v>BOM_CameraBox_2026-04-14 2205</v>
      </c>
      <c r="G63" s="1" t="s">
        <v>589</v>
      </c>
      <c r="H63" s="1" t="s">
        <v>155</v>
      </c>
      <c r="I63" s="1" t="s">
        <v>303</v>
      </c>
      <c r="J63" s="17" t="s">
        <v>388</v>
      </c>
      <c r="K63" s="1" t="s">
        <v>8</v>
      </c>
      <c r="L63" s="1" t="s">
        <v>28</v>
      </c>
      <c r="M63" s="1" t="s">
        <v>44</v>
      </c>
      <c r="N63" s="1">
        <v>6</v>
      </c>
      <c r="O63" s="7">
        <f t="shared" si="5"/>
        <v>500</v>
      </c>
      <c r="P63" s="7">
        <f t="shared" si="9"/>
        <v>3000</v>
      </c>
      <c r="Q63" s="20" t="s">
        <v>446</v>
      </c>
      <c r="R63" s="20" t="s">
        <v>447</v>
      </c>
      <c r="S63" s="1"/>
      <c r="T63" s="1"/>
      <c r="U63" s="1" t="s">
        <v>38</v>
      </c>
      <c r="V63" s="1" t="s">
        <v>551</v>
      </c>
      <c r="W63" s="1" t="s">
        <v>550</v>
      </c>
      <c r="X63" s="1" t="s">
        <v>37</v>
      </c>
      <c r="Y63" s="1" t="s">
        <v>31</v>
      </c>
      <c r="Z63" s="1"/>
      <c r="AA63" s="1" t="s">
        <v>24</v>
      </c>
      <c r="AB63" s="2"/>
      <c r="AC63" s="1"/>
      <c r="AD63" s="2"/>
      <c r="AE63" s="2">
        <f>VLOOKUP(R63,'[1]VNSH03 gia thanh sx '!$F$6:$G$171,2,0)</f>
        <v>3000</v>
      </c>
      <c r="AF63" s="2">
        <f t="shared" si="8"/>
        <v>0</v>
      </c>
      <c r="AG63" s="2">
        <f>IF(VLOOKUP(R63,'VNET-XF-2105'!$B$12:$D$145,3,0)&gt;=P63,P63,VLOOKUP(R63,'VNET-XF-2105'!$B$12:$D$145,3,0))</f>
        <v>2970</v>
      </c>
      <c r="AH63" s="2"/>
      <c r="AI63" s="2"/>
      <c r="AJ63" s="2">
        <f t="shared" si="7"/>
        <v>30</v>
      </c>
    </row>
    <row r="64" spans="1:36" ht="60" x14ac:dyDescent="0.25">
      <c r="A64" s="1">
        <f t="shared" si="0"/>
        <v>58</v>
      </c>
      <c r="B64" s="1" t="str">
        <f t="shared" si="1"/>
        <v>CBW100505U600T</v>
      </c>
      <c r="C64" s="1" t="s">
        <v>21</v>
      </c>
      <c r="D64" s="7" t="str">
        <f t="shared" si="2"/>
        <v>Board RK3562</v>
      </c>
      <c r="E64" s="7" t="str">
        <f t="shared" si="3"/>
        <v>Gerber_CAMBOX_RK3562_lot500_2505</v>
      </c>
      <c r="F64" s="7" t="str">
        <f t="shared" si="4"/>
        <v>BOM_CameraBox_2026-04-14 2205</v>
      </c>
      <c r="G64" s="1" t="s">
        <v>236</v>
      </c>
      <c r="H64" s="1" t="s">
        <v>155</v>
      </c>
      <c r="I64" s="1" t="s">
        <v>331</v>
      </c>
      <c r="J64" s="17" t="s">
        <v>387</v>
      </c>
      <c r="K64" s="1" t="s">
        <v>8</v>
      </c>
      <c r="L64" s="1" t="s">
        <v>28</v>
      </c>
      <c r="M64" s="1" t="s">
        <v>44</v>
      </c>
      <c r="N64" s="1">
        <v>13</v>
      </c>
      <c r="O64" s="7">
        <f t="shared" si="5"/>
        <v>500</v>
      </c>
      <c r="P64" s="7">
        <f t="shared" si="9"/>
        <v>6500</v>
      </c>
      <c r="Q64" s="20" t="s">
        <v>488</v>
      </c>
      <c r="R64" s="20" t="s">
        <v>489</v>
      </c>
      <c r="S64" s="1"/>
      <c r="T64" s="1"/>
      <c r="U64" s="1" t="s">
        <v>38</v>
      </c>
      <c r="V64" s="1" t="s">
        <v>551</v>
      </c>
      <c r="W64" s="1" t="s">
        <v>550</v>
      </c>
      <c r="X64" s="1" t="s">
        <v>37</v>
      </c>
      <c r="Y64" s="1" t="s">
        <v>31</v>
      </c>
      <c r="Z64" s="1"/>
      <c r="AA64" s="1" t="s">
        <v>24</v>
      </c>
      <c r="AB64" s="2"/>
      <c r="AC64" s="1"/>
      <c r="AD64" s="2"/>
      <c r="AE64" s="2">
        <f>VLOOKUP(R64,'[1]VNSH03 gia thanh sx '!$F$6:$G$171,2,0)</f>
        <v>6500</v>
      </c>
      <c r="AF64" s="2">
        <f t="shared" si="8"/>
        <v>0</v>
      </c>
      <c r="AG64" s="2">
        <f>IF(VLOOKUP(R64,'VNET-XF-2105'!$B$12:$D$145,3,0)&gt;=P64,P64,VLOOKUP(R64,'VNET-XF-2105'!$B$12:$D$145,3,0))</f>
        <v>6435</v>
      </c>
      <c r="AH64" s="2"/>
      <c r="AI64" s="2"/>
      <c r="AJ64" s="2">
        <f t="shared" si="7"/>
        <v>65</v>
      </c>
    </row>
    <row r="65" spans="1:36" ht="60" x14ac:dyDescent="0.25">
      <c r="A65" s="1">
        <f t="shared" si="0"/>
        <v>59</v>
      </c>
      <c r="B65" s="1" t="str">
        <f t="shared" si="1"/>
        <v>CBG160808U100T</v>
      </c>
      <c r="C65" s="1" t="s">
        <v>21</v>
      </c>
      <c r="D65" s="7" t="str">
        <f t="shared" si="2"/>
        <v>Board RK3562</v>
      </c>
      <c r="E65" s="7" t="str">
        <f t="shared" si="3"/>
        <v>Gerber_CAMBOX_RK3562_lot500_2505</v>
      </c>
      <c r="F65" s="7" t="str">
        <f t="shared" si="4"/>
        <v>BOM_CameraBox_2026-04-14 2205</v>
      </c>
      <c r="G65" s="1" t="s">
        <v>590</v>
      </c>
      <c r="H65" s="1" t="s">
        <v>155</v>
      </c>
      <c r="I65" s="1" t="s">
        <v>637</v>
      </c>
      <c r="J65" s="17" t="s">
        <v>386</v>
      </c>
      <c r="K65" s="1" t="s">
        <v>8</v>
      </c>
      <c r="L65" s="1" t="s">
        <v>28</v>
      </c>
      <c r="M65" s="1" t="s">
        <v>44</v>
      </c>
      <c r="N65" s="1">
        <v>2</v>
      </c>
      <c r="O65" s="7">
        <f t="shared" si="5"/>
        <v>500</v>
      </c>
      <c r="P65" s="7">
        <f t="shared" si="9"/>
        <v>1000</v>
      </c>
      <c r="Q65" s="20" t="s">
        <v>488</v>
      </c>
      <c r="R65" s="20" t="s">
        <v>682</v>
      </c>
      <c r="S65" s="1"/>
      <c r="T65" s="1"/>
      <c r="U65" s="1" t="s">
        <v>38</v>
      </c>
      <c r="V65" s="1" t="s">
        <v>551</v>
      </c>
      <c r="W65" s="1" t="s">
        <v>550</v>
      </c>
      <c r="X65" s="1" t="s">
        <v>37</v>
      </c>
      <c r="Y65" s="1" t="s">
        <v>31</v>
      </c>
      <c r="Z65" s="1"/>
      <c r="AA65" s="1" t="s">
        <v>24</v>
      </c>
      <c r="AB65" s="2"/>
      <c r="AC65" s="1"/>
      <c r="AD65" s="2"/>
      <c r="AE65" s="2">
        <f>VLOOKUP(R65,'[1]VNSH03 gia thanh sx '!$F$6:$G$171,2,0)</f>
        <v>1000</v>
      </c>
      <c r="AF65" s="2">
        <f t="shared" si="8"/>
        <v>0</v>
      </c>
      <c r="AG65" s="2">
        <f>IF(VLOOKUP(R65,'VNET-XF-2105'!$B$12:$D$145,3,0)&gt;=P65,P65,VLOOKUP(R65,'VNET-XF-2105'!$B$12:$D$145,3,0))</f>
        <v>990</v>
      </c>
      <c r="AH65" s="2"/>
      <c r="AI65" s="2"/>
      <c r="AJ65" s="2">
        <f t="shared" si="7"/>
        <v>10</v>
      </c>
    </row>
    <row r="66" spans="1:36" ht="60" x14ac:dyDescent="0.25">
      <c r="A66" s="1">
        <f t="shared" si="0"/>
        <v>60</v>
      </c>
      <c r="B66" s="1" t="str">
        <f t="shared" si="1"/>
        <v>LMR14050SDDAR</v>
      </c>
      <c r="C66" s="1" t="s">
        <v>21</v>
      </c>
      <c r="D66" s="7" t="str">
        <f t="shared" si="2"/>
        <v>Board RK3562</v>
      </c>
      <c r="E66" s="7" t="str">
        <f t="shared" si="3"/>
        <v>Gerber_CAMBOX_RK3562_lot500_2505</v>
      </c>
      <c r="F66" s="7" t="str">
        <f t="shared" si="4"/>
        <v>BOM_CameraBox_2026-04-14 2205</v>
      </c>
      <c r="G66" s="1" t="s">
        <v>208</v>
      </c>
      <c r="H66" s="1" t="s">
        <v>167</v>
      </c>
      <c r="I66" s="1" t="s">
        <v>280</v>
      </c>
      <c r="J66" s="1"/>
      <c r="K66" s="1" t="s">
        <v>8</v>
      </c>
      <c r="L66" s="1" t="s">
        <v>28</v>
      </c>
      <c r="M66" s="1" t="s">
        <v>44</v>
      </c>
      <c r="N66" s="1">
        <v>1</v>
      </c>
      <c r="O66" s="7">
        <f t="shared" si="5"/>
        <v>500</v>
      </c>
      <c r="P66" s="7">
        <f t="shared" si="9"/>
        <v>500</v>
      </c>
      <c r="Q66" s="20" t="s">
        <v>408</v>
      </c>
      <c r="R66" s="20" t="s">
        <v>409</v>
      </c>
      <c r="S66" s="1"/>
      <c r="T66" s="1"/>
      <c r="U66" s="1" t="s">
        <v>38</v>
      </c>
      <c r="V66" s="1" t="s">
        <v>551</v>
      </c>
      <c r="W66" s="1" t="s">
        <v>549</v>
      </c>
      <c r="X66" s="1" t="s">
        <v>37</v>
      </c>
      <c r="Y66" s="1" t="s">
        <v>31</v>
      </c>
      <c r="Z66" s="1"/>
      <c r="AA66" s="1" t="s">
        <v>24</v>
      </c>
      <c r="AB66" s="2"/>
      <c r="AC66" s="1"/>
      <c r="AD66" s="2"/>
      <c r="AE66" s="2">
        <f>VLOOKUP(R66,'[1]VNSH03 gia thanh sx '!$F$6:$G$171,2,0)</f>
        <v>500</v>
      </c>
      <c r="AF66" s="2">
        <f t="shared" si="8"/>
        <v>0</v>
      </c>
      <c r="AG66" s="2">
        <f>IF(VLOOKUP(R66,'VNET-XF-2105'!$B$12:$D$145,3,0)&gt;=P66,P66,VLOOKUP(R66,'VNET-XF-2105'!$B$12:$D$145,3,0))</f>
        <v>495</v>
      </c>
      <c r="AH66" s="2"/>
      <c r="AI66" s="2"/>
      <c r="AJ66" s="2">
        <f t="shared" si="7"/>
        <v>5</v>
      </c>
    </row>
    <row r="67" spans="1:36" ht="60" x14ac:dyDescent="0.25">
      <c r="A67" s="1">
        <f t="shared" si="0"/>
        <v>61</v>
      </c>
      <c r="B67" s="1" t="str">
        <f t="shared" si="1"/>
        <v>ETA3409S2F</v>
      </c>
      <c r="C67" s="1" t="s">
        <v>21</v>
      </c>
      <c r="D67" s="7" t="str">
        <f t="shared" si="2"/>
        <v>Board RK3562</v>
      </c>
      <c r="E67" s="7" t="str">
        <f t="shared" si="3"/>
        <v>Gerber_CAMBOX_RK3562_lot500_2505</v>
      </c>
      <c r="F67" s="7" t="str">
        <f t="shared" si="4"/>
        <v>BOM_CameraBox_2026-04-14 2205</v>
      </c>
      <c r="G67" s="1" t="s">
        <v>591</v>
      </c>
      <c r="H67" s="1" t="s">
        <v>167</v>
      </c>
      <c r="I67" s="1" t="s">
        <v>291</v>
      </c>
      <c r="J67" s="1"/>
      <c r="K67" s="1" t="s">
        <v>8</v>
      </c>
      <c r="L67" s="1" t="s">
        <v>28</v>
      </c>
      <c r="M67" s="1" t="s">
        <v>44</v>
      </c>
      <c r="N67" s="1">
        <v>2</v>
      </c>
      <c r="O67" s="7">
        <f t="shared" si="5"/>
        <v>500</v>
      </c>
      <c r="P67" s="7">
        <f t="shared" si="9"/>
        <v>1000</v>
      </c>
      <c r="Q67" s="20" t="s">
        <v>412</v>
      </c>
      <c r="R67" s="20" t="s">
        <v>426</v>
      </c>
      <c r="S67" s="1"/>
      <c r="T67" s="1"/>
      <c r="U67" s="1" t="s">
        <v>38</v>
      </c>
      <c r="V67" s="1" t="s">
        <v>551</v>
      </c>
      <c r="W67" s="1" t="s">
        <v>549</v>
      </c>
      <c r="X67" s="1" t="s">
        <v>37</v>
      </c>
      <c r="Y67" s="1" t="s">
        <v>31</v>
      </c>
      <c r="Z67" s="1"/>
      <c r="AA67" s="1" t="s">
        <v>24</v>
      </c>
      <c r="AB67" s="2"/>
      <c r="AC67" s="1"/>
      <c r="AD67" s="2"/>
      <c r="AE67" s="2">
        <f>VLOOKUP(R67,'[1]VNSH03 gia thanh sx '!$F$6:$G$171,2,0)</f>
        <v>1500</v>
      </c>
      <c r="AF67" s="2">
        <f t="shared" si="8"/>
        <v>-500</v>
      </c>
      <c r="AG67" s="2">
        <f>IF(VLOOKUP(R67,'VNET-XF-2105'!$B$12:$D$145,3,0)&gt;=P67,P67,VLOOKUP(R67,'VNET-XF-2105'!$B$12:$D$145,3,0))</f>
        <v>990</v>
      </c>
      <c r="AH67" s="2"/>
      <c r="AI67" s="2"/>
      <c r="AJ67" s="2">
        <f t="shared" si="7"/>
        <v>10</v>
      </c>
    </row>
    <row r="68" spans="1:36" ht="60" x14ac:dyDescent="0.25">
      <c r="A68" s="1">
        <f t="shared" si="0"/>
        <v>62</v>
      </c>
      <c r="B68" s="1" t="str">
        <f t="shared" si="1"/>
        <v>LM3481MMX/NOPB</v>
      </c>
      <c r="C68" s="1" t="s">
        <v>21</v>
      </c>
      <c r="D68" s="7" t="str">
        <f t="shared" si="2"/>
        <v>Board RK3562</v>
      </c>
      <c r="E68" s="7" t="str">
        <f t="shared" si="3"/>
        <v>Gerber_CAMBOX_RK3562_lot500_2505</v>
      </c>
      <c r="F68" s="7" t="str">
        <f t="shared" si="4"/>
        <v>BOM_CameraBox_2026-04-14 2205</v>
      </c>
      <c r="G68" s="1" t="s">
        <v>207</v>
      </c>
      <c r="H68" s="1" t="s">
        <v>167</v>
      </c>
      <c r="I68" s="1" t="s">
        <v>638</v>
      </c>
      <c r="J68" s="1"/>
      <c r="K68" s="1" t="s">
        <v>8</v>
      </c>
      <c r="L68" s="1" t="s">
        <v>28</v>
      </c>
      <c r="M68" s="1" t="s">
        <v>44</v>
      </c>
      <c r="N68" s="1">
        <v>1</v>
      </c>
      <c r="O68" s="7">
        <f t="shared" si="5"/>
        <v>500</v>
      </c>
      <c r="P68" s="7">
        <f t="shared" si="9"/>
        <v>500</v>
      </c>
      <c r="Q68" s="20" t="s">
        <v>395</v>
      </c>
      <c r="R68" s="20" t="s">
        <v>405</v>
      </c>
      <c r="S68" s="1"/>
      <c r="T68" s="1"/>
      <c r="U68" s="1" t="s">
        <v>38</v>
      </c>
      <c r="V68" s="1" t="s">
        <v>551</v>
      </c>
      <c r="W68" s="1" t="s">
        <v>549</v>
      </c>
      <c r="X68" s="1" t="s">
        <v>37</v>
      </c>
      <c r="Y68" s="1" t="s">
        <v>31</v>
      </c>
      <c r="Z68" s="1"/>
      <c r="AA68" s="1" t="s">
        <v>24</v>
      </c>
      <c r="AB68" s="2"/>
      <c r="AC68" s="1"/>
      <c r="AD68" s="2"/>
      <c r="AE68" s="2">
        <f>VLOOKUP(R68,'[1]VNSH03 gia thanh sx '!$F$6:$G$171,2,0)</f>
        <v>500</v>
      </c>
      <c r="AF68" s="2">
        <f t="shared" si="8"/>
        <v>0</v>
      </c>
      <c r="AG68" s="2">
        <f>IF(VLOOKUP(R68,'VNET-XF-2105'!$B$12:$D$145,3,0)&gt;=P68,P68,VLOOKUP(R68,'VNET-XF-2105'!$B$12:$D$145,3,0))</f>
        <v>495</v>
      </c>
      <c r="AH68" s="2"/>
      <c r="AI68" s="2"/>
      <c r="AJ68" s="2">
        <f t="shared" si="7"/>
        <v>5</v>
      </c>
    </row>
    <row r="69" spans="1:36" ht="60" x14ac:dyDescent="0.25">
      <c r="A69" s="1">
        <f t="shared" si="0"/>
        <v>63</v>
      </c>
      <c r="B69" s="1" t="str">
        <f t="shared" si="1"/>
        <v>A7677S</v>
      </c>
      <c r="C69" s="1" t="s">
        <v>21</v>
      </c>
      <c r="D69" s="7" t="str">
        <f t="shared" si="2"/>
        <v>Board RK3562</v>
      </c>
      <c r="E69" s="7" t="str">
        <f t="shared" si="3"/>
        <v>Gerber_CAMBOX_RK3562_lot500_2505</v>
      </c>
      <c r="F69" s="7" t="str">
        <f t="shared" si="4"/>
        <v>BOM_CameraBox_2026-04-14 2205</v>
      </c>
      <c r="G69" s="1" t="s">
        <v>592</v>
      </c>
      <c r="H69" s="1" t="s">
        <v>167</v>
      </c>
      <c r="I69" s="1" t="s">
        <v>639</v>
      </c>
      <c r="J69" s="1"/>
      <c r="K69" s="1" t="s">
        <v>8</v>
      </c>
      <c r="L69" s="1" t="s">
        <v>28</v>
      </c>
      <c r="M69" s="1" t="s">
        <v>44</v>
      </c>
      <c r="N69" s="1">
        <v>1</v>
      </c>
      <c r="O69" s="7">
        <f t="shared" si="5"/>
        <v>500</v>
      </c>
      <c r="P69" s="7">
        <f t="shared" si="9"/>
        <v>500</v>
      </c>
      <c r="Q69" s="20" t="s">
        <v>683</v>
      </c>
      <c r="R69" s="20" t="s">
        <v>684</v>
      </c>
      <c r="S69" s="1"/>
      <c r="T69" s="1"/>
      <c r="U69" s="1" t="s">
        <v>38</v>
      </c>
      <c r="V69" s="1" t="s">
        <v>42</v>
      </c>
      <c r="W69" s="1" t="s">
        <v>549</v>
      </c>
      <c r="X69" s="1" t="s">
        <v>37</v>
      </c>
      <c r="Y69" s="1" t="s">
        <v>31</v>
      </c>
      <c r="Z69" s="1"/>
      <c r="AA69" s="1" t="s">
        <v>683</v>
      </c>
      <c r="AB69" s="2"/>
      <c r="AC69" s="1"/>
      <c r="AD69" s="2"/>
      <c r="AE69" s="2">
        <f>VLOOKUP(R69,'[1]VNSH03 gia thanh sx '!$F$6:$G$171,2,0)</f>
        <v>500</v>
      </c>
      <c r="AF69" s="2">
        <f t="shared" si="8"/>
        <v>0</v>
      </c>
      <c r="AG69" s="2">
        <f>IF(VLOOKUP(R69,'VNET-XF-2105'!$B$12:$D$145,3,0)&gt;=P69,P69,VLOOKUP(R69,'VNET-XF-2105'!$B$12:$D$145,3,0))</f>
        <v>495</v>
      </c>
      <c r="AH69" s="2"/>
      <c r="AI69" s="2"/>
      <c r="AJ69" s="2">
        <f t="shared" si="7"/>
        <v>5</v>
      </c>
    </row>
    <row r="70" spans="1:36" ht="60" x14ac:dyDescent="0.25">
      <c r="A70" s="1">
        <f t="shared" si="0"/>
        <v>64</v>
      </c>
      <c r="B70" s="1" t="str">
        <f t="shared" si="1"/>
        <v>TLV75801PDBVR</v>
      </c>
      <c r="C70" s="1" t="s">
        <v>21</v>
      </c>
      <c r="D70" s="7" t="str">
        <f t="shared" si="2"/>
        <v>Board RK3562</v>
      </c>
      <c r="E70" s="7" t="str">
        <f t="shared" si="3"/>
        <v>Gerber_CAMBOX_RK3562_lot500_2505</v>
      </c>
      <c r="F70" s="7" t="str">
        <f t="shared" si="4"/>
        <v>BOM_CameraBox_2026-04-14 2205</v>
      </c>
      <c r="G70" s="1" t="s">
        <v>215</v>
      </c>
      <c r="H70" s="1" t="s">
        <v>167</v>
      </c>
      <c r="I70" s="1" t="s">
        <v>290</v>
      </c>
      <c r="J70" s="1"/>
      <c r="K70" s="1" t="s">
        <v>8</v>
      </c>
      <c r="L70" s="1" t="s">
        <v>28</v>
      </c>
      <c r="M70" s="1" t="s">
        <v>44</v>
      </c>
      <c r="N70" s="1">
        <v>4</v>
      </c>
      <c r="O70" s="7">
        <f t="shared" si="5"/>
        <v>500</v>
      </c>
      <c r="P70" s="7">
        <f t="shared" si="9"/>
        <v>2000</v>
      </c>
      <c r="Q70" s="20" t="s">
        <v>408</v>
      </c>
      <c r="R70" s="20" t="s">
        <v>425</v>
      </c>
      <c r="S70" s="1"/>
      <c r="T70" s="1"/>
      <c r="U70" s="1" t="s">
        <v>38</v>
      </c>
      <c r="V70" s="1" t="s">
        <v>551</v>
      </c>
      <c r="W70" s="1" t="s">
        <v>549</v>
      </c>
      <c r="X70" s="1" t="s">
        <v>37</v>
      </c>
      <c r="Y70" s="1" t="s">
        <v>31</v>
      </c>
      <c r="Z70" s="1"/>
      <c r="AA70" s="1" t="s">
        <v>24</v>
      </c>
      <c r="AB70" s="2"/>
      <c r="AC70" s="1"/>
      <c r="AD70" s="2"/>
      <c r="AE70" s="2">
        <f>VLOOKUP(R70,'[1]VNSH03 gia thanh sx '!$F$6:$G$171,2,0)</f>
        <v>2000</v>
      </c>
      <c r="AF70" s="2">
        <f t="shared" si="8"/>
        <v>0</v>
      </c>
      <c r="AG70" s="2">
        <f>IF(VLOOKUP(R70,'VNET-XF-2105'!$B$12:$D$145,3,0)&gt;=P70,P70,VLOOKUP(R70,'VNET-XF-2105'!$B$12:$D$145,3,0))</f>
        <v>1980</v>
      </c>
      <c r="AH70" s="2"/>
      <c r="AI70" s="2"/>
      <c r="AJ70" s="2">
        <f t="shared" si="7"/>
        <v>20</v>
      </c>
    </row>
    <row r="71" spans="1:36" ht="60" x14ac:dyDescent="0.25">
      <c r="A71" s="1">
        <f t="shared" si="0"/>
        <v>65</v>
      </c>
      <c r="B71" s="1" t="str">
        <f t="shared" si="1"/>
        <v>MAX3232CDR</v>
      </c>
      <c r="C71" s="1" t="s">
        <v>21</v>
      </c>
      <c r="D71" s="7" t="str">
        <f t="shared" si="2"/>
        <v>Board RK3562</v>
      </c>
      <c r="E71" s="7" t="str">
        <f t="shared" si="3"/>
        <v>Gerber_CAMBOX_RK3562_lot500_2505</v>
      </c>
      <c r="F71" s="7" t="str">
        <f t="shared" si="4"/>
        <v>BOM_CameraBox_2026-04-14 2205</v>
      </c>
      <c r="G71" s="1" t="s">
        <v>203</v>
      </c>
      <c r="H71" s="1" t="s">
        <v>167</v>
      </c>
      <c r="I71" s="1" t="s">
        <v>274</v>
      </c>
      <c r="J71" s="1"/>
      <c r="K71" s="1" t="s">
        <v>8</v>
      </c>
      <c r="L71" s="1" t="s">
        <v>28</v>
      </c>
      <c r="M71" s="1" t="s">
        <v>44</v>
      </c>
      <c r="N71" s="1">
        <v>3</v>
      </c>
      <c r="O71" s="7">
        <f t="shared" si="5"/>
        <v>500</v>
      </c>
      <c r="P71" s="7">
        <f t="shared" ref="P71:P102" si="10">IF($N71="","",$N71*$O71)</f>
        <v>1500</v>
      </c>
      <c r="Q71" s="20" t="s">
        <v>395</v>
      </c>
      <c r="R71" s="20" t="s">
        <v>396</v>
      </c>
      <c r="S71" s="1"/>
      <c r="T71" s="1"/>
      <c r="U71" s="1" t="s">
        <v>38</v>
      </c>
      <c r="V71" s="1" t="s">
        <v>551</v>
      </c>
      <c r="W71" s="1" t="s">
        <v>549</v>
      </c>
      <c r="X71" s="1" t="s">
        <v>37</v>
      </c>
      <c r="Y71" s="1" t="s">
        <v>31</v>
      </c>
      <c r="Z71" s="1"/>
      <c r="AA71" s="1" t="s">
        <v>24</v>
      </c>
      <c r="AB71" s="2"/>
      <c r="AC71" s="1"/>
      <c r="AD71" s="2"/>
      <c r="AE71" s="2">
        <f>VLOOKUP(R71,'[1]VNSH03 gia thanh sx '!$F$6:$G$171,2,0)</f>
        <v>1500</v>
      </c>
      <c r="AF71" s="2">
        <f t="shared" si="8"/>
        <v>0</v>
      </c>
      <c r="AG71" s="2">
        <f>IF(VLOOKUP(R71,'VNET-XF-2105'!$B$12:$D$145,3,0)&gt;=P71,P71,VLOOKUP(R71,'VNET-XF-2105'!$B$12:$D$145,3,0))</f>
        <v>1485</v>
      </c>
      <c r="AH71" s="2"/>
      <c r="AI71" s="2"/>
      <c r="AJ71" s="2">
        <f t="shared" si="7"/>
        <v>15</v>
      </c>
    </row>
    <row r="72" spans="1:36" ht="60" x14ac:dyDescent="0.25">
      <c r="A72" s="1">
        <f t="shared" ref="A72:A135" si="11">ROW()-6</f>
        <v>66</v>
      </c>
      <c r="B72" s="1" t="str">
        <f t="shared" ref="B72:B135" si="12">R72</f>
        <v>NCA9555</v>
      </c>
      <c r="C72" s="1" t="s">
        <v>21</v>
      </c>
      <c r="D72" s="7" t="str">
        <f t="shared" ref="D72:D135" si="13">$D$4</f>
        <v>Board RK3562</v>
      </c>
      <c r="E72" s="7" t="str">
        <f t="shared" ref="E72:E135" si="14">$J$2</f>
        <v>Gerber_CAMBOX_RK3562_lot500_2505</v>
      </c>
      <c r="F72" s="7" t="str">
        <f t="shared" ref="F72:F135" si="15">$J$3</f>
        <v>BOM_CameraBox_2026-04-14 2205</v>
      </c>
      <c r="G72" s="1" t="s">
        <v>593</v>
      </c>
      <c r="H72" s="1" t="s">
        <v>167</v>
      </c>
      <c r="I72" s="1" t="s">
        <v>640</v>
      </c>
      <c r="J72" s="1"/>
      <c r="K72" s="1" t="s">
        <v>8</v>
      </c>
      <c r="L72" s="1" t="s">
        <v>28</v>
      </c>
      <c r="M72" s="1" t="s">
        <v>44</v>
      </c>
      <c r="N72" s="1">
        <v>2</v>
      </c>
      <c r="O72" s="7">
        <f t="shared" ref="O72:O135" si="16">$J$4</f>
        <v>500</v>
      </c>
      <c r="P72" s="7">
        <f t="shared" si="10"/>
        <v>1000</v>
      </c>
      <c r="Q72" s="20" t="s">
        <v>685</v>
      </c>
      <c r="R72" s="20" t="s">
        <v>686</v>
      </c>
      <c r="S72" s="1"/>
      <c r="T72" s="1"/>
      <c r="U72" s="1" t="s">
        <v>38</v>
      </c>
      <c r="V72" s="1" t="s">
        <v>551</v>
      </c>
      <c r="W72" s="1" t="s">
        <v>549</v>
      </c>
      <c r="X72" s="1" t="s">
        <v>37</v>
      </c>
      <c r="Y72" s="1" t="s">
        <v>31</v>
      </c>
      <c r="Z72" s="1"/>
      <c r="AA72" s="1" t="s">
        <v>24</v>
      </c>
      <c r="AB72" s="2"/>
      <c r="AC72" s="1"/>
      <c r="AD72" s="2"/>
      <c r="AE72" s="2">
        <f>VLOOKUP(R72,'[1]VNSH03 gia thanh sx '!$F$6:$G$171,2,0)</f>
        <v>1000</v>
      </c>
      <c r="AF72" s="2">
        <f t="shared" si="8"/>
        <v>0</v>
      </c>
      <c r="AG72" s="2">
        <f>IF(VLOOKUP(R72,'VNET-XF-2105'!$B$12:$D$145,3,0)&gt;=P72,P72,VLOOKUP(R72,'VNET-XF-2105'!$B$12:$D$145,3,0))</f>
        <v>990</v>
      </c>
      <c r="AH72" s="2"/>
      <c r="AI72" s="2"/>
      <c r="AJ72" s="2">
        <f t="shared" ref="AJ72:AJ135" si="17">P72-SUM(AG72:AI72)</f>
        <v>10</v>
      </c>
    </row>
    <row r="73" spans="1:36" ht="60" x14ac:dyDescent="0.25">
      <c r="A73" s="1">
        <f t="shared" si="11"/>
        <v>67</v>
      </c>
      <c r="B73" s="1" t="str">
        <f t="shared" si="12"/>
        <v>LK8563T</v>
      </c>
      <c r="C73" s="1" t="s">
        <v>21</v>
      </c>
      <c r="D73" s="7" t="str">
        <f t="shared" si="13"/>
        <v>Board RK3562</v>
      </c>
      <c r="E73" s="7" t="str">
        <f t="shared" si="14"/>
        <v>Gerber_CAMBOX_RK3562_lot500_2505</v>
      </c>
      <c r="F73" s="7" t="str">
        <f t="shared" si="15"/>
        <v>BOM_CameraBox_2026-04-14 2205</v>
      </c>
      <c r="G73" s="1" t="s">
        <v>594</v>
      </c>
      <c r="H73" s="1" t="s">
        <v>167</v>
      </c>
      <c r="I73" s="1" t="s">
        <v>641</v>
      </c>
      <c r="J73" s="1"/>
      <c r="K73" s="1" t="s">
        <v>8</v>
      </c>
      <c r="L73" s="1" t="s">
        <v>28</v>
      </c>
      <c r="M73" s="1" t="s">
        <v>44</v>
      </c>
      <c r="N73" s="1">
        <v>1</v>
      </c>
      <c r="O73" s="7">
        <f t="shared" si="16"/>
        <v>500</v>
      </c>
      <c r="P73" s="7">
        <f t="shared" si="10"/>
        <v>500</v>
      </c>
      <c r="Q73" s="20" t="s">
        <v>687</v>
      </c>
      <c r="R73" s="20" t="s">
        <v>688</v>
      </c>
      <c r="S73" s="1"/>
      <c r="T73" s="1"/>
      <c r="U73" s="1" t="s">
        <v>38</v>
      </c>
      <c r="V73" s="1" t="s">
        <v>42</v>
      </c>
      <c r="W73" s="1" t="s">
        <v>549</v>
      </c>
      <c r="X73" s="1" t="s">
        <v>37</v>
      </c>
      <c r="Y73" s="1" t="s">
        <v>31</v>
      </c>
      <c r="Z73" s="1"/>
      <c r="AA73" s="1" t="s">
        <v>24</v>
      </c>
      <c r="AB73" s="2"/>
      <c r="AC73" s="1"/>
      <c r="AD73" s="2"/>
      <c r="AE73" s="2">
        <f>VLOOKUP(R73,'[1]VNSH03 gia thanh sx '!$F$6:$G$171,2,0)</f>
        <v>500</v>
      </c>
      <c r="AF73" s="2">
        <f t="shared" ref="AF73:AF136" si="18">P73-AE73</f>
        <v>0</v>
      </c>
      <c r="AG73" s="2">
        <f>IF(VLOOKUP(R73,'VNET-XF-2105'!$B$12:$D$145,3,0)&gt;=P73,P73,VLOOKUP(R73,'VNET-XF-2105'!$B$12:$D$145,3,0))</f>
        <v>495</v>
      </c>
      <c r="AH73" s="2"/>
      <c r="AI73" s="2"/>
      <c r="AJ73" s="2">
        <f t="shared" si="17"/>
        <v>5</v>
      </c>
    </row>
    <row r="74" spans="1:36" ht="60" x14ac:dyDescent="0.25">
      <c r="A74" s="1">
        <f t="shared" si="11"/>
        <v>68</v>
      </c>
      <c r="B74" s="1" t="str">
        <f t="shared" si="12"/>
        <v>SMF05CT1G-P</v>
      </c>
      <c r="C74" s="1" t="s">
        <v>21</v>
      </c>
      <c r="D74" s="7" t="str">
        <f t="shared" si="13"/>
        <v>Board RK3562</v>
      </c>
      <c r="E74" s="7" t="str">
        <f t="shared" si="14"/>
        <v>Gerber_CAMBOX_RK3562_lot500_2505</v>
      </c>
      <c r="F74" s="7" t="str">
        <f t="shared" si="15"/>
        <v>BOM_CameraBox_2026-04-14 2205</v>
      </c>
      <c r="G74" s="1" t="s">
        <v>230</v>
      </c>
      <c r="H74" s="1" t="s">
        <v>167</v>
      </c>
      <c r="I74" s="1" t="s">
        <v>322</v>
      </c>
      <c r="J74" s="1"/>
      <c r="K74" s="1" t="s">
        <v>8</v>
      </c>
      <c r="L74" s="1" t="s">
        <v>28</v>
      </c>
      <c r="M74" s="1" t="s">
        <v>44</v>
      </c>
      <c r="N74" s="1">
        <v>1</v>
      </c>
      <c r="O74" s="7">
        <f t="shared" si="16"/>
        <v>500</v>
      </c>
      <c r="P74" s="7">
        <f t="shared" si="10"/>
        <v>500</v>
      </c>
      <c r="Q74" s="20" t="s">
        <v>423</v>
      </c>
      <c r="R74" s="20" t="s">
        <v>473</v>
      </c>
      <c r="S74" s="1"/>
      <c r="T74" s="1"/>
      <c r="U74" s="1" t="s">
        <v>38</v>
      </c>
      <c r="V74" s="1" t="s">
        <v>551</v>
      </c>
      <c r="W74" s="1" t="s">
        <v>549</v>
      </c>
      <c r="X74" s="1" t="s">
        <v>37</v>
      </c>
      <c r="Y74" s="1" t="s">
        <v>31</v>
      </c>
      <c r="Z74" s="1"/>
      <c r="AA74" s="1" t="s">
        <v>24</v>
      </c>
      <c r="AB74" s="2"/>
      <c r="AC74" s="1"/>
      <c r="AD74" s="2"/>
      <c r="AE74" s="2">
        <f>VLOOKUP(R74,'[1]VNSH03 gia thanh sx '!$F$6:$G$171,2,0)</f>
        <v>500</v>
      </c>
      <c r="AF74" s="2">
        <f t="shared" si="18"/>
        <v>0</v>
      </c>
      <c r="AG74" s="2">
        <f>IF(VLOOKUP(R74,'VNET-XF-2105'!$B$12:$D$145,3,0)&gt;=P74,P74,VLOOKUP(R74,'VNET-XF-2105'!$B$12:$D$145,3,0))</f>
        <v>495</v>
      </c>
      <c r="AH74" s="2"/>
      <c r="AI74" s="2"/>
      <c r="AJ74" s="2">
        <f t="shared" si="17"/>
        <v>5</v>
      </c>
    </row>
    <row r="75" spans="1:36" ht="60" x14ac:dyDescent="0.25">
      <c r="A75" s="1">
        <f t="shared" si="11"/>
        <v>69</v>
      </c>
      <c r="B75" s="1" t="str">
        <f t="shared" si="12"/>
        <v>SR05-04A</v>
      </c>
      <c r="C75" s="1" t="s">
        <v>21</v>
      </c>
      <c r="D75" s="7" t="str">
        <f t="shared" si="13"/>
        <v>Board RK3562</v>
      </c>
      <c r="E75" s="7" t="str">
        <f t="shared" si="14"/>
        <v>Gerber_CAMBOX_RK3562_lot500_2505</v>
      </c>
      <c r="F75" s="7" t="str">
        <f t="shared" si="15"/>
        <v>BOM_CameraBox_2026-04-14 2205</v>
      </c>
      <c r="G75" s="1" t="s">
        <v>222</v>
      </c>
      <c r="H75" s="1" t="s">
        <v>167</v>
      </c>
      <c r="I75" s="1" t="s">
        <v>310</v>
      </c>
      <c r="J75" s="1"/>
      <c r="K75" s="1" t="s">
        <v>8</v>
      </c>
      <c r="L75" s="1" t="s">
        <v>28</v>
      </c>
      <c r="M75" s="1" t="s">
        <v>44</v>
      </c>
      <c r="N75" s="1">
        <v>1</v>
      </c>
      <c r="O75" s="7">
        <f t="shared" si="16"/>
        <v>500</v>
      </c>
      <c r="P75" s="7">
        <f t="shared" si="10"/>
        <v>500</v>
      </c>
      <c r="Q75" s="20" t="s">
        <v>421</v>
      </c>
      <c r="R75" s="20" t="s">
        <v>455</v>
      </c>
      <c r="S75" s="1"/>
      <c r="T75" s="1"/>
      <c r="U75" s="1" t="s">
        <v>38</v>
      </c>
      <c r="V75" s="1" t="s">
        <v>551</v>
      </c>
      <c r="W75" s="1" t="s">
        <v>549</v>
      </c>
      <c r="X75" s="1" t="s">
        <v>37</v>
      </c>
      <c r="Y75" s="1" t="s">
        <v>31</v>
      </c>
      <c r="Z75" s="1"/>
      <c r="AA75" s="1" t="s">
        <v>24</v>
      </c>
      <c r="AB75" s="2"/>
      <c r="AC75" s="1"/>
      <c r="AD75" s="2"/>
      <c r="AE75" s="2">
        <f>VLOOKUP(R75,'[1]VNSH03 gia thanh sx '!$F$6:$G$171,2,0)</f>
        <v>500</v>
      </c>
      <c r="AF75" s="2">
        <f t="shared" si="18"/>
        <v>0</v>
      </c>
      <c r="AG75" s="2">
        <f>IF(VLOOKUP(R75,'VNET-XF-2105'!$B$12:$D$145,3,0)&gt;=P75,P75,VLOOKUP(R75,'VNET-XF-2105'!$B$12:$D$145,3,0))</f>
        <v>495</v>
      </c>
      <c r="AH75" s="2"/>
      <c r="AI75" s="2"/>
      <c r="AJ75" s="2">
        <f t="shared" si="17"/>
        <v>5</v>
      </c>
    </row>
    <row r="76" spans="1:36" ht="60" x14ac:dyDescent="0.25">
      <c r="A76" s="1">
        <f t="shared" si="11"/>
        <v>70</v>
      </c>
      <c r="B76" s="1" t="str">
        <f t="shared" si="12"/>
        <v>YT8512H</v>
      </c>
      <c r="C76" s="1" t="s">
        <v>21</v>
      </c>
      <c r="D76" s="7" t="str">
        <f t="shared" si="13"/>
        <v>Board RK3562</v>
      </c>
      <c r="E76" s="7" t="str">
        <f t="shared" si="14"/>
        <v>Gerber_CAMBOX_RK3562_lot500_2505</v>
      </c>
      <c r="F76" s="7" t="str">
        <f t="shared" si="15"/>
        <v>BOM_CameraBox_2026-04-14 2205</v>
      </c>
      <c r="G76" s="1" t="s">
        <v>595</v>
      </c>
      <c r="H76" s="1" t="s">
        <v>167</v>
      </c>
      <c r="I76" s="1" t="s">
        <v>642</v>
      </c>
      <c r="J76" s="1"/>
      <c r="K76" s="1" t="s">
        <v>8</v>
      </c>
      <c r="L76" s="1" t="s">
        <v>28</v>
      </c>
      <c r="M76" s="1" t="s">
        <v>44</v>
      </c>
      <c r="N76" s="1">
        <v>1</v>
      </c>
      <c r="O76" s="7">
        <f t="shared" si="16"/>
        <v>500</v>
      </c>
      <c r="P76" s="7">
        <f t="shared" si="10"/>
        <v>500</v>
      </c>
      <c r="Q76" s="20" t="s">
        <v>689</v>
      </c>
      <c r="R76" s="20" t="s">
        <v>690</v>
      </c>
      <c r="S76" s="1"/>
      <c r="T76" s="1"/>
      <c r="U76" s="1" t="s">
        <v>38</v>
      </c>
      <c r="V76" s="1" t="s">
        <v>42</v>
      </c>
      <c r="W76" s="1" t="s">
        <v>549</v>
      </c>
      <c r="X76" s="1" t="s">
        <v>37</v>
      </c>
      <c r="Y76" s="1" t="s">
        <v>31</v>
      </c>
      <c r="Z76" s="1"/>
      <c r="AA76" s="1" t="s">
        <v>24</v>
      </c>
      <c r="AB76" s="2"/>
      <c r="AC76" s="1"/>
      <c r="AD76" s="2"/>
      <c r="AE76" s="2">
        <f>VLOOKUP(R76,'[1]VNSH03 gia thanh sx '!$F$6:$G$171,2,0)</f>
        <v>500</v>
      </c>
      <c r="AF76" s="2">
        <f t="shared" si="18"/>
        <v>0</v>
      </c>
      <c r="AG76" s="2">
        <f>IF(VLOOKUP(R76,'VNET-XF-2105'!$B$12:$D$145,3,0)&gt;=P76,P76,VLOOKUP(R76,'VNET-XF-2105'!$B$12:$D$145,3,0))</f>
        <v>495</v>
      </c>
      <c r="AH76" s="2"/>
      <c r="AI76" s="2"/>
      <c r="AJ76" s="2">
        <f t="shared" si="17"/>
        <v>5</v>
      </c>
    </row>
    <row r="77" spans="1:36" ht="60" x14ac:dyDescent="0.25">
      <c r="A77" s="1">
        <f t="shared" si="11"/>
        <v>71</v>
      </c>
      <c r="B77" s="1" t="str">
        <f t="shared" si="12"/>
        <v>LM393DR</v>
      </c>
      <c r="C77" s="1" t="s">
        <v>21</v>
      </c>
      <c r="D77" s="7" t="str">
        <f t="shared" si="13"/>
        <v>Board RK3562</v>
      </c>
      <c r="E77" s="7" t="str">
        <f t="shared" si="14"/>
        <v>Gerber_CAMBOX_RK3562_lot500_2505</v>
      </c>
      <c r="F77" s="7" t="str">
        <f t="shared" si="15"/>
        <v>BOM_CameraBox_2026-04-14 2205</v>
      </c>
      <c r="G77" s="1" t="s">
        <v>223</v>
      </c>
      <c r="H77" s="1" t="s">
        <v>167</v>
      </c>
      <c r="I77" s="1" t="s">
        <v>311</v>
      </c>
      <c r="J77" s="1"/>
      <c r="K77" s="1" t="s">
        <v>8</v>
      </c>
      <c r="L77" s="1" t="s">
        <v>28</v>
      </c>
      <c r="M77" s="1" t="s">
        <v>44</v>
      </c>
      <c r="N77" s="1">
        <v>1</v>
      </c>
      <c r="O77" s="7">
        <f t="shared" si="16"/>
        <v>500</v>
      </c>
      <c r="P77" s="7">
        <f t="shared" si="10"/>
        <v>500</v>
      </c>
      <c r="Q77" s="20" t="s">
        <v>395</v>
      </c>
      <c r="R77" s="20" t="s">
        <v>456</v>
      </c>
      <c r="S77" s="1"/>
      <c r="T77" s="1"/>
      <c r="U77" s="1" t="s">
        <v>38</v>
      </c>
      <c r="V77" s="1" t="s">
        <v>551</v>
      </c>
      <c r="W77" s="1" t="s">
        <v>549</v>
      </c>
      <c r="X77" s="1" t="s">
        <v>37</v>
      </c>
      <c r="Y77" s="1" t="s">
        <v>31</v>
      </c>
      <c r="Z77" s="1"/>
      <c r="AA77" s="1" t="s">
        <v>24</v>
      </c>
      <c r="AB77" s="2"/>
      <c r="AC77" s="1"/>
      <c r="AD77" s="2"/>
      <c r="AE77" s="2">
        <f>VLOOKUP(R77,'[1]VNSH03 gia thanh sx '!$F$6:$G$171,2,0)</f>
        <v>500</v>
      </c>
      <c r="AF77" s="2">
        <f t="shared" si="18"/>
        <v>0</v>
      </c>
      <c r="AG77" s="2">
        <f>IF(VLOOKUP(R77,'VNET-XF-2105'!$B$12:$D$145,3,0)&gt;=P77,P77,VLOOKUP(R77,'VNET-XF-2105'!$B$12:$D$145,3,0))</f>
        <v>495</v>
      </c>
      <c r="AH77" s="2"/>
      <c r="AI77" s="2"/>
      <c r="AJ77" s="2">
        <f t="shared" si="17"/>
        <v>5</v>
      </c>
    </row>
    <row r="78" spans="1:36" ht="60" x14ac:dyDescent="0.25">
      <c r="A78" s="1">
        <f t="shared" si="11"/>
        <v>72</v>
      </c>
      <c r="B78" s="1" t="str">
        <f t="shared" si="12"/>
        <v>ZD0650-2R2M</v>
      </c>
      <c r="C78" s="1" t="s">
        <v>21</v>
      </c>
      <c r="D78" s="7" t="str">
        <f t="shared" si="13"/>
        <v>Board RK3562</v>
      </c>
      <c r="E78" s="7" t="str">
        <f t="shared" si="14"/>
        <v>Gerber_CAMBOX_RK3562_lot500_2505</v>
      </c>
      <c r="F78" s="7" t="str">
        <f t="shared" si="15"/>
        <v>BOM_CameraBox_2026-04-14 2205</v>
      </c>
      <c r="G78" s="1" t="s">
        <v>219</v>
      </c>
      <c r="H78" s="1" t="s">
        <v>152</v>
      </c>
      <c r="I78" s="1" t="s">
        <v>302</v>
      </c>
      <c r="J78" s="1"/>
      <c r="K78" s="1" t="s">
        <v>8</v>
      </c>
      <c r="L78" s="1" t="s">
        <v>28</v>
      </c>
      <c r="M78" s="1" t="s">
        <v>44</v>
      </c>
      <c r="N78" s="1">
        <v>1</v>
      </c>
      <c r="O78" s="7">
        <f t="shared" si="16"/>
        <v>500</v>
      </c>
      <c r="P78" s="7">
        <f t="shared" si="10"/>
        <v>500</v>
      </c>
      <c r="Q78" s="20" t="s">
        <v>444</v>
      </c>
      <c r="R78" s="20" t="s">
        <v>445</v>
      </c>
      <c r="S78" s="1"/>
      <c r="T78" s="1"/>
      <c r="U78" s="1" t="s">
        <v>38</v>
      </c>
      <c r="V78" s="1" t="s">
        <v>551</v>
      </c>
      <c r="W78" s="1" t="s">
        <v>550</v>
      </c>
      <c r="X78" s="1" t="s">
        <v>37</v>
      </c>
      <c r="Y78" s="1" t="s">
        <v>31</v>
      </c>
      <c r="Z78" s="1"/>
      <c r="AA78" s="1" t="s">
        <v>24</v>
      </c>
      <c r="AB78" s="2"/>
      <c r="AC78" s="1"/>
      <c r="AD78" s="2"/>
      <c r="AE78" s="2">
        <f>VLOOKUP(R78,'[1]VNSH03 gia thanh sx '!$F$6:$G$171,2,0)</f>
        <v>500</v>
      </c>
      <c r="AF78" s="2">
        <f t="shared" si="18"/>
        <v>0</v>
      </c>
      <c r="AG78" s="2">
        <f>IF(VLOOKUP(R78,'VNET-XF-2105'!$B$12:$D$145,3,0)&gt;=P78,P78,VLOOKUP(R78,'VNET-XF-2105'!$B$12:$D$145,3,0))</f>
        <v>495</v>
      </c>
      <c r="AH78" s="2"/>
      <c r="AI78" s="2"/>
      <c r="AJ78" s="2">
        <f t="shared" si="17"/>
        <v>5</v>
      </c>
    </row>
    <row r="79" spans="1:36" ht="60" x14ac:dyDescent="0.25">
      <c r="A79" s="1">
        <f t="shared" si="11"/>
        <v>73</v>
      </c>
      <c r="B79" s="1" t="str">
        <f t="shared" si="12"/>
        <v>PSPMAA0605H-6R8M-ANP</v>
      </c>
      <c r="C79" s="1" t="s">
        <v>21</v>
      </c>
      <c r="D79" s="7" t="str">
        <f t="shared" si="13"/>
        <v>Board RK3562</v>
      </c>
      <c r="E79" s="7" t="str">
        <f t="shared" si="14"/>
        <v>Gerber_CAMBOX_RK3562_lot500_2505</v>
      </c>
      <c r="F79" s="7" t="str">
        <f t="shared" si="15"/>
        <v>BOM_CameraBox_2026-04-14 2205</v>
      </c>
      <c r="G79" s="1" t="s">
        <v>218</v>
      </c>
      <c r="H79" s="1" t="s">
        <v>152</v>
      </c>
      <c r="I79" s="1" t="s">
        <v>298</v>
      </c>
      <c r="J79" s="1"/>
      <c r="K79" s="1" t="s">
        <v>8</v>
      </c>
      <c r="L79" s="1" t="s">
        <v>28</v>
      </c>
      <c r="M79" s="1" t="s">
        <v>44</v>
      </c>
      <c r="N79" s="1">
        <v>1</v>
      </c>
      <c r="O79" s="7">
        <f t="shared" si="16"/>
        <v>500</v>
      </c>
      <c r="P79" s="7">
        <f t="shared" si="10"/>
        <v>500</v>
      </c>
      <c r="Q79" s="20" t="s">
        <v>437</v>
      </c>
      <c r="R79" s="20" t="s">
        <v>438</v>
      </c>
      <c r="S79" s="1"/>
      <c r="T79" s="1"/>
      <c r="U79" s="1" t="s">
        <v>38</v>
      </c>
      <c r="V79" s="1" t="s">
        <v>551</v>
      </c>
      <c r="W79" s="1" t="s">
        <v>550</v>
      </c>
      <c r="X79" s="1" t="s">
        <v>37</v>
      </c>
      <c r="Y79" s="1" t="s">
        <v>31</v>
      </c>
      <c r="Z79" s="1"/>
      <c r="AA79" s="1" t="s">
        <v>24</v>
      </c>
      <c r="AB79" s="2"/>
      <c r="AC79" s="1"/>
      <c r="AD79" s="2"/>
      <c r="AE79" s="2">
        <f>VLOOKUP(R79,'[1]VNSH03 gia thanh sx '!$F$6:$G$171,2,0)</f>
        <v>500</v>
      </c>
      <c r="AF79" s="2">
        <f t="shared" si="18"/>
        <v>0</v>
      </c>
      <c r="AG79" s="2">
        <f>IF(VLOOKUP(R79,'VNET-XF-2105'!$B$12:$D$145,3,0)&gt;=P79,P79,VLOOKUP(R79,'VNET-XF-2105'!$B$12:$D$145,3,0))</f>
        <v>495</v>
      </c>
      <c r="AH79" s="2"/>
      <c r="AI79" s="2"/>
      <c r="AJ79" s="2">
        <f t="shared" si="17"/>
        <v>5</v>
      </c>
    </row>
    <row r="80" spans="1:36" ht="60" x14ac:dyDescent="0.25">
      <c r="A80" s="1">
        <f t="shared" si="11"/>
        <v>74</v>
      </c>
      <c r="B80" s="1" t="str">
        <f t="shared" si="12"/>
        <v>CDRCH12D78BNP-220MC</v>
      </c>
      <c r="C80" s="1" t="s">
        <v>21</v>
      </c>
      <c r="D80" s="7" t="str">
        <f t="shared" si="13"/>
        <v>Board RK3562</v>
      </c>
      <c r="E80" s="7" t="str">
        <f t="shared" si="14"/>
        <v>Gerber_CAMBOX_RK3562_lot500_2505</v>
      </c>
      <c r="F80" s="7" t="str">
        <f t="shared" si="15"/>
        <v>BOM_CameraBox_2026-04-14 2205</v>
      </c>
      <c r="G80" s="1" t="s">
        <v>204</v>
      </c>
      <c r="H80" s="1" t="s">
        <v>152</v>
      </c>
      <c r="I80" s="1" t="s">
        <v>275</v>
      </c>
      <c r="J80" s="1"/>
      <c r="K80" s="1" t="s">
        <v>8</v>
      </c>
      <c r="L80" s="1" t="s">
        <v>28</v>
      </c>
      <c r="M80" s="1" t="s">
        <v>44</v>
      </c>
      <c r="N80" s="1">
        <v>1</v>
      </c>
      <c r="O80" s="7">
        <f t="shared" si="16"/>
        <v>500</v>
      </c>
      <c r="P80" s="7">
        <f t="shared" si="10"/>
        <v>500</v>
      </c>
      <c r="Q80" s="20" t="s">
        <v>397</v>
      </c>
      <c r="R80" s="20" t="s">
        <v>398</v>
      </c>
      <c r="S80" s="1"/>
      <c r="T80" s="1"/>
      <c r="U80" s="1" t="s">
        <v>38</v>
      </c>
      <c r="V80" s="1" t="s">
        <v>551</v>
      </c>
      <c r="W80" s="1" t="s">
        <v>550</v>
      </c>
      <c r="X80" s="1" t="s">
        <v>37</v>
      </c>
      <c r="Y80" s="1" t="s">
        <v>31</v>
      </c>
      <c r="Z80" s="1"/>
      <c r="AA80" s="1" t="s">
        <v>24</v>
      </c>
      <c r="AB80" s="2"/>
      <c r="AC80" s="1"/>
      <c r="AD80" s="2"/>
      <c r="AE80" s="2">
        <f>VLOOKUP(R80,'[1]VNSH03 gia thanh sx '!$F$6:$G$171,2,0)</f>
        <v>500</v>
      </c>
      <c r="AF80" s="2">
        <f t="shared" si="18"/>
        <v>0</v>
      </c>
      <c r="AG80" s="2">
        <f>IF(VLOOKUP(R80,'VNET-XF-2105'!$B$12:$D$145,3,0)&gt;=P80,P80,VLOOKUP(R80,'VNET-XF-2105'!$B$12:$D$145,3,0))</f>
        <v>495</v>
      </c>
      <c r="AH80" s="2"/>
      <c r="AI80" s="2"/>
      <c r="AJ80" s="2">
        <f t="shared" si="17"/>
        <v>5</v>
      </c>
    </row>
    <row r="81" spans="1:36" ht="60" x14ac:dyDescent="0.25">
      <c r="A81" s="1">
        <f t="shared" si="11"/>
        <v>75</v>
      </c>
      <c r="B81" s="1" t="str">
        <f t="shared" si="12"/>
        <v>ZNR3015ST2R2M</v>
      </c>
      <c r="C81" s="1" t="s">
        <v>21</v>
      </c>
      <c r="D81" s="7" t="str">
        <f t="shared" si="13"/>
        <v>Board RK3562</v>
      </c>
      <c r="E81" s="7" t="str">
        <f t="shared" si="14"/>
        <v>Gerber_CAMBOX_RK3562_lot500_2505</v>
      </c>
      <c r="F81" s="7" t="str">
        <f t="shared" si="15"/>
        <v>BOM_CameraBox_2026-04-14 2205</v>
      </c>
      <c r="G81" s="1" t="s">
        <v>596</v>
      </c>
      <c r="H81" s="1" t="s">
        <v>152</v>
      </c>
      <c r="I81" s="1" t="s">
        <v>335</v>
      </c>
      <c r="J81" s="1"/>
      <c r="K81" s="1" t="s">
        <v>8</v>
      </c>
      <c r="L81" s="1" t="s">
        <v>28</v>
      </c>
      <c r="M81" s="1" t="s">
        <v>44</v>
      </c>
      <c r="N81" s="1">
        <v>2</v>
      </c>
      <c r="O81" s="7">
        <f t="shared" si="16"/>
        <v>500</v>
      </c>
      <c r="P81" s="7">
        <f t="shared" si="10"/>
        <v>1000</v>
      </c>
      <c r="Q81" s="20" t="s">
        <v>448</v>
      </c>
      <c r="R81" s="20" t="s">
        <v>449</v>
      </c>
      <c r="S81" s="1"/>
      <c r="T81" s="1"/>
      <c r="U81" s="1" t="s">
        <v>38</v>
      </c>
      <c r="V81" s="1" t="s">
        <v>551</v>
      </c>
      <c r="W81" s="1" t="s">
        <v>550</v>
      </c>
      <c r="X81" s="1" t="s">
        <v>37</v>
      </c>
      <c r="Y81" s="1" t="s">
        <v>31</v>
      </c>
      <c r="Z81" s="1"/>
      <c r="AA81" s="1" t="s">
        <v>24</v>
      </c>
      <c r="AB81" s="2"/>
      <c r="AC81" s="1"/>
      <c r="AD81" s="2"/>
      <c r="AE81" s="2">
        <f>VLOOKUP(R81,'[1]VNSH03 gia thanh sx '!$F$6:$G$171,2,0)</f>
        <v>1500</v>
      </c>
      <c r="AF81" s="2">
        <f t="shared" si="18"/>
        <v>-500</v>
      </c>
      <c r="AG81" s="2">
        <f>IF(VLOOKUP(R81,'VNET-XF-2105'!$B$12:$D$145,3,0)&gt;=P81,P81,VLOOKUP(R81,'VNET-XF-2105'!$B$12:$D$145,3,0))</f>
        <v>990</v>
      </c>
      <c r="AH81" s="2"/>
      <c r="AI81" s="2"/>
      <c r="AJ81" s="2">
        <f t="shared" si="17"/>
        <v>10</v>
      </c>
    </row>
    <row r="82" spans="1:36" ht="60" x14ac:dyDescent="0.25">
      <c r="A82" s="1">
        <f t="shared" si="11"/>
        <v>76</v>
      </c>
      <c r="B82" s="1" t="str">
        <f t="shared" si="12"/>
        <v>DLW21SN670SQ2L</v>
      </c>
      <c r="C82" s="1" t="s">
        <v>21</v>
      </c>
      <c r="D82" s="7" t="str">
        <f t="shared" si="13"/>
        <v>Board RK3562</v>
      </c>
      <c r="E82" s="7" t="str">
        <f t="shared" si="14"/>
        <v>Gerber_CAMBOX_RK3562_lot500_2505</v>
      </c>
      <c r="F82" s="7" t="str">
        <f t="shared" si="15"/>
        <v>BOM_CameraBox_2026-04-14 2205</v>
      </c>
      <c r="G82" s="1" t="s">
        <v>597</v>
      </c>
      <c r="H82" s="1" t="s">
        <v>152</v>
      </c>
      <c r="I82" s="1" t="s">
        <v>643</v>
      </c>
      <c r="J82" s="1"/>
      <c r="K82" s="1" t="s">
        <v>8</v>
      </c>
      <c r="L82" s="1" t="s">
        <v>28</v>
      </c>
      <c r="M82" s="1" t="s">
        <v>44</v>
      </c>
      <c r="N82" s="1">
        <v>1</v>
      </c>
      <c r="O82" s="7">
        <f t="shared" si="16"/>
        <v>500</v>
      </c>
      <c r="P82" s="7">
        <f t="shared" si="10"/>
        <v>500</v>
      </c>
      <c r="Q82" s="20" t="s">
        <v>482</v>
      </c>
      <c r="R82" s="20" t="s">
        <v>691</v>
      </c>
      <c r="S82" s="1"/>
      <c r="T82" s="1"/>
      <c r="U82" s="1" t="s">
        <v>38</v>
      </c>
      <c r="V82" s="1" t="s">
        <v>551</v>
      </c>
      <c r="W82" s="1" t="s">
        <v>550</v>
      </c>
      <c r="X82" s="1" t="s">
        <v>37</v>
      </c>
      <c r="Y82" s="1" t="s">
        <v>31</v>
      </c>
      <c r="Z82" s="1"/>
      <c r="AA82" s="1" t="s">
        <v>24</v>
      </c>
      <c r="AB82" s="2"/>
      <c r="AC82" s="1" t="s">
        <v>717</v>
      </c>
      <c r="AD82" s="2"/>
      <c r="AE82" s="2" t="e">
        <f>VLOOKUP(R82,'[1]VNSH03 gia thanh sx '!$F$6:$G$171,2,0)</f>
        <v>#REF!</v>
      </c>
      <c r="AF82" s="2" t="e">
        <f t="shared" si="18"/>
        <v>#REF!</v>
      </c>
      <c r="AG82" s="2"/>
      <c r="AH82" s="2"/>
      <c r="AI82" s="2"/>
      <c r="AJ82" s="2">
        <f t="shared" si="17"/>
        <v>500</v>
      </c>
    </row>
    <row r="83" spans="1:36" ht="60" x14ac:dyDescent="0.25">
      <c r="A83" s="1">
        <f t="shared" si="11"/>
        <v>77</v>
      </c>
      <c r="B83" s="1" t="str">
        <f t="shared" si="12"/>
        <v>DLM0NSN900HY2D</v>
      </c>
      <c r="C83" s="1" t="s">
        <v>21</v>
      </c>
      <c r="D83" s="7" t="str">
        <f t="shared" si="13"/>
        <v>Board RK3562</v>
      </c>
      <c r="E83" s="7" t="str">
        <f t="shared" si="14"/>
        <v>Gerber_CAMBOX_RK3562_lot500_2505</v>
      </c>
      <c r="F83" s="7" t="str">
        <f t="shared" si="15"/>
        <v>BOM_CameraBox_2026-04-14 2205</v>
      </c>
      <c r="G83" s="1" t="s">
        <v>597</v>
      </c>
      <c r="H83" s="1" t="s">
        <v>152</v>
      </c>
      <c r="I83" s="1" t="s">
        <v>329</v>
      </c>
      <c r="J83" s="1"/>
      <c r="K83" s="1" t="s">
        <v>8</v>
      </c>
      <c r="L83" s="1" t="s">
        <v>28</v>
      </c>
      <c r="M83" s="1" t="s">
        <v>44</v>
      </c>
      <c r="N83" s="1">
        <v>0</v>
      </c>
      <c r="O83" s="7">
        <f t="shared" si="16"/>
        <v>500</v>
      </c>
      <c r="P83" s="7">
        <f t="shared" si="10"/>
        <v>0</v>
      </c>
      <c r="Q83" s="20" t="s">
        <v>482</v>
      </c>
      <c r="R83" s="20" t="s">
        <v>483</v>
      </c>
      <c r="S83" s="1"/>
      <c r="T83" s="1"/>
      <c r="U83" s="1" t="s">
        <v>38</v>
      </c>
      <c r="V83" s="1" t="s">
        <v>551</v>
      </c>
      <c r="W83" s="1" t="s">
        <v>550</v>
      </c>
      <c r="X83" s="1" t="s">
        <v>37</v>
      </c>
      <c r="Y83" s="1" t="s">
        <v>31</v>
      </c>
      <c r="Z83" s="1"/>
      <c r="AA83" s="1" t="s">
        <v>24</v>
      </c>
      <c r="AB83" s="2"/>
      <c r="AC83" s="1" t="s">
        <v>718</v>
      </c>
      <c r="AD83" s="2"/>
      <c r="AE83" s="2">
        <f>VLOOKUP(R83,'[1]VNSH03 gia thanh sx '!$F$6:$G$171,2,0)</f>
        <v>500</v>
      </c>
      <c r="AF83" s="2">
        <f t="shared" si="18"/>
        <v>-500</v>
      </c>
      <c r="AG83" s="2">
        <f>IF(VLOOKUP(R83,'VNET-XF-2105'!$B$12:$D$145,3,0)&gt;=P83,P83,VLOOKUP(R83,'VNET-XF-2105'!$B$12:$D$145,3,0))</f>
        <v>0</v>
      </c>
      <c r="AH83" s="2"/>
      <c r="AI83" s="2"/>
      <c r="AJ83" s="2">
        <f t="shared" si="17"/>
        <v>0</v>
      </c>
    </row>
    <row r="84" spans="1:36" ht="60" x14ac:dyDescent="0.25">
      <c r="A84" s="1">
        <f t="shared" si="11"/>
        <v>78</v>
      </c>
      <c r="B84" s="1" t="str">
        <f>R84</f>
        <v>VHF100505HQ47NJT</v>
      </c>
      <c r="C84" s="1" t="s">
        <v>21</v>
      </c>
      <c r="D84" s="7" t="str">
        <f t="shared" si="13"/>
        <v>Board RK3562</v>
      </c>
      <c r="E84" s="7" t="str">
        <f t="shared" si="14"/>
        <v>Gerber_CAMBOX_RK3562_lot500_2505</v>
      </c>
      <c r="F84" s="7" t="str">
        <f t="shared" si="15"/>
        <v>BOM_CameraBox_2026-04-14 2205</v>
      </c>
      <c r="G84" s="1" t="s">
        <v>240</v>
      </c>
      <c r="H84" s="1" t="s">
        <v>152</v>
      </c>
      <c r="I84" s="1" t="s">
        <v>345</v>
      </c>
      <c r="J84" s="17" t="s">
        <v>387</v>
      </c>
      <c r="K84" s="1" t="s">
        <v>8</v>
      </c>
      <c r="L84" s="1" t="s">
        <v>28</v>
      </c>
      <c r="M84" s="1" t="s">
        <v>44</v>
      </c>
      <c r="N84" s="1">
        <v>1</v>
      </c>
      <c r="O84" s="7">
        <f t="shared" si="16"/>
        <v>500</v>
      </c>
      <c r="P84" s="7">
        <f t="shared" si="10"/>
        <v>500</v>
      </c>
      <c r="Q84" s="20" t="s">
        <v>498</v>
      </c>
      <c r="R84" s="20" t="s">
        <v>505</v>
      </c>
      <c r="S84" s="1"/>
      <c r="T84" s="1"/>
      <c r="U84" s="1" t="s">
        <v>38</v>
      </c>
      <c r="V84" s="1" t="s">
        <v>551</v>
      </c>
      <c r="W84" s="1" t="s">
        <v>550</v>
      </c>
      <c r="X84" s="1" t="s">
        <v>37</v>
      </c>
      <c r="Y84" s="1" t="s">
        <v>31</v>
      </c>
      <c r="Z84" s="1"/>
      <c r="AA84" s="1" t="s">
        <v>24</v>
      </c>
      <c r="AB84" s="2"/>
      <c r="AC84" s="1"/>
      <c r="AD84" s="2"/>
      <c r="AE84" s="2">
        <f>VLOOKUP(R84,'[1]VNSH03 gia thanh sx '!$F$6:$G$171,2,0)</f>
        <v>500</v>
      </c>
      <c r="AF84" s="2">
        <f t="shared" si="18"/>
        <v>0</v>
      </c>
      <c r="AG84" s="2">
        <f>IF(VLOOKUP(R84,'VNET-XF-2105'!$B$12:$D$145,3,0)&gt;=P84,P84,VLOOKUP(R84,'VNET-XF-2105'!$B$12:$D$145,3,0))</f>
        <v>500</v>
      </c>
      <c r="AH84" s="2"/>
      <c r="AI84" s="2"/>
      <c r="AJ84" s="2">
        <f t="shared" si="17"/>
        <v>0</v>
      </c>
    </row>
    <row r="85" spans="1:36" ht="60" x14ac:dyDescent="0.25">
      <c r="A85" s="1">
        <f t="shared" si="11"/>
        <v>79</v>
      </c>
      <c r="B85" s="1" t="str">
        <f t="shared" si="12"/>
        <v>VHF100505HQ68NJT</v>
      </c>
      <c r="C85" s="1" t="s">
        <v>21</v>
      </c>
      <c r="D85" s="7" t="str">
        <f t="shared" si="13"/>
        <v>Board RK3562</v>
      </c>
      <c r="E85" s="7" t="str">
        <f t="shared" si="14"/>
        <v>Gerber_CAMBOX_RK3562_lot500_2505</v>
      </c>
      <c r="F85" s="7" t="str">
        <f t="shared" si="15"/>
        <v>BOM_CameraBox_2026-04-14 2205</v>
      </c>
      <c r="G85" s="1" t="s">
        <v>244</v>
      </c>
      <c r="H85" s="1" t="s">
        <v>152</v>
      </c>
      <c r="I85" s="1" t="s">
        <v>342</v>
      </c>
      <c r="J85" s="17" t="s">
        <v>387</v>
      </c>
      <c r="K85" s="1" t="s">
        <v>8</v>
      </c>
      <c r="L85" s="1" t="s">
        <v>28</v>
      </c>
      <c r="M85" s="1" t="s">
        <v>44</v>
      </c>
      <c r="N85" s="1">
        <v>1</v>
      </c>
      <c r="O85" s="7">
        <f t="shared" si="16"/>
        <v>500</v>
      </c>
      <c r="P85" s="7">
        <f t="shared" si="10"/>
        <v>500</v>
      </c>
      <c r="Q85" s="20" t="s">
        <v>488</v>
      </c>
      <c r="R85" s="20" t="s">
        <v>501</v>
      </c>
      <c r="S85" s="1"/>
      <c r="T85" s="1"/>
      <c r="U85" s="1" t="s">
        <v>38</v>
      </c>
      <c r="V85" s="1" t="s">
        <v>551</v>
      </c>
      <c r="W85" s="1" t="s">
        <v>550</v>
      </c>
      <c r="X85" s="1" t="s">
        <v>37</v>
      </c>
      <c r="Y85" s="1" t="s">
        <v>31</v>
      </c>
      <c r="Z85" s="1"/>
      <c r="AA85" s="1" t="s">
        <v>24</v>
      </c>
      <c r="AB85" s="2"/>
      <c r="AC85" s="1"/>
      <c r="AD85" s="2"/>
      <c r="AE85" s="2">
        <f>VLOOKUP(R85,'[1]VNSH03 gia thanh sx '!$F$6:$G$171,2,0)</f>
        <v>500</v>
      </c>
      <c r="AF85" s="2">
        <f t="shared" si="18"/>
        <v>0</v>
      </c>
      <c r="AG85" s="2">
        <f>IF(VLOOKUP(R85,'VNET-XF-2105'!$B$12:$D$145,3,0)&gt;=P85,P85,VLOOKUP(R85,'VNET-XF-2105'!$B$12:$D$145,3,0))</f>
        <v>495</v>
      </c>
      <c r="AH85" s="2"/>
      <c r="AI85" s="2"/>
      <c r="AJ85" s="2">
        <f t="shared" si="17"/>
        <v>5</v>
      </c>
    </row>
    <row r="86" spans="1:36" ht="105" x14ac:dyDescent="0.25">
      <c r="A86" s="1">
        <f t="shared" si="11"/>
        <v>80</v>
      </c>
      <c r="B86" s="1" t="str">
        <f t="shared" si="12"/>
        <v>XL-1608SYGC-04</v>
      </c>
      <c r="C86" s="1" t="s">
        <v>21</v>
      </c>
      <c r="D86" s="7" t="str">
        <f t="shared" si="13"/>
        <v>Board RK3562</v>
      </c>
      <c r="E86" s="7" t="str">
        <f t="shared" si="14"/>
        <v>Gerber_CAMBOX_RK3562_lot500_2505</v>
      </c>
      <c r="F86" s="7" t="str">
        <f t="shared" si="15"/>
        <v>BOM_CameraBox_2026-04-14 2205</v>
      </c>
      <c r="G86" s="20" t="s">
        <v>598</v>
      </c>
      <c r="H86" s="20" t="s">
        <v>161</v>
      </c>
      <c r="I86" s="20" t="s">
        <v>338</v>
      </c>
      <c r="J86" s="24" t="s">
        <v>386</v>
      </c>
      <c r="K86" s="20" t="s">
        <v>8</v>
      </c>
      <c r="L86" s="1" t="s">
        <v>28</v>
      </c>
      <c r="M86" s="1" t="s">
        <v>44</v>
      </c>
      <c r="N86" s="20">
        <v>4</v>
      </c>
      <c r="O86" s="7">
        <f t="shared" si="16"/>
        <v>500</v>
      </c>
      <c r="P86" s="7">
        <f t="shared" si="10"/>
        <v>2000</v>
      </c>
      <c r="Q86" s="20" t="s">
        <v>403</v>
      </c>
      <c r="R86" s="20" t="s">
        <v>495</v>
      </c>
      <c r="S86" s="1"/>
      <c r="T86" s="1"/>
      <c r="U86" s="1" t="s">
        <v>38</v>
      </c>
      <c r="V86" s="1" t="s">
        <v>551</v>
      </c>
      <c r="W86" s="1" t="s">
        <v>550</v>
      </c>
      <c r="X86" s="1" t="s">
        <v>37</v>
      </c>
      <c r="Y86" s="1" t="s">
        <v>31</v>
      </c>
      <c r="Z86" s="1"/>
      <c r="AA86" s="1" t="s">
        <v>24</v>
      </c>
      <c r="AB86" s="2"/>
      <c r="AC86" s="25" t="s">
        <v>719</v>
      </c>
      <c r="AD86" s="2"/>
      <c r="AE86" s="2">
        <f>VLOOKUP(R86,'[1]VNSH03 gia thanh sx '!$F$6:$G$171,2,0)</f>
        <v>1500</v>
      </c>
      <c r="AF86" s="2">
        <f t="shared" si="18"/>
        <v>500</v>
      </c>
      <c r="AG86" s="2">
        <f>IF(VLOOKUP(R86,'VNET-XF-2105'!$B$12:$D$145,3,0)&gt;=P86,P86,VLOOKUP(R86,'VNET-XF-2105'!$B$12:$D$145,3,0))</f>
        <v>1480</v>
      </c>
      <c r="AH86" s="2">
        <f>IF(VLOOKUP(R86,'VNET-XF_dự kiến lần 2'!$B$2:$D$42,3,0)&gt;=(P86-AG86),(P86-AG86),VLOOKUP(R86,'VNET-XF_dự kiến lần 2'!$B$2:$D$42,3,0))</f>
        <v>500</v>
      </c>
      <c r="AI86" s="2"/>
      <c r="AJ86" s="2">
        <f t="shared" si="17"/>
        <v>20</v>
      </c>
    </row>
    <row r="87" spans="1:36" ht="75" x14ac:dyDescent="0.25">
      <c r="A87" s="1">
        <f t="shared" si="11"/>
        <v>81</v>
      </c>
      <c r="B87" s="1" t="str">
        <f t="shared" si="12"/>
        <v>XL-1608SURC-06</v>
      </c>
      <c r="C87" s="1" t="s">
        <v>21</v>
      </c>
      <c r="D87" s="7" t="str">
        <f t="shared" si="13"/>
        <v>Board RK3562</v>
      </c>
      <c r="E87" s="7" t="str">
        <f t="shared" si="14"/>
        <v>Gerber_CAMBOX_RK3562_lot500_2505</v>
      </c>
      <c r="F87" s="7" t="str">
        <f t="shared" si="15"/>
        <v>BOM_CameraBox_2026-04-14 2205</v>
      </c>
      <c r="G87" s="1" t="s">
        <v>599</v>
      </c>
      <c r="H87" s="1" t="s">
        <v>161</v>
      </c>
      <c r="I87" s="1" t="s">
        <v>344</v>
      </c>
      <c r="J87" s="24" t="s">
        <v>386</v>
      </c>
      <c r="K87" s="1" t="s">
        <v>8</v>
      </c>
      <c r="L87" s="1" t="s">
        <v>28</v>
      </c>
      <c r="M87" s="1" t="s">
        <v>44</v>
      </c>
      <c r="N87" s="1">
        <v>3</v>
      </c>
      <c r="O87" s="7">
        <f t="shared" si="16"/>
        <v>500</v>
      </c>
      <c r="P87" s="7">
        <f t="shared" si="10"/>
        <v>1500</v>
      </c>
      <c r="Q87" s="20" t="s">
        <v>403</v>
      </c>
      <c r="R87" s="20" t="s">
        <v>504</v>
      </c>
      <c r="S87" s="1"/>
      <c r="T87" s="1"/>
      <c r="U87" s="1" t="s">
        <v>38</v>
      </c>
      <c r="V87" s="1" t="s">
        <v>551</v>
      </c>
      <c r="W87" s="1" t="s">
        <v>550</v>
      </c>
      <c r="X87" s="1" t="s">
        <v>37</v>
      </c>
      <c r="Y87" s="1" t="s">
        <v>31</v>
      </c>
      <c r="Z87" s="1"/>
      <c r="AA87" s="1" t="s">
        <v>24</v>
      </c>
      <c r="AB87" s="2"/>
      <c r="AC87" s="1"/>
      <c r="AD87" s="2"/>
      <c r="AE87" s="2">
        <f>VLOOKUP(R87,'[1]VNSH03 gia thanh sx '!$F$6:$G$171,2,0)</f>
        <v>1500</v>
      </c>
      <c r="AF87" s="2">
        <f t="shared" si="18"/>
        <v>0</v>
      </c>
      <c r="AG87" s="2">
        <f>IF(VLOOKUP(R87,'VNET-XF-2105'!$B$12:$D$145,3,0)&gt;=P87,P87,VLOOKUP(R87,'VNET-XF-2105'!$B$12:$D$145,3,0))</f>
        <v>1485</v>
      </c>
      <c r="AH87" s="2"/>
      <c r="AI87" s="2"/>
      <c r="AJ87" s="2">
        <f t="shared" si="17"/>
        <v>15</v>
      </c>
    </row>
    <row r="88" spans="1:36" ht="60" x14ac:dyDescent="0.25">
      <c r="A88" s="1">
        <f t="shared" si="11"/>
        <v>82</v>
      </c>
      <c r="B88" s="1" t="str">
        <f t="shared" si="12"/>
        <v>150060YS75000</v>
      </c>
      <c r="C88" s="1" t="s">
        <v>21</v>
      </c>
      <c r="D88" s="7" t="str">
        <f t="shared" si="13"/>
        <v>Board RK3562</v>
      </c>
      <c r="E88" s="7" t="str">
        <f t="shared" si="14"/>
        <v>Gerber_CAMBOX_RK3562_lot500_2505</v>
      </c>
      <c r="F88" s="7" t="str">
        <f t="shared" si="15"/>
        <v>BOM_CameraBox_2026-04-14 2205</v>
      </c>
      <c r="G88" s="1" t="s">
        <v>220</v>
      </c>
      <c r="H88" s="1" t="s">
        <v>161</v>
      </c>
      <c r="I88" s="1" t="s">
        <v>306</v>
      </c>
      <c r="J88" s="24" t="s">
        <v>386</v>
      </c>
      <c r="K88" s="1" t="s">
        <v>8</v>
      </c>
      <c r="L88" s="1" t="s">
        <v>28</v>
      </c>
      <c r="M88" s="1" t="s">
        <v>44</v>
      </c>
      <c r="N88" s="1">
        <v>1</v>
      </c>
      <c r="O88" s="7">
        <f t="shared" si="16"/>
        <v>500</v>
      </c>
      <c r="P88" s="7">
        <f t="shared" si="10"/>
        <v>500</v>
      </c>
      <c r="Q88" s="20" t="s">
        <v>692</v>
      </c>
      <c r="R88" s="20" t="s">
        <v>693</v>
      </c>
      <c r="S88" s="1"/>
      <c r="T88" s="1"/>
      <c r="U88" s="1" t="s">
        <v>38</v>
      </c>
      <c r="V88" s="1" t="s">
        <v>551</v>
      </c>
      <c r="W88" s="1" t="s">
        <v>550</v>
      </c>
      <c r="X88" s="1" t="s">
        <v>37</v>
      </c>
      <c r="Y88" s="1" t="s">
        <v>31</v>
      </c>
      <c r="Z88" s="1"/>
      <c r="AA88" s="1" t="s">
        <v>24</v>
      </c>
      <c r="AB88" s="2"/>
      <c r="AC88" s="1"/>
      <c r="AD88" s="2"/>
      <c r="AE88" s="2">
        <f>VLOOKUP(R88,'[1]VNSH03 gia thanh sx '!$F$6:$G$171,2,0)</f>
        <v>500</v>
      </c>
      <c r="AF88" s="2">
        <f t="shared" si="18"/>
        <v>0</v>
      </c>
      <c r="AG88" s="2">
        <f>IF(VLOOKUP(R88,'VNET-XF-2105'!$B$12:$D$145,3,0)&gt;=P88,P88,VLOOKUP(R88,'VNET-XF-2105'!$B$12:$D$145,3,0))</f>
        <v>495</v>
      </c>
      <c r="AH88" s="2"/>
      <c r="AI88" s="2"/>
      <c r="AJ88" s="2">
        <f t="shared" si="17"/>
        <v>5</v>
      </c>
    </row>
    <row r="89" spans="1:36" ht="60" x14ac:dyDescent="0.25">
      <c r="A89" s="1">
        <f t="shared" si="11"/>
        <v>83</v>
      </c>
      <c r="B89" s="1" t="str">
        <f t="shared" si="12"/>
        <v>SIM65M-C</v>
      </c>
      <c r="C89" s="1" t="s">
        <v>21</v>
      </c>
      <c r="D89" s="7" t="str">
        <f t="shared" si="13"/>
        <v>Board RK3562</v>
      </c>
      <c r="E89" s="7" t="str">
        <f t="shared" si="14"/>
        <v>Gerber_CAMBOX_RK3562_lot500_2505</v>
      </c>
      <c r="F89" s="7" t="str">
        <f t="shared" si="15"/>
        <v>BOM_CameraBox_2026-04-14 2205</v>
      </c>
      <c r="G89" s="1" t="s">
        <v>201</v>
      </c>
      <c r="H89" s="1" t="s">
        <v>167</v>
      </c>
      <c r="I89" s="1" t="s">
        <v>272</v>
      </c>
      <c r="J89" s="1"/>
      <c r="K89" s="1" t="s">
        <v>8</v>
      </c>
      <c r="L89" s="1" t="s">
        <v>28</v>
      </c>
      <c r="M89" s="1" t="s">
        <v>44</v>
      </c>
      <c r="N89" s="1">
        <v>1</v>
      </c>
      <c r="O89" s="7">
        <f t="shared" si="16"/>
        <v>500</v>
      </c>
      <c r="P89" s="7">
        <f t="shared" si="10"/>
        <v>500</v>
      </c>
      <c r="Q89" s="20" t="s">
        <v>391</v>
      </c>
      <c r="R89" s="20" t="s">
        <v>392</v>
      </c>
      <c r="S89" s="1"/>
      <c r="T89" s="1"/>
      <c r="U89" s="1" t="s">
        <v>38</v>
      </c>
      <c r="V89" s="1" t="s">
        <v>551</v>
      </c>
      <c r="W89" s="1" t="s">
        <v>549</v>
      </c>
      <c r="X89" s="1" t="s">
        <v>37</v>
      </c>
      <c r="Y89" s="1" t="s">
        <v>31</v>
      </c>
      <c r="Z89" s="1"/>
      <c r="AA89" s="1" t="s">
        <v>24</v>
      </c>
      <c r="AB89" s="2"/>
      <c r="AC89" s="1"/>
      <c r="AD89" s="2"/>
      <c r="AE89" s="2">
        <f>VLOOKUP(R89,'[1]VNSH03 gia thanh sx '!$F$6:$G$171,2,0)</f>
        <v>500</v>
      </c>
      <c r="AF89" s="2">
        <f t="shared" si="18"/>
        <v>0</v>
      </c>
      <c r="AG89" s="2">
        <f>IF(VLOOKUP(R89,'VNET-XF-2105'!$B$12:$D$145,3,0)&gt;=P89,P89,VLOOKUP(R89,'VNET-XF-2105'!$B$12:$D$145,3,0))</f>
        <v>500</v>
      </c>
      <c r="AH89" s="2"/>
      <c r="AI89" s="2"/>
      <c r="AJ89" s="2">
        <f t="shared" si="17"/>
        <v>0</v>
      </c>
    </row>
    <row r="90" spans="1:36" ht="60" x14ac:dyDescent="0.25">
      <c r="A90" s="1">
        <f t="shared" si="11"/>
        <v>84</v>
      </c>
      <c r="B90" s="1" t="str">
        <f t="shared" si="12"/>
        <v>2SK3018</v>
      </c>
      <c r="C90" s="1" t="s">
        <v>21</v>
      </c>
      <c r="D90" s="7" t="str">
        <f t="shared" si="13"/>
        <v>Board RK3562</v>
      </c>
      <c r="E90" s="7" t="str">
        <f t="shared" si="14"/>
        <v>Gerber_CAMBOX_RK3562_lot500_2505</v>
      </c>
      <c r="F90" s="7" t="str">
        <f t="shared" si="15"/>
        <v>BOM_CameraBox_2026-04-14 2205</v>
      </c>
      <c r="G90" s="1" t="s">
        <v>600</v>
      </c>
      <c r="H90" s="1" t="s">
        <v>285</v>
      </c>
      <c r="I90" s="1" t="s">
        <v>300</v>
      </c>
      <c r="J90" s="1"/>
      <c r="K90" s="1" t="s">
        <v>8</v>
      </c>
      <c r="L90" s="1" t="s">
        <v>28</v>
      </c>
      <c r="M90" s="1" t="s">
        <v>44</v>
      </c>
      <c r="N90" s="1">
        <v>11</v>
      </c>
      <c r="O90" s="7">
        <f t="shared" si="16"/>
        <v>500</v>
      </c>
      <c r="P90" s="7">
        <f t="shared" si="10"/>
        <v>5500</v>
      </c>
      <c r="Q90" s="20" t="s">
        <v>440</v>
      </c>
      <c r="R90" s="20" t="s">
        <v>441</v>
      </c>
      <c r="S90" s="1"/>
      <c r="T90" s="1"/>
      <c r="U90" s="1" t="s">
        <v>38</v>
      </c>
      <c r="V90" s="1" t="s">
        <v>551</v>
      </c>
      <c r="W90" s="1" t="s">
        <v>550</v>
      </c>
      <c r="X90" s="1" t="s">
        <v>37</v>
      </c>
      <c r="Y90" s="1" t="s">
        <v>31</v>
      </c>
      <c r="Z90" s="1"/>
      <c r="AA90" s="1" t="s">
        <v>24</v>
      </c>
      <c r="AB90" s="2"/>
      <c r="AC90" s="1"/>
      <c r="AD90" s="2"/>
      <c r="AE90" s="2">
        <f>VLOOKUP(R90,'[1]VNSH03 gia thanh sx '!$F$6:$G$171,2,0)</f>
        <v>3500</v>
      </c>
      <c r="AF90" s="2">
        <f t="shared" si="18"/>
        <v>2000</v>
      </c>
      <c r="AG90" s="2">
        <f>IF(VLOOKUP(R90,'VNET-XF-2105'!$B$12:$D$145,3,0)&gt;=P90,P90,VLOOKUP(R90,'VNET-XF-2105'!$B$12:$D$145,3,0))</f>
        <v>3455</v>
      </c>
      <c r="AH90" s="2">
        <f>IF(VLOOKUP(R90,'VNET-XF_dự kiến lần 2'!$B$2:$D$42,3,0)&gt;=(P90-AG90),(P90-AG90),VLOOKUP(R90,'VNET-XF_dự kiến lần 2'!$B$2:$D$42,3,0))</f>
        <v>2000</v>
      </c>
      <c r="AI90" s="2"/>
      <c r="AJ90" s="2">
        <f t="shared" si="17"/>
        <v>45</v>
      </c>
    </row>
    <row r="91" spans="1:36" ht="60" x14ac:dyDescent="0.25">
      <c r="A91" s="1">
        <f t="shared" si="11"/>
        <v>85</v>
      </c>
      <c r="B91" s="1" t="str">
        <f t="shared" si="12"/>
        <v>CSD19538Q3A</v>
      </c>
      <c r="C91" s="1" t="s">
        <v>21</v>
      </c>
      <c r="D91" s="7" t="str">
        <f t="shared" si="13"/>
        <v>Board RK3562</v>
      </c>
      <c r="E91" s="7" t="str">
        <f t="shared" si="14"/>
        <v>Gerber_CAMBOX_RK3562_lot500_2505</v>
      </c>
      <c r="F91" s="7" t="str">
        <f t="shared" si="15"/>
        <v>BOM_CameraBox_2026-04-14 2205</v>
      </c>
      <c r="G91" s="1" t="s">
        <v>213</v>
      </c>
      <c r="H91" s="1" t="s">
        <v>285</v>
      </c>
      <c r="I91" s="1" t="s">
        <v>286</v>
      </c>
      <c r="J91" s="1"/>
      <c r="K91" s="1" t="s">
        <v>8</v>
      </c>
      <c r="L91" s="1" t="s">
        <v>28</v>
      </c>
      <c r="M91" s="1" t="s">
        <v>44</v>
      </c>
      <c r="N91" s="1">
        <v>1</v>
      </c>
      <c r="O91" s="7">
        <f t="shared" si="16"/>
        <v>500</v>
      </c>
      <c r="P91" s="7">
        <f t="shared" si="10"/>
        <v>500</v>
      </c>
      <c r="Q91" s="20" t="s">
        <v>395</v>
      </c>
      <c r="R91" s="20" t="s">
        <v>418</v>
      </c>
      <c r="S91" s="1"/>
      <c r="T91" s="1"/>
      <c r="U91" s="1" t="s">
        <v>38</v>
      </c>
      <c r="V91" s="1" t="s">
        <v>551</v>
      </c>
      <c r="W91" s="1" t="s">
        <v>550</v>
      </c>
      <c r="X91" s="1" t="s">
        <v>37</v>
      </c>
      <c r="Y91" s="1" t="s">
        <v>31</v>
      </c>
      <c r="Z91" s="1"/>
      <c r="AA91" s="1" t="s">
        <v>24</v>
      </c>
      <c r="AB91" s="2"/>
      <c r="AC91" s="1"/>
      <c r="AD91" s="2"/>
      <c r="AE91" s="2">
        <f>VLOOKUP(R91,'[1]VNSH03 gia thanh sx '!$F$6:$G$171,2,0)</f>
        <v>500</v>
      </c>
      <c r="AF91" s="2">
        <f t="shared" si="18"/>
        <v>0</v>
      </c>
      <c r="AG91" s="2">
        <f>IF(VLOOKUP(R91,'VNET-XF-2105'!$B$12:$D$145,3,0)&gt;=P91,P91,VLOOKUP(R91,'VNET-XF-2105'!$B$12:$D$145,3,0))</f>
        <v>495</v>
      </c>
      <c r="AH91" s="2"/>
      <c r="AI91" s="2"/>
      <c r="AJ91" s="2">
        <f t="shared" si="17"/>
        <v>5</v>
      </c>
    </row>
    <row r="92" spans="1:36" ht="60" x14ac:dyDescent="0.25">
      <c r="A92" s="1">
        <f t="shared" si="11"/>
        <v>86</v>
      </c>
      <c r="B92" s="1" t="str">
        <f t="shared" si="12"/>
        <v>SI2333CDS</v>
      </c>
      <c r="C92" s="1" t="s">
        <v>21</v>
      </c>
      <c r="D92" s="7" t="str">
        <f t="shared" si="13"/>
        <v>Board RK3562</v>
      </c>
      <c r="E92" s="7" t="str">
        <f t="shared" si="14"/>
        <v>Gerber_CAMBOX_RK3562_lot500_2505</v>
      </c>
      <c r="F92" s="7" t="str">
        <f t="shared" si="15"/>
        <v>BOM_CameraBox_2026-04-14 2205</v>
      </c>
      <c r="G92" s="1" t="s">
        <v>601</v>
      </c>
      <c r="H92" s="1" t="s">
        <v>285</v>
      </c>
      <c r="I92" s="1" t="s">
        <v>289</v>
      </c>
      <c r="J92" s="1"/>
      <c r="K92" s="1" t="s">
        <v>8</v>
      </c>
      <c r="L92" s="1" t="s">
        <v>28</v>
      </c>
      <c r="M92" s="1" t="s">
        <v>44</v>
      </c>
      <c r="N92" s="1">
        <v>6</v>
      </c>
      <c r="O92" s="7">
        <f t="shared" si="16"/>
        <v>500</v>
      </c>
      <c r="P92" s="7">
        <f t="shared" si="10"/>
        <v>3000</v>
      </c>
      <c r="Q92" s="20" t="s">
        <v>423</v>
      </c>
      <c r="R92" s="20" t="s">
        <v>424</v>
      </c>
      <c r="S92" s="1"/>
      <c r="T92" s="1"/>
      <c r="U92" s="1" t="s">
        <v>38</v>
      </c>
      <c r="V92" s="1" t="s">
        <v>551</v>
      </c>
      <c r="W92" s="1" t="s">
        <v>550</v>
      </c>
      <c r="X92" s="1" t="s">
        <v>37</v>
      </c>
      <c r="Y92" s="1" t="s">
        <v>31</v>
      </c>
      <c r="Z92" s="1"/>
      <c r="AA92" s="1" t="s">
        <v>24</v>
      </c>
      <c r="AB92" s="2"/>
      <c r="AC92" s="1"/>
      <c r="AD92" s="2"/>
      <c r="AE92" s="2">
        <f>VLOOKUP(R92,'[1]VNSH03 gia thanh sx '!$F$6:$G$171,2,0)</f>
        <v>4500</v>
      </c>
      <c r="AF92" s="2">
        <f t="shared" si="18"/>
        <v>-1500</v>
      </c>
      <c r="AG92" s="2">
        <f>IF(VLOOKUP(R92,'VNET-XF-2105'!$B$12:$D$145,3,0)&gt;=P92,P92,VLOOKUP(R92,'VNET-XF-2105'!$B$12:$D$145,3,0))</f>
        <v>2970</v>
      </c>
      <c r="AH92" s="2">
        <f>IF(VLOOKUP(R92,'VNET-XF_dự kiến lần 2'!$B$2:$D$42,3,0)&gt;=(P92-AG92),(P92-AG92),VLOOKUP(R92,'VNET-XF_dự kiến lần 2'!$B$2:$D$42,3,0))</f>
        <v>30</v>
      </c>
      <c r="AI92" s="2"/>
      <c r="AJ92" s="2">
        <f t="shared" si="17"/>
        <v>0</v>
      </c>
    </row>
    <row r="93" spans="1:36" ht="60" x14ac:dyDescent="0.25">
      <c r="A93" s="1">
        <f t="shared" si="11"/>
        <v>87</v>
      </c>
      <c r="B93" s="1" t="str">
        <f t="shared" si="12"/>
        <v>LBSS139LT1G</v>
      </c>
      <c r="C93" s="1" t="s">
        <v>21</v>
      </c>
      <c r="D93" s="7" t="str">
        <f t="shared" si="13"/>
        <v>Board RK3562</v>
      </c>
      <c r="E93" s="7" t="str">
        <f t="shared" si="14"/>
        <v>Gerber_CAMBOX_RK3562_lot500_2505</v>
      </c>
      <c r="F93" s="7" t="str">
        <f t="shared" si="15"/>
        <v>BOM_CameraBox_2026-04-14 2205</v>
      </c>
      <c r="G93" s="1" t="s">
        <v>221</v>
      </c>
      <c r="H93" s="1" t="s">
        <v>285</v>
      </c>
      <c r="I93" s="1" t="s">
        <v>307</v>
      </c>
      <c r="J93" s="1"/>
      <c r="K93" s="1" t="s">
        <v>8</v>
      </c>
      <c r="L93" s="1" t="s">
        <v>28</v>
      </c>
      <c r="M93" s="1" t="s">
        <v>44</v>
      </c>
      <c r="N93" s="1">
        <v>1</v>
      </c>
      <c r="O93" s="7">
        <f t="shared" si="16"/>
        <v>500</v>
      </c>
      <c r="P93" s="7">
        <f t="shared" si="10"/>
        <v>500</v>
      </c>
      <c r="Q93" s="20" t="s">
        <v>451</v>
      </c>
      <c r="R93" s="20" t="s">
        <v>452</v>
      </c>
      <c r="S93" s="1"/>
      <c r="T93" s="1"/>
      <c r="U93" s="1" t="s">
        <v>38</v>
      </c>
      <c r="V93" s="1" t="s">
        <v>551</v>
      </c>
      <c r="W93" s="1" t="s">
        <v>550</v>
      </c>
      <c r="X93" s="1" t="s">
        <v>37</v>
      </c>
      <c r="Y93" s="1" t="s">
        <v>31</v>
      </c>
      <c r="Z93" s="1"/>
      <c r="AA93" s="1" t="s">
        <v>24</v>
      </c>
      <c r="AB93" s="2"/>
      <c r="AC93" s="1"/>
      <c r="AD93" s="2"/>
      <c r="AE93" s="2">
        <f>VLOOKUP(R93,'[1]VNSH03 gia thanh sx '!$F$6:$G$171,2,0)</f>
        <v>500</v>
      </c>
      <c r="AF93" s="2">
        <f t="shared" si="18"/>
        <v>0</v>
      </c>
      <c r="AG93" s="2">
        <f>IF(VLOOKUP(R93,'VNET-XF-2105'!$B$12:$D$145,3,0)&gt;=P93,P93,VLOOKUP(R93,'VNET-XF-2105'!$B$12:$D$145,3,0))</f>
        <v>495</v>
      </c>
      <c r="AH93" s="2"/>
      <c r="AI93" s="2"/>
      <c r="AJ93" s="2">
        <f t="shared" si="17"/>
        <v>5</v>
      </c>
    </row>
    <row r="94" spans="1:36" ht="60" x14ac:dyDescent="0.25">
      <c r="A94" s="1">
        <f t="shared" si="11"/>
        <v>88</v>
      </c>
      <c r="B94" s="1" t="str">
        <f t="shared" si="12"/>
        <v>RI0603L1R00FT</v>
      </c>
      <c r="C94" s="1" t="s">
        <v>21</v>
      </c>
      <c r="D94" s="7" t="str">
        <f t="shared" si="13"/>
        <v>Board RK3562</v>
      </c>
      <c r="E94" s="7" t="str">
        <f t="shared" si="14"/>
        <v>Gerber_CAMBOX_RK3562_lot500_2505</v>
      </c>
      <c r="F94" s="7" t="str">
        <f t="shared" si="15"/>
        <v>BOM_CameraBox_2026-04-14 2205</v>
      </c>
      <c r="G94" s="1" t="s">
        <v>237</v>
      </c>
      <c r="H94" s="1" t="s">
        <v>147</v>
      </c>
      <c r="I94" s="1" t="s">
        <v>332</v>
      </c>
      <c r="J94" s="17" t="s">
        <v>386</v>
      </c>
      <c r="K94" s="1" t="s">
        <v>8</v>
      </c>
      <c r="L94" s="1" t="s">
        <v>28</v>
      </c>
      <c r="M94" s="1" t="s">
        <v>44</v>
      </c>
      <c r="N94" s="1">
        <v>1</v>
      </c>
      <c r="O94" s="7">
        <f t="shared" si="16"/>
        <v>500</v>
      </c>
      <c r="P94" s="7">
        <f t="shared" si="10"/>
        <v>500</v>
      </c>
      <c r="Q94" s="20" t="s">
        <v>401</v>
      </c>
      <c r="R94" s="20" t="s">
        <v>694</v>
      </c>
      <c r="S94" s="1"/>
      <c r="T94" s="1"/>
      <c r="U94" s="1" t="s">
        <v>38</v>
      </c>
      <c r="V94" s="1" t="s">
        <v>551</v>
      </c>
      <c r="W94" s="1" t="s">
        <v>550</v>
      </c>
      <c r="X94" s="1" t="s">
        <v>37</v>
      </c>
      <c r="Y94" s="1" t="s">
        <v>31</v>
      </c>
      <c r="Z94" s="1"/>
      <c r="AA94" s="1" t="s">
        <v>24</v>
      </c>
      <c r="AB94" s="2"/>
      <c r="AC94" s="1"/>
      <c r="AD94" s="2"/>
      <c r="AE94" s="2">
        <f>VLOOKUP(R94,'[1]VNSH03 gia thanh sx '!$F$6:$G$171,2,0)</f>
        <v>500</v>
      </c>
      <c r="AF94" s="2">
        <f t="shared" si="18"/>
        <v>0</v>
      </c>
      <c r="AG94" s="2">
        <f>IF(VLOOKUP(R94,'VNET-XF-2105'!$B$12:$D$145,3,0)&gt;=P94,P94,VLOOKUP(R94,'VNET-XF-2105'!$B$12:$D$145,3,0))</f>
        <v>495</v>
      </c>
      <c r="AH94" s="2"/>
      <c r="AI94" s="2"/>
      <c r="AJ94" s="2">
        <f t="shared" si="17"/>
        <v>5</v>
      </c>
    </row>
    <row r="95" spans="1:36" ht="75" x14ac:dyDescent="0.25">
      <c r="A95" s="1">
        <f t="shared" si="11"/>
        <v>89</v>
      </c>
      <c r="B95" s="1" t="str">
        <f t="shared" si="12"/>
        <v>RC0402FR-07100KL</v>
      </c>
      <c r="C95" s="1" t="s">
        <v>21</v>
      </c>
      <c r="D95" s="7" t="str">
        <f t="shared" si="13"/>
        <v>Board RK3562</v>
      </c>
      <c r="E95" s="7" t="str">
        <f t="shared" si="14"/>
        <v>Gerber_CAMBOX_RK3562_lot500_2505</v>
      </c>
      <c r="F95" s="7" t="str">
        <f t="shared" si="15"/>
        <v>BOM_CameraBox_2026-04-14 2205</v>
      </c>
      <c r="G95" s="1" t="s">
        <v>602</v>
      </c>
      <c r="H95" s="1" t="s">
        <v>147</v>
      </c>
      <c r="I95" s="1" t="s">
        <v>366</v>
      </c>
      <c r="J95" s="17" t="s">
        <v>387</v>
      </c>
      <c r="K95" s="1" t="s">
        <v>8</v>
      </c>
      <c r="L95" s="1" t="s">
        <v>28</v>
      </c>
      <c r="M95" s="1" t="s">
        <v>44</v>
      </c>
      <c r="N95" s="1">
        <v>11</v>
      </c>
      <c r="O95" s="7">
        <f t="shared" si="16"/>
        <v>500</v>
      </c>
      <c r="P95" s="7">
        <f t="shared" si="10"/>
        <v>5500</v>
      </c>
      <c r="Q95" s="20" t="s">
        <v>433</v>
      </c>
      <c r="R95" s="20" t="s">
        <v>526</v>
      </c>
      <c r="S95" s="1"/>
      <c r="T95" s="1"/>
      <c r="U95" s="1" t="s">
        <v>38</v>
      </c>
      <c r="V95" s="1" t="s">
        <v>551</v>
      </c>
      <c r="W95" s="1" t="s">
        <v>550</v>
      </c>
      <c r="X95" s="1" t="s">
        <v>37</v>
      </c>
      <c r="Y95" s="1" t="s">
        <v>31</v>
      </c>
      <c r="Z95" s="1"/>
      <c r="AA95" s="1" t="s">
        <v>24</v>
      </c>
      <c r="AB95" s="2"/>
      <c r="AC95" s="1" t="s">
        <v>720</v>
      </c>
      <c r="AD95" s="2"/>
      <c r="AE95" s="2">
        <f>VLOOKUP(R95,'[1]VNSH03 gia thanh sx '!$F$6:$G$171,2,0)</f>
        <v>5000</v>
      </c>
      <c r="AF95" s="2">
        <f t="shared" si="18"/>
        <v>500</v>
      </c>
      <c r="AG95" s="2">
        <f>IF(VLOOKUP(R95,'VNET-XF-2105'!$B$12:$D$145,3,0)&gt;=P95,P95,VLOOKUP(R95,'VNET-XF-2105'!$B$12:$D$145,3,0))</f>
        <v>4950</v>
      </c>
      <c r="AH95" s="2"/>
      <c r="AI95" s="2"/>
      <c r="AJ95" s="2">
        <f t="shared" si="17"/>
        <v>550</v>
      </c>
    </row>
    <row r="96" spans="1:36" ht="60" x14ac:dyDescent="0.25">
      <c r="A96" s="1">
        <f t="shared" si="11"/>
        <v>90</v>
      </c>
      <c r="B96" s="1" t="str">
        <f t="shared" si="12"/>
        <v>RC0402FR-078K45L</v>
      </c>
      <c r="C96" s="1" t="s">
        <v>21</v>
      </c>
      <c r="D96" s="7" t="str">
        <f t="shared" si="13"/>
        <v>Board RK3562</v>
      </c>
      <c r="E96" s="7" t="str">
        <f t="shared" si="14"/>
        <v>Gerber_CAMBOX_RK3562_lot500_2505</v>
      </c>
      <c r="F96" s="7" t="str">
        <f t="shared" si="15"/>
        <v>BOM_CameraBox_2026-04-14 2205</v>
      </c>
      <c r="G96" s="1" t="s">
        <v>241</v>
      </c>
      <c r="H96" s="1" t="s">
        <v>147</v>
      </c>
      <c r="I96" s="1" t="s">
        <v>644</v>
      </c>
      <c r="J96" s="17" t="s">
        <v>387</v>
      </c>
      <c r="K96" s="1" t="s">
        <v>8</v>
      </c>
      <c r="L96" s="1" t="s">
        <v>28</v>
      </c>
      <c r="M96" s="1" t="s">
        <v>44</v>
      </c>
      <c r="N96" s="1">
        <v>1</v>
      </c>
      <c r="O96" s="7">
        <f t="shared" si="16"/>
        <v>500</v>
      </c>
      <c r="P96" s="7">
        <f t="shared" si="10"/>
        <v>500</v>
      </c>
      <c r="Q96" s="20" t="s">
        <v>433</v>
      </c>
      <c r="R96" s="20" t="s">
        <v>532</v>
      </c>
      <c r="S96" s="1"/>
      <c r="T96" s="1"/>
      <c r="U96" s="1" t="s">
        <v>38</v>
      </c>
      <c r="V96" s="1" t="s">
        <v>551</v>
      </c>
      <c r="W96" s="1" t="s">
        <v>550</v>
      </c>
      <c r="X96" s="1" t="s">
        <v>37</v>
      </c>
      <c r="Y96" s="1" t="s">
        <v>31</v>
      </c>
      <c r="Z96" s="1"/>
      <c r="AA96" s="1" t="s">
        <v>24</v>
      </c>
      <c r="AB96" s="2"/>
      <c r="AC96" s="1"/>
      <c r="AD96" s="2"/>
      <c r="AE96" s="2">
        <f>VLOOKUP(R96,'[1]VNSH03 gia thanh sx '!$F$6:$G$171,2,0)</f>
        <v>500</v>
      </c>
      <c r="AF96" s="2">
        <f t="shared" si="18"/>
        <v>0</v>
      </c>
      <c r="AG96" s="2">
        <f>IF(VLOOKUP(R96,'VNET-XF-2105'!$B$12:$D$145,3,0)&gt;=P96,P96,VLOOKUP(R96,'VNET-XF-2105'!$B$12:$D$145,3,0))</f>
        <v>495</v>
      </c>
      <c r="AH96" s="2"/>
      <c r="AI96" s="2"/>
      <c r="AJ96" s="2">
        <f t="shared" si="17"/>
        <v>5</v>
      </c>
    </row>
    <row r="97" spans="1:36" ht="60" x14ac:dyDescent="0.25">
      <c r="A97" s="1">
        <f t="shared" si="11"/>
        <v>91</v>
      </c>
      <c r="B97" s="1" t="str">
        <f t="shared" si="12"/>
        <v>RC0402FR-0768KL</v>
      </c>
      <c r="C97" s="1" t="s">
        <v>21</v>
      </c>
      <c r="D97" s="7" t="str">
        <f t="shared" si="13"/>
        <v>Board RK3562</v>
      </c>
      <c r="E97" s="7" t="str">
        <f t="shared" si="14"/>
        <v>Gerber_CAMBOX_RK3562_lot500_2505</v>
      </c>
      <c r="F97" s="7" t="str">
        <f t="shared" si="15"/>
        <v>BOM_CameraBox_2026-04-14 2205</v>
      </c>
      <c r="G97" s="1" t="s">
        <v>264</v>
      </c>
      <c r="H97" s="1" t="s">
        <v>147</v>
      </c>
      <c r="I97" s="1" t="s">
        <v>376</v>
      </c>
      <c r="J97" s="17" t="s">
        <v>387</v>
      </c>
      <c r="K97" s="1" t="s">
        <v>8</v>
      </c>
      <c r="L97" s="1" t="s">
        <v>28</v>
      </c>
      <c r="M97" s="1" t="s">
        <v>44</v>
      </c>
      <c r="N97" s="1">
        <v>1</v>
      </c>
      <c r="O97" s="7">
        <f t="shared" si="16"/>
        <v>500</v>
      </c>
      <c r="P97" s="7">
        <f t="shared" si="10"/>
        <v>500</v>
      </c>
      <c r="Q97" s="20" t="s">
        <v>433</v>
      </c>
      <c r="R97" s="20" t="s">
        <v>538</v>
      </c>
      <c r="S97" s="1"/>
      <c r="T97" s="1"/>
      <c r="U97" s="1" t="s">
        <v>38</v>
      </c>
      <c r="V97" s="1" t="s">
        <v>551</v>
      </c>
      <c r="W97" s="1" t="s">
        <v>550</v>
      </c>
      <c r="X97" s="1" t="s">
        <v>37</v>
      </c>
      <c r="Y97" s="1" t="s">
        <v>31</v>
      </c>
      <c r="Z97" s="1"/>
      <c r="AA97" s="1" t="s">
        <v>24</v>
      </c>
      <c r="AB97" s="2"/>
      <c r="AC97" s="1"/>
      <c r="AD97" s="2"/>
      <c r="AE97" s="2">
        <f>VLOOKUP(R97,'[1]VNSH03 gia thanh sx '!$F$6:$G$171,2,0)</f>
        <v>500</v>
      </c>
      <c r="AF97" s="2">
        <f t="shared" si="18"/>
        <v>0</v>
      </c>
      <c r="AG97" s="2"/>
      <c r="AH97" s="2"/>
      <c r="AI97" s="2"/>
      <c r="AJ97" s="2">
        <f t="shared" si="17"/>
        <v>500</v>
      </c>
    </row>
    <row r="98" spans="1:36" ht="285" x14ac:dyDescent="0.25">
      <c r="A98" s="1">
        <f t="shared" si="11"/>
        <v>92</v>
      </c>
      <c r="B98" s="1" t="str">
        <f t="shared" si="12"/>
        <v>RC0402FR-0710KL</v>
      </c>
      <c r="C98" s="1" t="s">
        <v>21</v>
      </c>
      <c r="D98" s="7" t="str">
        <f t="shared" si="13"/>
        <v>Board RK3562</v>
      </c>
      <c r="E98" s="7" t="str">
        <f t="shared" si="14"/>
        <v>Gerber_CAMBOX_RK3562_lot500_2505</v>
      </c>
      <c r="F98" s="7" t="str">
        <f t="shared" si="15"/>
        <v>BOM_CameraBox_2026-04-14 2205</v>
      </c>
      <c r="G98" s="1" t="s">
        <v>603</v>
      </c>
      <c r="H98" s="1" t="s">
        <v>147</v>
      </c>
      <c r="I98" s="1" t="s">
        <v>348</v>
      </c>
      <c r="J98" s="17" t="s">
        <v>387</v>
      </c>
      <c r="K98" s="1" t="s">
        <v>8</v>
      </c>
      <c r="L98" s="1" t="s">
        <v>28</v>
      </c>
      <c r="M98" s="1" t="s">
        <v>44</v>
      </c>
      <c r="N98" s="1">
        <v>40</v>
      </c>
      <c r="O98" s="7">
        <f t="shared" si="16"/>
        <v>500</v>
      </c>
      <c r="P98" s="7">
        <f t="shared" si="10"/>
        <v>20000</v>
      </c>
      <c r="Q98" s="20" t="s">
        <v>433</v>
      </c>
      <c r="R98" s="20" t="s">
        <v>509</v>
      </c>
      <c r="S98" s="1"/>
      <c r="T98" s="1"/>
      <c r="U98" s="1" t="s">
        <v>38</v>
      </c>
      <c r="V98" s="1" t="s">
        <v>551</v>
      </c>
      <c r="W98" s="1" t="s">
        <v>550</v>
      </c>
      <c r="X98" s="1" t="s">
        <v>37</v>
      </c>
      <c r="Y98" s="1" t="s">
        <v>31</v>
      </c>
      <c r="Z98" s="1"/>
      <c r="AA98" s="1" t="s">
        <v>24</v>
      </c>
      <c r="AB98" s="2"/>
      <c r="AC98" s="1" t="s">
        <v>721</v>
      </c>
      <c r="AD98" s="2"/>
      <c r="AE98" s="2">
        <f>VLOOKUP(R98,'[1]VNSH03 gia thanh sx '!$F$6:$G$171,2,0)</f>
        <v>22000</v>
      </c>
      <c r="AF98" s="2">
        <f t="shared" si="18"/>
        <v>-2000</v>
      </c>
      <c r="AG98" s="2">
        <f>IF(VLOOKUP(R98,'VNET-XF-2105'!$B$12:$D$145,3,0)&gt;=P98,P98,VLOOKUP(R98,'VNET-XF-2105'!$B$12:$D$145,3,0))</f>
        <v>20000</v>
      </c>
      <c r="AH98" s="2"/>
      <c r="AI98" s="2"/>
      <c r="AJ98" s="2">
        <f t="shared" si="17"/>
        <v>0</v>
      </c>
    </row>
    <row r="99" spans="1:36" ht="240" x14ac:dyDescent="0.25">
      <c r="A99" s="1">
        <f t="shared" si="11"/>
        <v>93</v>
      </c>
      <c r="B99" s="1" t="str">
        <f t="shared" si="12"/>
        <v>RC0402FR-074K7L</v>
      </c>
      <c r="C99" s="1" t="s">
        <v>21</v>
      </c>
      <c r="D99" s="7" t="str">
        <f t="shared" si="13"/>
        <v>Board RK3562</v>
      </c>
      <c r="E99" s="7" t="str">
        <f t="shared" si="14"/>
        <v>Gerber_CAMBOX_RK3562_lot500_2505</v>
      </c>
      <c r="F99" s="7" t="str">
        <f t="shared" si="15"/>
        <v>BOM_CameraBox_2026-04-14 2205</v>
      </c>
      <c r="G99" s="1" t="s">
        <v>604</v>
      </c>
      <c r="H99" s="1" t="s">
        <v>147</v>
      </c>
      <c r="I99" s="1" t="s">
        <v>355</v>
      </c>
      <c r="J99" s="17" t="s">
        <v>387</v>
      </c>
      <c r="K99" s="1" t="s">
        <v>8</v>
      </c>
      <c r="L99" s="1" t="s">
        <v>28</v>
      </c>
      <c r="M99" s="1" t="s">
        <v>44</v>
      </c>
      <c r="N99" s="1">
        <v>35</v>
      </c>
      <c r="O99" s="7">
        <f t="shared" si="16"/>
        <v>500</v>
      </c>
      <c r="P99" s="7">
        <f t="shared" si="10"/>
        <v>17500</v>
      </c>
      <c r="Q99" s="20" t="s">
        <v>433</v>
      </c>
      <c r="R99" s="20" t="s">
        <v>516</v>
      </c>
      <c r="S99" s="1"/>
      <c r="T99" s="1"/>
      <c r="U99" s="1" t="s">
        <v>38</v>
      </c>
      <c r="V99" s="1" t="s">
        <v>551</v>
      </c>
      <c r="W99" s="1" t="s">
        <v>550</v>
      </c>
      <c r="X99" s="1" t="s">
        <v>37</v>
      </c>
      <c r="Y99" s="1" t="s">
        <v>31</v>
      </c>
      <c r="Z99" s="1"/>
      <c r="AA99" s="1" t="s">
        <v>24</v>
      </c>
      <c r="AB99" s="2"/>
      <c r="AC99" s="1"/>
      <c r="AD99" s="2"/>
      <c r="AE99" s="2">
        <f>VLOOKUP(R99,'[1]VNSH03 gia thanh sx '!$F$6:$G$171,2,0)</f>
        <v>17000</v>
      </c>
      <c r="AF99" s="2">
        <f t="shared" si="18"/>
        <v>500</v>
      </c>
      <c r="AG99" s="2">
        <f>IF(VLOOKUP(R99,'VNET-XF-2105'!$B$12:$D$145,3,0)&gt;=P99,P99,VLOOKUP(R99,'VNET-XF-2105'!$B$12:$D$145,3,0))</f>
        <v>16805</v>
      </c>
      <c r="AH99" s="2">
        <f>IF(VLOOKUP(R99,'VNET-XF_dự kiến lần 2'!$B$2:$D$42,3,0)&gt;=(P99-AG99),(P99-AG99),VLOOKUP(R99,'VNET-XF_dự kiến lần 2'!$B$2:$D$42,3,0))</f>
        <v>695</v>
      </c>
      <c r="AI99" s="2"/>
      <c r="AJ99" s="2">
        <f t="shared" si="17"/>
        <v>0</v>
      </c>
    </row>
    <row r="100" spans="1:36" ht="60" x14ac:dyDescent="0.25">
      <c r="A100" s="1">
        <f t="shared" si="11"/>
        <v>94</v>
      </c>
      <c r="B100" s="1" t="str">
        <f t="shared" si="12"/>
        <v>RC0402FR-0751K1L</v>
      </c>
      <c r="C100" s="1" t="s">
        <v>21</v>
      </c>
      <c r="D100" s="7" t="str">
        <f t="shared" si="13"/>
        <v>Board RK3562</v>
      </c>
      <c r="E100" s="7" t="str">
        <f t="shared" si="14"/>
        <v>Gerber_CAMBOX_RK3562_lot500_2505</v>
      </c>
      <c r="F100" s="7" t="str">
        <f t="shared" si="15"/>
        <v>BOM_CameraBox_2026-04-14 2205</v>
      </c>
      <c r="G100" s="1" t="s">
        <v>265</v>
      </c>
      <c r="H100" s="1" t="s">
        <v>147</v>
      </c>
      <c r="I100" s="1" t="s">
        <v>377</v>
      </c>
      <c r="J100" s="17" t="s">
        <v>387</v>
      </c>
      <c r="K100" s="1" t="s">
        <v>8</v>
      </c>
      <c r="L100" s="1" t="s">
        <v>28</v>
      </c>
      <c r="M100" s="1" t="s">
        <v>44</v>
      </c>
      <c r="N100" s="1">
        <v>1</v>
      </c>
      <c r="O100" s="7">
        <f t="shared" si="16"/>
        <v>500</v>
      </c>
      <c r="P100" s="7">
        <f t="shared" si="10"/>
        <v>500</v>
      </c>
      <c r="Q100" s="20" t="s">
        <v>433</v>
      </c>
      <c r="R100" s="20" t="s">
        <v>539</v>
      </c>
      <c r="S100" s="1"/>
      <c r="T100" s="1"/>
      <c r="U100" s="1" t="s">
        <v>38</v>
      </c>
      <c r="V100" s="1" t="s">
        <v>551</v>
      </c>
      <c r="W100" s="1" t="s">
        <v>550</v>
      </c>
      <c r="X100" s="1" t="s">
        <v>37</v>
      </c>
      <c r="Y100" s="1" t="s">
        <v>31</v>
      </c>
      <c r="Z100" s="1"/>
      <c r="AA100" s="1" t="s">
        <v>24</v>
      </c>
      <c r="AB100" s="2"/>
      <c r="AC100" s="1"/>
      <c r="AD100" s="2"/>
      <c r="AE100" s="2">
        <f>VLOOKUP(R100,'[1]VNSH03 gia thanh sx '!$F$6:$G$171,2,0)</f>
        <v>500</v>
      </c>
      <c r="AF100" s="2">
        <f t="shared" si="18"/>
        <v>0</v>
      </c>
      <c r="AG100" s="2">
        <f>IF(VLOOKUP(R100,'VNET-XF-2105'!$B$12:$D$145,3,0)&gt;=P100,P100,VLOOKUP(R100,'VNET-XF-2105'!$B$12:$D$145,3,0))</f>
        <v>495</v>
      </c>
      <c r="AH100" s="2"/>
      <c r="AI100" s="2"/>
      <c r="AJ100" s="2">
        <f t="shared" si="17"/>
        <v>5</v>
      </c>
    </row>
    <row r="101" spans="1:36" ht="60" x14ac:dyDescent="0.25">
      <c r="A101" s="1">
        <f t="shared" si="11"/>
        <v>95</v>
      </c>
      <c r="B101" s="1" t="str">
        <f t="shared" si="12"/>
        <v>RC0402FR-0712KL</v>
      </c>
      <c r="C101" s="1" t="s">
        <v>21</v>
      </c>
      <c r="D101" s="7" t="str">
        <f t="shared" si="13"/>
        <v>Board RK3562</v>
      </c>
      <c r="E101" s="7" t="str">
        <f t="shared" si="14"/>
        <v>Gerber_CAMBOX_RK3562_lot500_2505</v>
      </c>
      <c r="F101" s="7" t="str">
        <f t="shared" si="15"/>
        <v>BOM_CameraBox_2026-04-14 2205</v>
      </c>
      <c r="G101" s="1" t="s">
        <v>253</v>
      </c>
      <c r="H101" s="1" t="s">
        <v>147</v>
      </c>
      <c r="I101" s="1" t="s">
        <v>367</v>
      </c>
      <c r="J101" s="17" t="s">
        <v>387</v>
      </c>
      <c r="K101" s="1" t="s">
        <v>8</v>
      </c>
      <c r="L101" s="1" t="s">
        <v>28</v>
      </c>
      <c r="M101" s="1" t="s">
        <v>44</v>
      </c>
      <c r="N101" s="1">
        <v>1</v>
      </c>
      <c r="O101" s="7">
        <f t="shared" si="16"/>
        <v>500</v>
      </c>
      <c r="P101" s="7">
        <f t="shared" si="10"/>
        <v>500</v>
      </c>
      <c r="Q101" s="20" t="s">
        <v>433</v>
      </c>
      <c r="R101" s="20" t="s">
        <v>527</v>
      </c>
      <c r="S101" s="1"/>
      <c r="T101" s="1"/>
      <c r="U101" s="1" t="s">
        <v>38</v>
      </c>
      <c r="V101" s="1" t="s">
        <v>551</v>
      </c>
      <c r="W101" s="1" t="s">
        <v>550</v>
      </c>
      <c r="X101" s="1" t="s">
        <v>37</v>
      </c>
      <c r="Y101" s="1" t="s">
        <v>31</v>
      </c>
      <c r="Z101" s="1"/>
      <c r="AA101" s="1" t="s">
        <v>24</v>
      </c>
      <c r="AB101" s="2"/>
      <c r="AC101" s="1"/>
      <c r="AD101" s="2"/>
      <c r="AE101" s="2">
        <f>VLOOKUP(R101,'[1]VNSH03 gia thanh sx '!$F$6:$G$171,2,0)</f>
        <v>500</v>
      </c>
      <c r="AF101" s="2">
        <f t="shared" si="18"/>
        <v>0</v>
      </c>
      <c r="AG101" s="2">
        <f>IF(VLOOKUP(R101,'VNET-XF-2105'!$B$12:$D$145,3,0)&gt;=P101,P101,VLOOKUP(R101,'VNET-XF-2105'!$B$12:$D$145,3,0))</f>
        <v>495</v>
      </c>
      <c r="AH101" s="2"/>
      <c r="AI101" s="2"/>
      <c r="AJ101" s="2">
        <f t="shared" si="17"/>
        <v>5</v>
      </c>
    </row>
    <row r="102" spans="1:36" ht="60" x14ac:dyDescent="0.25">
      <c r="A102" s="1">
        <f t="shared" si="11"/>
        <v>96</v>
      </c>
      <c r="B102" s="1" t="str">
        <f t="shared" si="12"/>
        <v>RI1206L000JT</v>
      </c>
      <c r="C102" s="1" t="s">
        <v>21</v>
      </c>
      <c r="D102" s="7" t="str">
        <f t="shared" si="13"/>
        <v>Board RK3562</v>
      </c>
      <c r="E102" s="7" t="str">
        <f t="shared" si="14"/>
        <v>Gerber_CAMBOX_RK3562_lot500_2505</v>
      </c>
      <c r="F102" s="7" t="str">
        <f t="shared" si="15"/>
        <v>BOM_CameraBox_2026-04-14 2205</v>
      </c>
      <c r="G102" s="1" t="s">
        <v>605</v>
      </c>
      <c r="H102" s="1" t="s">
        <v>147</v>
      </c>
      <c r="I102" s="1" t="s">
        <v>323</v>
      </c>
      <c r="J102" s="17" t="s">
        <v>389</v>
      </c>
      <c r="K102" s="1" t="s">
        <v>8</v>
      </c>
      <c r="L102" s="1" t="s">
        <v>28</v>
      </c>
      <c r="M102" s="1" t="s">
        <v>44</v>
      </c>
      <c r="N102" s="1">
        <v>2</v>
      </c>
      <c r="O102" s="7">
        <f t="shared" si="16"/>
        <v>500</v>
      </c>
      <c r="P102" s="7">
        <f t="shared" si="10"/>
        <v>1000</v>
      </c>
      <c r="Q102" s="20" t="s">
        <v>401</v>
      </c>
      <c r="R102" s="20" t="s">
        <v>695</v>
      </c>
      <c r="S102" s="1"/>
      <c r="T102" s="1"/>
      <c r="U102" s="1" t="s">
        <v>38</v>
      </c>
      <c r="V102" s="1" t="s">
        <v>551</v>
      </c>
      <c r="W102" s="1" t="s">
        <v>550</v>
      </c>
      <c r="X102" s="1" t="s">
        <v>37</v>
      </c>
      <c r="Y102" s="1" t="s">
        <v>31</v>
      </c>
      <c r="Z102" s="1"/>
      <c r="AA102" s="1" t="s">
        <v>24</v>
      </c>
      <c r="AB102" s="2"/>
      <c r="AC102" s="1"/>
      <c r="AD102" s="2"/>
      <c r="AE102" s="2">
        <f>VLOOKUP(R102,'[1]VNSH03 gia thanh sx '!$F$6:$G$171,2,0)</f>
        <v>1000</v>
      </c>
      <c r="AF102" s="2">
        <f t="shared" si="18"/>
        <v>0</v>
      </c>
      <c r="AG102" s="2">
        <f>IF(VLOOKUP(R102,'VNET-XF-2105'!$B$12:$D$145,3,0)&gt;=P102,P102,VLOOKUP(R102,'VNET-XF-2105'!$B$12:$D$145,3,0))</f>
        <v>990</v>
      </c>
      <c r="AH102" s="2"/>
      <c r="AI102" s="2"/>
      <c r="AJ102" s="2">
        <f t="shared" si="17"/>
        <v>10</v>
      </c>
    </row>
    <row r="103" spans="1:36" ht="60" x14ac:dyDescent="0.25">
      <c r="A103" s="1">
        <f t="shared" si="11"/>
        <v>97</v>
      </c>
      <c r="B103" s="1" t="str">
        <f t="shared" si="12"/>
        <v>RC0402FR-07105KL</v>
      </c>
      <c r="C103" s="1" t="s">
        <v>21</v>
      </c>
      <c r="D103" s="7" t="str">
        <f t="shared" si="13"/>
        <v>Board RK3562</v>
      </c>
      <c r="E103" s="7" t="str">
        <f t="shared" si="14"/>
        <v>Gerber_CAMBOX_RK3562_lot500_2505</v>
      </c>
      <c r="F103" s="7" t="str">
        <f t="shared" si="15"/>
        <v>BOM_CameraBox_2026-04-14 2205</v>
      </c>
      <c r="G103" s="1" t="s">
        <v>254</v>
      </c>
      <c r="H103" s="1" t="s">
        <v>147</v>
      </c>
      <c r="I103" s="1" t="s">
        <v>368</v>
      </c>
      <c r="J103" s="17" t="s">
        <v>387</v>
      </c>
      <c r="K103" s="1" t="s">
        <v>8</v>
      </c>
      <c r="L103" s="1" t="s">
        <v>28</v>
      </c>
      <c r="M103" s="1" t="s">
        <v>44</v>
      </c>
      <c r="N103" s="1">
        <v>1</v>
      </c>
      <c r="O103" s="7">
        <f t="shared" si="16"/>
        <v>500</v>
      </c>
      <c r="P103" s="7">
        <f t="shared" ref="P103:P134" si="19">IF($N103="","",$N103*$O103)</f>
        <v>500</v>
      </c>
      <c r="Q103" s="20" t="s">
        <v>433</v>
      </c>
      <c r="R103" s="20" t="s">
        <v>528</v>
      </c>
      <c r="S103" s="1"/>
      <c r="T103" s="1"/>
      <c r="U103" s="1" t="s">
        <v>38</v>
      </c>
      <c r="V103" s="1" t="s">
        <v>551</v>
      </c>
      <c r="W103" s="1" t="s">
        <v>550</v>
      </c>
      <c r="X103" s="1" t="s">
        <v>37</v>
      </c>
      <c r="Y103" s="1" t="s">
        <v>31</v>
      </c>
      <c r="Z103" s="1"/>
      <c r="AA103" s="1" t="s">
        <v>24</v>
      </c>
      <c r="AB103" s="2"/>
      <c r="AC103" s="1"/>
      <c r="AD103" s="2"/>
      <c r="AE103" s="2">
        <f>VLOOKUP(R103,'[1]VNSH03 gia thanh sx '!$F$6:$G$171,2,0)</f>
        <v>500</v>
      </c>
      <c r="AF103" s="2">
        <f t="shared" si="18"/>
        <v>0</v>
      </c>
      <c r="AG103" s="2">
        <f>IF(VLOOKUP(R103,'VNET-XF-2105'!$B$12:$D$145,3,0)&gt;=P103,P103,VLOOKUP(R103,'VNET-XF-2105'!$B$12:$D$145,3,0))</f>
        <v>495</v>
      </c>
      <c r="AH103" s="2"/>
      <c r="AI103" s="2"/>
      <c r="AJ103" s="2">
        <f t="shared" si="17"/>
        <v>5</v>
      </c>
    </row>
    <row r="104" spans="1:36" ht="60" x14ac:dyDescent="0.25">
      <c r="A104" s="1">
        <f t="shared" si="11"/>
        <v>98</v>
      </c>
      <c r="B104" s="1" t="str">
        <f t="shared" si="12"/>
        <v>RC0402FR-0752K3L</v>
      </c>
      <c r="C104" s="1" t="s">
        <v>21</v>
      </c>
      <c r="D104" s="7" t="str">
        <f t="shared" si="13"/>
        <v>Board RK3562</v>
      </c>
      <c r="E104" s="7" t="str">
        <f t="shared" si="14"/>
        <v>Gerber_CAMBOX_RK3562_lot500_2505</v>
      </c>
      <c r="F104" s="7" t="str">
        <f t="shared" si="15"/>
        <v>BOM_CameraBox_2026-04-14 2205</v>
      </c>
      <c r="G104" s="1" t="s">
        <v>255</v>
      </c>
      <c r="H104" s="1" t="s">
        <v>147</v>
      </c>
      <c r="I104" s="1" t="s">
        <v>645</v>
      </c>
      <c r="J104" s="17" t="s">
        <v>387</v>
      </c>
      <c r="K104" s="1" t="s">
        <v>8</v>
      </c>
      <c r="L104" s="1" t="s">
        <v>28</v>
      </c>
      <c r="M104" s="1" t="s">
        <v>44</v>
      </c>
      <c r="N104" s="1">
        <v>1</v>
      </c>
      <c r="O104" s="7">
        <f t="shared" si="16"/>
        <v>500</v>
      </c>
      <c r="P104" s="7">
        <f t="shared" si="19"/>
        <v>500</v>
      </c>
      <c r="Q104" s="20" t="s">
        <v>433</v>
      </c>
      <c r="R104" s="20" t="s">
        <v>696</v>
      </c>
      <c r="S104" s="1"/>
      <c r="T104" s="1"/>
      <c r="U104" s="1" t="s">
        <v>38</v>
      </c>
      <c r="V104" s="1" t="s">
        <v>551</v>
      </c>
      <c r="W104" s="1" t="s">
        <v>550</v>
      </c>
      <c r="X104" s="1" t="s">
        <v>37</v>
      </c>
      <c r="Y104" s="1" t="s">
        <v>31</v>
      </c>
      <c r="Z104" s="1"/>
      <c r="AA104" s="1" t="s">
        <v>24</v>
      </c>
      <c r="AB104" s="2"/>
      <c r="AC104" s="1"/>
      <c r="AD104" s="2"/>
      <c r="AE104" s="2">
        <f>VLOOKUP(R104,'[1]VNSH03 gia thanh sx '!$F$6:$G$171,2,0)</f>
        <v>500</v>
      </c>
      <c r="AF104" s="2">
        <f t="shared" si="18"/>
        <v>0</v>
      </c>
      <c r="AG104" s="2">
        <f>IF(VLOOKUP(R104,'VNET-XF-2105'!$B$12:$D$145,3,0)&gt;=P104,P104,VLOOKUP(R104,'VNET-XF-2105'!$B$12:$D$145,3,0))</f>
        <v>500</v>
      </c>
      <c r="AH104" s="2"/>
      <c r="AI104" s="2"/>
      <c r="AJ104" s="2">
        <f t="shared" si="17"/>
        <v>0</v>
      </c>
    </row>
    <row r="105" spans="1:36" ht="60" x14ac:dyDescent="0.25">
      <c r="A105" s="1">
        <f t="shared" si="11"/>
        <v>99</v>
      </c>
      <c r="B105" s="1" t="str">
        <f t="shared" si="12"/>
        <v>RC0402FR-0784K5L</v>
      </c>
      <c r="C105" s="1" t="s">
        <v>21</v>
      </c>
      <c r="D105" s="7" t="str">
        <f t="shared" si="13"/>
        <v>Board RK3562</v>
      </c>
      <c r="E105" s="7" t="str">
        <f t="shared" si="14"/>
        <v>Gerber_CAMBOX_RK3562_lot500_2505</v>
      </c>
      <c r="F105" s="7" t="str">
        <f t="shared" si="15"/>
        <v>BOM_CameraBox_2026-04-14 2205</v>
      </c>
      <c r="G105" s="1" t="s">
        <v>269</v>
      </c>
      <c r="H105" s="1" t="s">
        <v>147</v>
      </c>
      <c r="I105" s="1" t="s">
        <v>383</v>
      </c>
      <c r="J105" s="17" t="s">
        <v>387</v>
      </c>
      <c r="K105" s="1" t="s">
        <v>8</v>
      </c>
      <c r="L105" s="1" t="s">
        <v>28</v>
      </c>
      <c r="M105" s="1" t="s">
        <v>44</v>
      </c>
      <c r="N105" s="1">
        <v>1</v>
      </c>
      <c r="O105" s="7">
        <f t="shared" si="16"/>
        <v>500</v>
      </c>
      <c r="P105" s="7">
        <f t="shared" si="19"/>
        <v>500</v>
      </c>
      <c r="Q105" s="20" t="s">
        <v>433</v>
      </c>
      <c r="R105" s="20" t="s">
        <v>545</v>
      </c>
      <c r="S105" s="1"/>
      <c r="T105" s="1"/>
      <c r="U105" s="1" t="s">
        <v>38</v>
      </c>
      <c r="V105" s="1" t="s">
        <v>551</v>
      </c>
      <c r="W105" s="1" t="s">
        <v>550</v>
      </c>
      <c r="X105" s="1" t="s">
        <v>37</v>
      </c>
      <c r="Y105" s="1" t="s">
        <v>31</v>
      </c>
      <c r="Z105" s="1"/>
      <c r="AA105" s="1" t="s">
        <v>24</v>
      </c>
      <c r="AB105" s="2"/>
      <c r="AC105" s="1"/>
      <c r="AD105" s="2"/>
      <c r="AE105" s="2">
        <f>VLOOKUP(R105,'[1]VNSH03 gia thanh sx '!$F$6:$G$171,2,0)</f>
        <v>500</v>
      </c>
      <c r="AF105" s="2">
        <f t="shared" si="18"/>
        <v>0</v>
      </c>
      <c r="AG105" s="2">
        <f>IF(VLOOKUP(R105,'VNET-XF-2105'!$B$12:$D$145,3,0)&gt;=P105,P105,VLOOKUP(R105,'VNET-XF-2105'!$B$12:$D$145,3,0))</f>
        <v>495</v>
      </c>
      <c r="AH105" s="2"/>
      <c r="AI105" s="2"/>
      <c r="AJ105" s="2">
        <f t="shared" si="17"/>
        <v>5</v>
      </c>
    </row>
    <row r="106" spans="1:36" ht="60" x14ac:dyDescent="0.25">
      <c r="A106" s="1">
        <f t="shared" si="11"/>
        <v>100</v>
      </c>
      <c r="B106" s="1" t="str">
        <f t="shared" si="12"/>
        <v>RC0402FR-07100RL</v>
      </c>
      <c r="C106" s="1" t="s">
        <v>21</v>
      </c>
      <c r="D106" s="7" t="str">
        <f t="shared" si="13"/>
        <v>Board RK3562</v>
      </c>
      <c r="E106" s="7" t="str">
        <f t="shared" si="14"/>
        <v>Gerber_CAMBOX_RK3562_lot500_2505</v>
      </c>
      <c r="F106" s="7" t="str">
        <f t="shared" si="15"/>
        <v>BOM_CameraBox_2026-04-14 2205</v>
      </c>
      <c r="G106" s="1" t="s">
        <v>606</v>
      </c>
      <c r="H106" s="1" t="s">
        <v>147</v>
      </c>
      <c r="I106" s="1" t="s">
        <v>378</v>
      </c>
      <c r="J106" s="17" t="s">
        <v>387</v>
      </c>
      <c r="K106" s="1" t="s">
        <v>8</v>
      </c>
      <c r="L106" s="1" t="s">
        <v>28</v>
      </c>
      <c r="M106" s="1" t="s">
        <v>44</v>
      </c>
      <c r="N106" s="1">
        <v>5</v>
      </c>
      <c r="O106" s="7">
        <f t="shared" si="16"/>
        <v>500</v>
      </c>
      <c r="P106" s="7">
        <f t="shared" si="19"/>
        <v>2500</v>
      </c>
      <c r="Q106" s="20" t="s">
        <v>433</v>
      </c>
      <c r="R106" s="20" t="s">
        <v>540</v>
      </c>
      <c r="S106" s="1"/>
      <c r="T106" s="1"/>
      <c r="U106" s="1" t="s">
        <v>38</v>
      </c>
      <c r="V106" s="1" t="s">
        <v>551</v>
      </c>
      <c r="W106" s="1" t="s">
        <v>550</v>
      </c>
      <c r="X106" s="1" t="s">
        <v>37</v>
      </c>
      <c r="Y106" s="1" t="s">
        <v>31</v>
      </c>
      <c r="Z106" s="1"/>
      <c r="AA106" s="1" t="s">
        <v>24</v>
      </c>
      <c r="AB106" s="2"/>
      <c r="AC106" s="1"/>
      <c r="AD106" s="2"/>
      <c r="AE106" s="2">
        <f>VLOOKUP(R106,'[1]VNSH03 gia thanh sx '!$F$6:$G$171,2,0)</f>
        <v>2500</v>
      </c>
      <c r="AF106" s="2">
        <f t="shared" si="18"/>
        <v>0</v>
      </c>
      <c r="AG106" s="2">
        <f>IF(VLOOKUP(R106,'VNET-XF-2105'!$B$12:$D$145,3,0)&gt;=P106,P106,VLOOKUP(R106,'VNET-XF-2105'!$B$12:$D$145,3,0))</f>
        <v>2475</v>
      </c>
      <c r="AH106" s="2"/>
      <c r="AI106" s="2"/>
      <c r="AJ106" s="2">
        <f t="shared" si="17"/>
        <v>25</v>
      </c>
    </row>
    <row r="107" spans="1:36" ht="150" x14ac:dyDescent="0.25">
      <c r="A107" s="1">
        <f t="shared" si="11"/>
        <v>101</v>
      </c>
      <c r="B107" s="1" t="str">
        <f t="shared" si="12"/>
        <v>RC0402FR-070RL</v>
      </c>
      <c r="C107" s="1" t="s">
        <v>21</v>
      </c>
      <c r="D107" s="7" t="str">
        <f t="shared" si="13"/>
        <v>Board RK3562</v>
      </c>
      <c r="E107" s="7" t="str">
        <f t="shared" si="14"/>
        <v>Gerber_CAMBOX_RK3562_lot500_2505</v>
      </c>
      <c r="F107" s="7" t="str">
        <f t="shared" si="15"/>
        <v>BOM_CameraBox_2026-04-14 2205</v>
      </c>
      <c r="G107" s="1" t="s">
        <v>607</v>
      </c>
      <c r="H107" s="1" t="s">
        <v>147</v>
      </c>
      <c r="I107" s="1" t="s">
        <v>358</v>
      </c>
      <c r="J107" s="17" t="s">
        <v>387</v>
      </c>
      <c r="K107" s="1" t="s">
        <v>8</v>
      </c>
      <c r="L107" s="1" t="s">
        <v>28</v>
      </c>
      <c r="M107" s="1" t="s">
        <v>44</v>
      </c>
      <c r="N107" s="1">
        <v>24</v>
      </c>
      <c r="O107" s="7">
        <f t="shared" si="16"/>
        <v>500</v>
      </c>
      <c r="P107" s="7">
        <f t="shared" si="19"/>
        <v>12000</v>
      </c>
      <c r="Q107" s="20" t="s">
        <v>433</v>
      </c>
      <c r="R107" s="20" t="s">
        <v>519</v>
      </c>
      <c r="S107" s="1"/>
      <c r="T107" s="1"/>
      <c r="U107" s="1" t="s">
        <v>38</v>
      </c>
      <c r="V107" s="1" t="s">
        <v>551</v>
      </c>
      <c r="W107" s="1" t="s">
        <v>550</v>
      </c>
      <c r="X107" s="1" t="s">
        <v>37</v>
      </c>
      <c r="Y107" s="1" t="s">
        <v>31</v>
      </c>
      <c r="Z107" s="1"/>
      <c r="AA107" s="1" t="s">
        <v>24</v>
      </c>
      <c r="AB107" s="2"/>
      <c r="AC107" s="1" t="s">
        <v>722</v>
      </c>
      <c r="AD107" s="2"/>
      <c r="AE107" s="2">
        <f>VLOOKUP(R107,'[1]VNSH03 gia thanh sx '!$F$6:$G$171,2,0)</f>
        <v>9500</v>
      </c>
      <c r="AF107" s="2">
        <f t="shared" si="18"/>
        <v>2500</v>
      </c>
      <c r="AG107" s="2">
        <f>IF(VLOOKUP(R107,'VNET-XF-2105'!$B$12:$D$145,3,0)&gt;=P107,P107,VLOOKUP(R107,'VNET-XF-2105'!$B$12:$D$145,3,0))</f>
        <v>9385</v>
      </c>
      <c r="AH107" s="2">
        <f>IF(VLOOKUP(R107,'VNET-XF_dự kiến lần 2'!$B$2:$D$42,3,0)&gt;=(P107-AG107),(P107-AG107),VLOOKUP(R107,'VNET-XF_dự kiến lần 2'!$B$2:$D$42,3,0))</f>
        <v>2000</v>
      </c>
      <c r="AI107" s="2"/>
      <c r="AJ107" s="2">
        <f t="shared" si="17"/>
        <v>615</v>
      </c>
    </row>
    <row r="108" spans="1:36" ht="60" x14ac:dyDescent="0.25">
      <c r="A108" s="1">
        <f t="shared" si="11"/>
        <v>102</v>
      </c>
      <c r="B108" s="1" t="str">
        <f t="shared" si="12"/>
        <v>AC0402FR-0725K5L</v>
      </c>
      <c r="C108" s="1" t="s">
        <v>21</v>
      </c>
      <c r="D108" s="7" t="str">
        <f t="shared" si="13"/>
        <v>Board RK3562</v>
      </c>
      <c r="E108" s="7" t="str">
        <f t="shared" si="14"/>
        <v>Gerber_CAMBOX_RK3562_lot500_2505</v>
      </c>
      <c r="F108" s="7" t="str">
        <f t="shared" si="15"/>
        <v>BOM_CameraBox_2026-04-14 2205</v>
      </c>
      <c r="G108" s="1" t="s">
        <v>256</v>
      </c>
      <c r="H108" s="1" t="s">
        <v>147</v>
      </c>
      <c r="I108" s="1" t="s">
        <v>646</v>
      </c>
      <c r="J108" s="17" t="s">
        <v>387</v>
      </c>
      <c r="K108" s="1" t="s">
        <v>8</v>
      </c>
      <c r="L108" s="1" t="s">
        <v>28</v>
      </c>
      <c r="M108" s="1" t="s">
        <v>44</v>
      </c>
      <c r="N108" s="1">
        <v>1</v>
      </c>
      <c r="O108" s="7">
        <f t="shared" si="16"/>
        <v>500</v>
      </c>
      <c r="P108" s="7">
        <f t="shared" si="19"/>
        <v>500</v>
      </c>
      <c r="Q108" s="20" t="s">
        <v>433</v>
      </c>
      <c r="R108" s="20" t="s">
        <v>697</v>
      </c>
      <c r="S108" s="1"/>
      <c r="T108" s="1"/>
      <c r="U108" s="1" t="s">
        <v>38</v>
      </c>
      <c r="V108" s="1" t="s">
        <v>551</v>
      </c>
      <c r="W108" s="1" t="s">
        <v>550</v>
      </c>
      <c r="X108" s="1" t="s">
        <v>37</v>
      </c>
      <c r="Y108" s="1" t="s">
        <v>31</v>
      </c>
      <c r="Z108" s="1"/>
      <c r="AA108" s="1" t="s">
        <v>24</v>
      </c>
      <c r="AB108" s="2"/>
      <c r="AC108" s="1"/>
      <c r="AD108" s="2"/>
      <c r="AE108" s="2">
        <f>VLOOKUP(R108,'[1]VNSH03 gia thanh sx '!$F$6:$G$171,2,0)</f>
        <v>500</v>
      </c>
      <c r="AF108" s="2">
        <f t="shared" si="18"/>
        <v>0</v>
      </c>
      <c r="AG108" s="2">
        <f>IF(VLOOKUP(R108,'VNET-XF-2105'!$B$12:$D$145,3,0)&gt;=P108,P108,VLOOKUP(R108,'VNET-XF-2105'!$B$12:$D$145,3,0))</f>
        <v>495</v>
      </c>
      <c r="AH108" s="2"/>
      <c r="AI108" s="2"/>
      <c r="AJ108" s="2">
        <f t="shared" si="17"/>
        <v>5</v>
      </c>
    </row>
    <row r="109" spans="1:36" ht="60" x14ac:dyDescent="0.25">
      <c r="A109" s="1">
        <f t="shared" si="11"/>
        <v>103</v>
      </c>
      <c r="B109" s="1" t="str">
        <f t="shared" si="12"/>
        <v>RC0402FR-071K91L</v>
      </c>
      <c r="C109" s="1" t="s">
        <v>21</v>
      </c>
      <c r="D109" s="7" t="str">
        <f t="shared" si="13"/>
        <v>Board RK3562</v>
      </c>
      <c r="E109" s="7" t="str">
        <f t="shared" si="14"/>
        <v>Gerber_CAMBOX_RK3562_lot500_2505</v>
      </c>
      <c r="F109" s="7" t="str">
        <f t="shared" si="15"/>
        <v>BOM_CameraBox_2026-04-14 2205</v>
      </c>
      <c r="G109" s="1" t="s">
        <v>257</v>
      </c>
      <c r="H109" s="1" t="s">
        <v>147</v>
      </c>
      <c r="I109" s="1" t="s">
        <v>369</v>
      </c>
      <c r="J109" s="17" t="s">
        <v>387</v>
      </c>
      <c r="K109" s="1" t="s">
        <v>8</v>
      </c>
      <c r="L109" s="1" t="s">
        <v>28</v>
      </c>
      <c r="M109" s="1" t="s">
        <v>44</v>
      </c>
      <c r="N109" s="1">
        <v>1</v>
      </c>
      <c r="O109" s="7">
        <f t="shared" si="16"/>
        <v>500</v>
      </c>
      <c r="P109" s="7">
        <f t="shared" si="19"/>
        <v>500</v>
      </c>
      <c r="Q109" s="20" t="s">
        <v>433</v>
      </c>
      <c r="R109" s="20" t="s">
        <v>529</v>
      </c>
      <c r="S109" s="1"/>
      <c r="T109" s="1"/>
      <c r="U109" s="1" t="s">
        <v>38</v>
      </c>
      <c r="V109" s="1" t="s">
        <v>551</v>
      </c>
      <c r="W109" s="1" t="s">
        <v>550</v>
      </c>
      <c r="X109" s="1" t="s">
        <v>37</v>
      </c>
      <c r="Y109" s="1" t="s">
        <v>31</v>
      </c>
      <c r="Z109" s="1"/>
      <c r="AA109" s="1" t="s">
        <v>24</v>
      </c>
      <c r="AB109" s="2"/>
      <c r="AC109" s="1"/>
      <c r="AD109" s="2"/>
      <c r="AE109" s="2">
        <f>VLOOKUP(R109,'[1]VNSH03 gia thanh sx '!$F$6:$G$171,2,0)</f>
        <v>500</v>
      </c>
      <c r="AF109" s="2">
        <f t="shared" si="18"/>
        <v>0</v>
      </c>
      <c r="AG109" s="2">
        <f>IF(VLOOKUP(R109,'VNET-XF-2105'!$B$12:$D$145,3,0)&gt;=P109,P109,VLOOKUP(R109,'VNET-XF-2105'!$B$12:$D$145,3,0))</f>
        <v>495</v>
      </c>
      <c r="AH109" s="2"/>
      <c r="AI109" s="2"/>
      <c r="AJ109" s="2">
        <f t="shared" si="17"/>
        <v>5</v>
      </c>
    </row>
    <row r="110" spans="1:36" ht="60" x14ac:dyDescent="0.25">
      <c r="A110" s="1">
        <f t="shared" si="11"/>
        <v>104</v>
      </c>
      <c r="B110" s="1" t="str">
        <f t="shared" si="12"/>
        <v>PE1206DRF7W0R015L</v>
      </c>
      <c r="C110" s="1" t="s">
        <v>21</v>
      </c>
      <c r="D110" s="7" t="str">
        <f t="shared" si="13"/>
        <v>Board RK3562</v>
      </c>
      <c r="E110" s="7" t="str">
        <f t="shared" si="14"/>
        <v>Gerber_CAMBOX_RK3562_lot500_2505</v>
      </c>
      <c r="F110" s="7" t="str">
        <f t="shared" si="15"/>
        <v>BOM_CameraBox_2026-04-14 2205</v>
      </c>
      <c r="G110" s="1" t="s">
        <v>217</v>
      </c>
      <c r="H110" s="1" t="s">
        <v>147</v>
      </c>
      <c r="I110" s="1" t="s">
        <v>296</v>
      </c>
      <c r="J110" s="17" t="s">
        <v>389</v>
      </c>
      <c r="K110" s="1" t="s">
        <v>8</v>
      </c>
      <c r="L110" s="1" t="s">
        <v>28</v>
      </c>
      <c r="M110" s="1" t="s">
        <v>44</v>
      </c>
      <c r="N110" s="1">
        <v>1</v>
      </c>
      <c r="O110" s="7">
        <f t="shared" si="16"/>
        <v>500</v>
      </c>
      <c r="P110" s="7">
        <f t="shared" si="19"/>
        <v>500</v>
      </c>
      <c r="Q110" s="20" t="s">
        <v>433</v>
      </c>
      <c r="R110" s="20" t="s">
        <v>434</v>
      </c>
      <c r="S110" s="1"/>
      <c r="T110" s="1"/>
      <c r="U110" s="1" t="s">
        <v>38</v>
      </c>
      <c r="V110" s="1" t="s">
        <v>551</v>
      </c>
      <c r="W110" s="1" t="s">
        <v>550</v>
      </c>
      <c r="X110" s="1" t="s">
        <v>37</v>
      </c>
      <c r="Y110" s="1" t="s">
        <v>31</v>
      </c>
      <c r="Z110" s="1"/>
      <c r="AA110" s="1" t="s">
        <v>24</v>
      </c>
      <c r="AB110" s="2"/>
      <c r="AC110" s="1"/>
      <c r="AD110" s="2"/>
      <c r="AE110" s="2">
        <f>VLOOKUP(R110,'[1]VNSH03 gia thanh sx '!$F$6:$G$171,2,0)</f>
        <v>500</v>
      </c>
      <c r="AF110" s="2">
        <f t="shared" si="18"/>
        <v>0</v>
      </c>
      <c r="AG110" s="2">
        <f>IF(VLOOKUP(R110,'VNET-XF-2105'!$B$12:$D$145,3,0)&gt;=P110,P110,VLOOKUP(R110,'VNET-XF-2105'!$B$12:$D$145,3,0))</f>
        <v>495</v>
      </c>
      <c r="AH110" s="2"/>
      <c r="AI110" s="2"/>
      <c r="AJ110" s="2">
        <f t="shared" si="17"/>
        <v>5</v>
      </c>
    </row>
    <row r="111" spans="1:36" ht="60" x14ac:dyDescent="0.25">
      <c r="A111" s="1">
        <f t="shared" si="11"/>
        <v>105</v>
      </c>
      <c r="B111" s="1" t="str">
        <f t="shared" si="12"/>
        <v>RC0402FR-0734KL</v>
      </c>
      <c r="C111" s="1" t="s">
        <v>21</v>
      </c>
      <c r="D111" s="7" t="str">
        <f t="shared" si="13"/>
        <v>Board RK3562</v>
      </c>
      <c r="E111" s="7" t="str">
        <f t="shared" si="14"/>
        <v>Gerber_CAMBOX_RK3562_lot500_2505</v>
      </c>
      <c r="F111" s="7" t="str">
        <f t="shared" si="15"/>
        <v>BOM_CameraBox_2026-04-14 2205</v>
      </c>
      <c r="G111" s="1" t="s">
        <v>258</v>
      </c>
      <c r="H111" s="1" t="s">
        <v>147</v>
      </c>
      <c r="I111" s="1" t="s">
        <v>370</v>
      </c>
      <c r="J111" s="17" t="s">
        <v>387</v>
      </c>
      <c r="K111" s="1" t="s">
        <v>8</v>
      </c>
      <c r="L111" s="1" t="s">
        <v>28</v>
      </c>
      <c r="M111" s="1" t="s">
        <v>44</v>
      </c>
      <c r="N111" s="1">
        <v>1</v>
      </c>
      <c r="O111" s="7">
        <f t="shared" si="16"/>
        <v>500</v>
      </c>
      <c r="P111" s="7">
        <f t="shared" si="19"/>
        <v>500</v>
      </c>
      <c r="Q111" s="20" t="s">
        <v>433</v>
      </c>
      <c r="R111" s="20" t="s">
        <v>530</v>
      </c>
      <c r="S111" s="1"/>
      <c r="T111" s="1"/>
      <c r="U111" s="1" t="s">
        <v>38</v>
      </c>
      <c r="V111" s="1" t="s">
        <v>551</v>
      </c>
      <c r="W111" s="1" t="s">
        <v>550</v>
      </c>
      <c r="X111" s="1" t="s">
        <v>37</v>
      </c>
      <c r="Y111" s="1" t="s">
        <v>31</v>
      </c>
      <c r="Z111" s="1"/>
      <c r="AA111" s="1" t="s">
        <v>24</v>
      </c>
      <c r="AB111" s="2"/>
      <c r="AC111" s="1"/>
      <c r="AD111" s="2"/>
      <c r="AE111" s="2">
        <f>VLOOKUP(R111,'[1]VNSH03 gia thanh sx '!$F$6:$G$171,2,0)</f>
        <v>500</v>
      </c>
      <c r="AF111" s="2">
        <f t="shared" si="18"/>
        <v>0</v>
      </c>
      <c r="AG111" s="2">
        <f>IF(VLOOKUP(R111,'VNET-XF-2105'!$B$12:$D$145,3,0)&gt;=P111,P111,VLOOKUP(R111,'VNET-XF-2105'!$B$12:$D$145,3,0))</f>
        <v>495</v>
      </c>
      <c r="AH111" s="2"/>
      <c r="AI111" s="2"/>
      <c r="AJ111" s="2">
        <f t="shared" si="17"/>
        <v>5</v>
      </c>
    </row>
    <row r="112" spans="1:36" ht="135" x14ac:dyDescent="0.25">
      <c r="A112" s="1">
        <f t="shared" si="11"/>
        <v>106</v>
      </c>
      <c r="B112" s="1" t="str">
        <f t="shared" si="12"/>
        <v>RC0402FR-072K2L</v>
      </c>
      <c r="C112" s="1" t="s">
        <v>21</v>
      </c>
      <c r="D112" s="7" t="str">
        <f t="shared" si="13"/>
        <v>Board RK3562</v>
      </c>
      <c r="E112" s="7" t="str">
        <f t="shared" si="14"/>
        <v>Gerber_CAMBOX_RK3562_lot500_2505</v>
      </c>
      <c r="F112" s="7" t="str">
        <f t="shared" si="15"/>
        <v>BOM_CameraBox_2026-04-14 2205</v>
      </c>
      <c r="G112" s="1" t="s">
        <v>608</v>
      </c>
      <c r="H112" s="1" t="s">
        <v>147</v>
      </c>
      <c r="I112" s="1" t="s">
        <v>357</v>
      </c>
      <c r="J112" s="17" t="s">
        <v>387</v>
      </c>
      <c r="K112" s="1" t="s">
        <v>8</v>
      </c>
      <c r="L112" s="1" t="s">
        <v>28</v>
      </c>
      <c r="M112" s="1" t="s">
        <v>44</v>
      </c>
      <c r="N112" s="1">
        <v>20</v>
      </c>
      <c r="O112" s="7">
        <f t="shared" si="16"/>
        <v>500</v>
      </c>
      <c r="P112" s="7">
        <f t="shared" si="19"/>
        <v>10000</v>
      </c>
      <c r="Q112" s="20" t="s">
        <v>433</v>
      </c>
      <c r="R112" s="20" t="s">
        <v>518</v>
      </c>
      <c r="S112" s="1"/>
      <c r="T112" s="1"/>
      <c r="U112" s="1" t="s">
        <v>38</v>
      </c>
      <c r="V112" s="1" t="s">
        <v>551</v>
      </c>
      <c r="W112" s="1" t="s">
        <v>550</v>
      </c>
      <c r="X112" s="1" t="s">
        <v>37</v>
      </c>
      <c r="Y112" s="1" t="s">
        <v>31</v>
      </c>
      <c r="Z112" s="1"/>
      <c r="AA112" s="1" t="s">
        <v>24</v>
      </c>
      <c r="AB112" s="2"/>
      <c r="AC112" s="1"/>
      <c r="AD112" s="2"/>
      <c r="AE112" s="2">
        <f>VLOOKUP(R112,'[1]VNSH03 gia thanh sx '!$F$6:$G$171,2,0)</f>
        <v>7500</v>
      </c>
      <c r="AF112" s="2">
        <f t="shared" si="18"/>
        <v>2500</v>
      </c>
      <c r="AG112" s="2">
        <f>IF(VLOOKUP(R112,'VNET-XF-2105'!$B$12:$D$145,3,0)&gt;=P112,P112,VLOOKUP(R112,'VNET-XF-2105'!$B$12:$D$145,3,0))</f>
        <v>7400</v>
      </c>
      <c r="AH112" s="2">
        <f>IF(VLOOKUP(R112,'VNET-XF_dự kiến lần 2'!$B$2:$D$42,3,0)&gt;=(P112-AG112),(P112-AG112),VLOOKUP(R112,'VNET-XF_dự kiến lần 2'!$B$2:$D$42,3,0))</f>
        <v>2500</v>
      </c>
      <c r="AI112" s="2"/>
      <c r="AJ112" s="2">
        <f t="shared" si="17"/>
        <v>100</v>
      </c>
    </row>
    <row r="113" spans="1:36" ht="60" x14ac:dyDescent="0.25">
      <c r="A113" s="1">
        <f t="shared" si="11"/>
        <v>107</v>
      </c>
      <c r="B113" s="1" t="str">
        <f t="shared" si="12"/>
        <v>RC0402FR-07499KL</v>
      </c>
      <c r="C113" s="1" t="s">
        <v>21</v>
      </c>
      <c r="D113" s="7" t="str">
        <f t="shared" si="13"/>
        <v>Board RK3562</v>
      </c>
      <c r="E113" s="7" t="str">
        <f t="shared" si="14"/>
        <v>Gerber_CAMBOX_RK3562_lot500_2505</v>
      </c>
      <c r="F113" s="7" t="str">
        <f t="shared" si="15"/>
        <v>BOM_CameraBox_2026-04-14 2205</v>
      </c>
      <c r="G113" s="1" t="s">
        <v>259</v>
      </c>
      <c r="H113" s="1" t="s">
        <v>147</v>
      </c>
      <c r="I113" s="1" t="s">
        <v>371</v>
      </c>
      <c r="J113" s="17" t="s">
        <v>387</v>
      </c>
      <c r="K113" s="1" t="s">
        <v>8</v>
      </c>
      <c r="L113" s="1" t="s">
        <v>28</v>
      </c>
      <c r="M113" s="1" t="s">
        <v>44</v>
      </c>
      <c r="N113" s="1">
        <v>2</v>
      </c>
      <c r="O113" s="7">
        <f t="shared" si="16"/>
        <v>500</v>
      </c>
      <c r="P113" s="7">
        <f t="shared" si="19"/>
        <v>1000</v>
      </c>
      <c r="Q113" s="20" t="s">
        <v>433</v>
      </c>
      <c r="R113" s="20" t="s">
        <v>531</v>
      </c>
      <c r="S113" s="1"/>
      <c r="T113" s="1"/>
      <c r="U113" s="1" t="s">
        <v>38</v>
      </c>
      <c r="V113" s="1" t="s">
        <v>551</v>
      </c>
      <c r="W113" s="1" t="s">
        <v>550</v>
      </c>
      <c r="X113" s="1" t="s">
        <v>37</v>
      </c>
      <c r="Y113" s="1" t="s">
        <v>31</v>
      </c>
      <c r="Z113" s="1"/>
      <c r="AA113" s="1" t="s">
        <v>24</v>
      </c>
      <c r="AB113" s="2"/>
      <c r="AC113" s="1"/>
      <c r="AD113" s="2"/>
      <c r="AE113" s="2">
        <f>VLOOKUP(R113,'[1]VNSH03 gia thanh sx '!$F$6:$G$171,2,0)</f>
        <v>1000</v>
      </c>
      <c r="AF113" s="2">
        <f t="shared" si="18"/>
        <v>0</v>
      </c>
      <c r="AG113" s="2">
        <f>IF(VLOOKUP(R113,'VNET-XF-2105'!$B$12:$D$145,3,0)&gt;=P113,P113,VLOOKUP(R113,'VNET-XF-2105'!$B$12:$D$145,3,0))</f>
        <v>990</v>
      </c>
      <c r="AH113" s="2"/>
      <c r="AI113" s="2"/>
      <c r="AJ113" s="2">
        <f t="shared" si="17"/>
        <v>10</v>
      </c>
    </row>
    <row r="114" spans="1:36" ht="180" x14ac:dyDescent="0.25">
      <c r="A114" s="1">
        <f t="shared" si="11"/>
        <v>108</v>
      </c>
      <c r="B114" s="1" t="str">
        <f t="shared" si="12"/>
        <v>RC0402FR-0722RL</v>
      </c>
      <c r="C114" s="1" t="s">
        <v>21</v>
      </c>
      <c r="D114" s="7" t="str">
        <f t="shared" si="13"/>
        <v>Board RK3562</v>
      </c>
      <c r="E114" s="7" t="str">
        <f t="shared" si="14"/>
        <v>Gerber_CAMBOX_RK3562_lot500_2505</v>
      </c>
      <c r="F114" s="7" t="str">
        <f t="shared" si="15"/>
        <v>BOM_CameraBox_2026-04-14 2205</v>
      </c>
      <c r="G114" s="1" t="s">
        <v>609</v>
      </c>
      <c r="H114" s="1" t="s">
        <v>147</v>
      </c>
      <c r="I114" s="1" t="s">
        <v>362</v>
      </c>
      <c r="J114" s="17" t="s">
        <v>387</v>
      </c>
      <c r="K114" s="1" t="s">
        <v>8</v>
      </c>
      <c r="L114" s="1" t="s">
        <v>28</v>
      </c>
      <c r="M114" s="1" t="s">
        <v>44</v>
      </c>
      <c r="N114" s="1">
        <v>28</v>
      </c>
      <c r="O114" s="7">
        <f t="shared" si="16"/>
        <v>500</v>
      </c>
      <c r="P114" s="7">
        <f t="shared" si="19"/>
        <v>14000</v>
      </c>
      <c r="Q114" s="20" t="s">
        <v>433</v>
      </c>
      <c r="R114" s="20" t="s">
        <v>522</v>
      </c>
      <c r="S114" s="1"/>
      <c r="T114" s="1"/>
      <c r="U114" s="1" t="s">
        <v>38</v>
      </c>
      <c r="V114" s="1" t="s">
        <v>551</v>
      </c>
      <c r="W114" s="1" t="s">
        <v>550</v>
      </c>
      <c r="X114" s="1" t="s">
        <v>37</v>
      </c>
      <c r="Y114" s="1" t="s">
        <v>31</v>
      </c>
      <c r="Z114" s="1"/>
      <c r="AA114" s="1" t="s">
        <v>24</v>
      </c>
      <c r="AB114" s="2"/>
      <c r="AC114" s="1" t="s">
        <v>723</v>
      </c>
      <c r="AD114" s="2"/>
      <c r="AE114" s="2">
        <f>VLOOKUP(R114,'[1]VNSH03 gia thanh sx '!$F$6:$G$171,2,0)</f>
        <v>5000</v>
      </c>
      <c r="AF114" s="2">
        <f t="shared" si="18"/>
        <v>9000</v>
      </c>
      <c r="AG114" s="2">
        <f>IF(VLOOKUP(R114,'VNET-XF-2105'!$B$12:$D$145,3,0)&gt;=P114,P114,VLOOKUP(R114,'VNET-XF-2105'!$B$12:$D$145,3,0))</f>
        <v>13365</v>
      </c>
      <c r="AH114" s="2">
        <f>IF(VLOOKUP(R114,'VNET-XF_dự kiến lần 2'!$B$2:$D$42,3,0)&gt;=(P114-AG114),(P114-AG114),VLOOKUP(R114,'VNET-XF_dự kiến lần 2'!$B$2:$D$42,3,0))</f>
        <v>635</v>
      </c>
      <c r="AI114" s="2"/>
      <c r="AJ114" s="2">
        <f t="shared" si="17"/>
        <v>0</v>
      </c>
    </row>
    <row r="115" spans="1:36" ht="60" x14ac:dyDescent="0.25">
      <c r="A115" s="1">
        <f t="shared" si="11"/>
        <v>109</v>
      </c>
      <c r="B115" s="1" t="str">
        <f t="shared" si="12"/>
        <v>RC0402FR-071ML</v>
      </c>
      <c r="C115" s="1" t="s">
        <v>21</v>
      </c>
      <c r="D115" s="7" t="str">
        <f t="shared" si="13"/>
        <v>Board RK3562</v>
      </c>
      <c r="E115" s="7" t="str">
        <f t="shared" si="14"/>
        <v>Gerber_CAMBOX_RK3562_lot500_2505</v>
      </c>
      <c r="F115" s="7" t="str">
        <f t="shared" si="15"/>
        <v>BOM_CameraBox_2026-04-14 2205</v>
      </c>
      <c r="G115" s="1" t="s">
        <v>266</v>
      </c>
      <c r="H115" s="1" t="s">
        <v>147</v>
      </c>
      <c r="I115" s="1" t="s">
        <v>379</v>
      </c>
      <c r="J115" s="17" t="s">
        <v>387</v>
      </c>
      <c r="K115" s="1" t="s">
        <v>8</v>
      </c>
      <c r="L115" s="1" t="s">
        <v>28</v>
      </c>
      <c r="M115" s="1" t="s">
        <v>44</v>
      </c>
      <c r="N115" s="1">
        <v>1</v>
      </c>
      <c r="O115" s="7">
        <f t="shared" si="16"/>
        <v>500</v>
      </c>
      <c r="P115" s="7">
        <f t="shared" si="19"/>
        <v>500</v>
      </c>
      <c r="Q115" s="20" t="s">
        <v>433</v>
      </c>
      <c r="R115" s="20" t="s">
        <v>541</v>
      </c>
      <c r="S115" s="1"/>
      <c r="T115" s="1"/>
      <c r="U115" s="1" t="s">
        <v>38</v>
      </c>
      <c r="V115" s="1" t="s">
        <v>551</v>
      </c>
      <c r="W115" s="1" t="s">
        <v>550</v>
      </c>
      <c r="X115" s="1" t="s">
        <v>37</v>
      </c>
      <c r="Y115" s="1" t="s">
        <v>31</v>
      </c>
      <c r="Z115" s="1"/>
      <c r="AA115" s="1" t="s">
        <v>24</v>
      </c>
      <c r="AB115" s="2"/>
      <c r="AC115" s="1"/>
      <c r="AD115" s="2"/>
      <c r="AE115" s="2">
        <f>VLOOKUP(R115,'[1]VNSH03 gia thanh sx '!$F$6:$G$171,2,0)</f>
        <v>500</v>
      </c>
      <c r="AF115" s="2">
        <f t="shared" si="18"/>
        <v>0</v>
      </c>
      <c r="AG115" s="2">
        <f>IF(VLOOKUP(R115,'VNET-XF-2105'!$B$12:$D$145,3,0)&gt;=P115,P115,VLOOKUP(R115,'VNET-XF-2105'!$B$12:$D$145,3,0))</f>
        <v>495</v>
      </c>
      <c r="AH115" s="2"/>
      <c r="AI115" s="2"/>
      <c r="AJ115" s="2">
        <f t="shared" si="17"/>
        <v>5</v>
      </c>
    </row>
    <row r="116" spans="1:36" ht="60" x14ac:dyDescent="0.25">
      <c r="A116" s="1">
        <f t="shared" si="11"/>
        <v>110</v>
      </c>
      <c r="B116" s="1" t="str">
        <f t="shared" si="12"/>
        <v>RC0402FR-0715KL</v>
      </c>
      <c r="C116" s="1" t="s">
        <v>21</v>
      </c>
      <c r="D116" s="7" t="str">
        <f t="shared" si="13"/>
        <v>Board RK3562</v>
      </c>
      <c r="E116" s="7" t="str">
        <f t="shared" si="14"/>
        <v>Gerber_CAMBOX_RK3562_lot500_2505</v>
      </c>
      <c r="F116" s="7" t="str">
        <f t="shared" si="15"/>
        <v>BOM_CameraBox_2026-04-14 2205</v>
      </c>
      <c r="G116" s="1" t="s">
        <v>610</v>
      </c>
      <c r="H116" s="1" t="s">
        <v>147</v>
      </c>
      <c r="I116" s="1" t="s">
        <v>372</v>
      </c>
      <c r="J116" s="17" t="s">
        <v>387</v>
      </c>
      <c r="K116" s="1" t="s">
        <v>8</v>
      </c>
      <c r="L116" s="1" t="s">
        <v>28</v>
      </c>
      <c r="M116" s="1" t="s">
        <v>44</v>
      </c>
      <c r="N116" s="1">
        <v>3</v>
      </c>
      <c r="O116" s="7">
        <f t="shared" si="16"/>
        <v>500</v>
      </c>
      <c r="P116" s="7">
        <f t="shared" si="19"/>
        <v>1500</v>
      </c>
      <c r="Q116" s="20" t="s">
        <v>433</v>
      </c>
      <c r="R116" s="20" t="s">
        <v>533</v>
      </c>
      <c r="S116" s="1"/>
      <c r="T116" s="1"/>
      <c r="U116" s="1" t="s">
        <v>38</v>
      </c>
      <c r="V116" s="1" t="s">
        <v>551</v>
      </c>
      <c r="W116" s="1" t="s">
        <v>550</v>
      </c>
      <c r="X116" s="1" t="s">
        <v>37</v>
      </c>
      <c r="Y116" s="1" t="s">
        <v>31</v>
      </c>
      <c r="Z116" s="1"/>
      <c r="AA116" s="1" t="s">
        <v>24</v>
      </c>
      <c r="AB116" s="2"/>
      <c r="AC116" s="1" t="s">
        <v>724</v>
      </c>
      <c r="AD116" s="2"/>
      <c r="AE116" s="2">
        <f>VLOOKUP(R116,'[1]VNSH03 gia thanh sx '!$F$6:$G$171,2,0)</f>
        <v>1000</v>
      </c>
      <c r="AF116" s="2">
        <f t="shared" si="18"/>
        <v>500</v>
      </c>
      <c r="AG116" s="2">
        <f>IF(VLOOKUP(R116,'VNET-XF-2105'!$B$12:$D$145,3,0)&gt;=P116,P116,VLOOKUP(R116,'VNET-XF-2105'!$B$12:$D$145,3,0))</f>
        <v>990</v>
      </c>
      <c r="AH116" s="2"/>
      <c r="AI116" s="2"/>
      <c r="AJ116" s="2">
        <f t="shared" si="17"/>
        <v>510</v>
      </c>
    </row>
    <row r="117" spans="1:36" ht="180" x14ac:dyDescent="0.25">
      <c r="A117" s="1">
        <f t="shared" si="11"/>
        <v>111</v>
      </c>
      <c r="B117" s="1" t="str">
        <f t="shared" si="12"/>
        <v>RC0402FR-071KL</v>
      </c>
      <c r="C117" s="1" t="s">
        <v>21</v>
      </c>
      <c r="D117" s="7" t="str">
        <f t="shared" si="13"/>
        <v>Board RK3562</v>
      </c>
      <c r="E117" s="7" t="str">
        <f t="shared" si="14"/>
        <v>Gerber_CAMBOX_RK3562_lot500_2505</v>
      </c>
      <c r="F117" s="7" t="str">
        <f t="shared" si="15"/>
        <v>BOM_CameraBox_2026-04-14 2205</v>
      </c>
      <c r="G117" s="1" t="s">
        <v>611</v>
      </c>
      <c r="H117" s="1" t="s">
        <v>147</v>
      </c>
      <c r="I117" s="1" t="s">
        <v>353</v>
      </c>
      <c r="J117" s="17" t="s">
        <v>387</v>
      </c>
      <c r="K117" s="1" t="s">
        <v>8</v>
      </c>
      <c r="L117" s="1" t="s">
        <v>28</v>
      </c>
      <c r="M117" s="1" t="s">
        <v>44</v>
      </c>
      <c r="N117" s="1">
        <v>25</v>
      </c>
      <c r="O117" s="7">
        <f t="shared" si="16"/>
        <v>500</v>
      </c>
      <c r="P117" s="7">
        <f t="shared" si="19"/>
        <v>12500</v>
      </c>
      <c r="Q117" s="20" t="s">
        <v>433</v>
      </c>
      <c r="R117" s="20" t="s">
        <v>514</v>
      </c>
      <c r="S117" s="1"/>
      <c r="T117" s="1"/>
      <c r="U117" s="1" t="s">
        <v>38</v>
      </c>
      <c r="V117" s="1" t="s">
        <v>551</v>
      </c>
      <c r="W117" s="1" t="s">
        <v>550</v>
      </c>
      <c r="X117" s="1" t="s">
        <v>37</v>
      </c>
      <c r="Y117" s="1" t="s">
        <v>31</v>
      </c>
      <c r="Z117" s="1"/>
      <c r="AA117" s="1" t="s">
        <v>24</v>
      </c>
      <c r="AB117" s="2"/>
      <c r="AC117" s="1"/>
      <c r="AD117" s="2"/>
      <c r="AE117" s="2">
        <f>VLOOKUP(R117,'[1]VNSH03 gia thanh sx '!$F$6:$G$171,2,0)</f>
        <v>11500</v>
      </c>
      <c r="AF117" s="2">
        <f t="shared" si="18"/>
        <v>1000</v>
      </c>
      <c r="AG117" s="2">
        <f>IF(VLOOKUP(R117,'VNET-XF-2105'!$B$12:$D$145,3,0)&gt;=P117,P117,VLOOKUP(R117,'VNET-XF-2105'!$B$12:$D$145,3,0))</f>
        <v>10000</v>
      </c>
      <c r="AH117" s="2">
        <f>IF(VLOOKUP(R117,'VNET-XF_dự kiến lần 2'!$B$2:$D$42,3,0)&gt;=(P117-AG117),(P117-AG117),VLOOKUP(R117,'VNET-XF_dự kiến lần 2'!$B$2:$D$42,3,0))</f>
        <v>1000</v>
      </c>
      <c r="AI117" s="2"/>
      <c r="AJ117" s="2">
        <f t="shared" si="17"/>
        <v>1500</v>
      </c>
    </row>
    <row r="118" spans="1:36" ht="60" x14ac:dyDescent="0.25">
      <c r="A118" s="1">
        <f t="shared" si="11"/>
        <v>112</v>
      </c>
      <c r="B118" s="1" t="str">
        <f t="shared" si="12"/>
        <v>RC0402FR-074R02L</v>
      </c>
      <c r="C118" s="1" t="s">
        <v>21</v>
      </c>
      <c r="D118" s="7" t="str">
        <f t="shared" si="13"/>
        <v>Board RK3562</v>
      </c>
      <c r="E118" s="7" t="str">
        <f t="shared" si="14"/>
        <v>Gerber_CAMBOX_RK3562_lot500_2505</v>
      </c>
      <c r="F118" s="7" t="str">
        <f t="shared" si="15"/>
        <v>BOM_CameraBox_2026-04-14 2205</v>
      </c>
      <c r="G118" s="1" t="s">
        <v>249</v>
      </c>
      <c r="H118" s="1" t="s">
        <v>147</v>
      </c>
      <c r="I118" s="1" t="s">
        <v>354</v>
      </c>
      <c r="J118" s="17" t="s">
        <v>387</v>
      </c>
      <c r="K118" s="1" t="s">
        <v>8</v>
      </c>
      <c r="L118" s="1" t="s">
        <v>28</v>
      </c>
      <c r="M118" s="1" t="s">
        <v>44</v>
      </c>
      <c r="N118" s="1">
        <v>1</v>
      </c>
      <c r="O118" s="7">
        <f t="shared" si="16"/>
        <v>500</v>
      </c>
      <c r="P118" s="7">
        <f t="shared" si="19"/>
        <v>500</v>
      </c>
      <c r="Q118" s="20" t="s">
        <v>433</v>
      </c>
      <c r="R118" s="20" t="s">
        <v>515</v>
      </c>
      <c r="S118" s="1"/>
      <c r="T118" s="1"/>
      <c r="U118" s="1" t="s">
        <v>38</v>
      </c>
      <c r="V118" s="1" t="s">
        <v>551</v>
      </c>
      <c r="W118" s="1" t="s">
        <v>550</v>
      </c>
      <c r="X118" s="1" t="s">
        <v>37</v>
      </c>
      <c r="Y118" s="1" t="s">
        <v>31</v>
      </c>
      <c r="Z118" s="1"/>
      <c r="AA118" s="1" t="s">
        <v>24</v>
      </c>
      <c r="AB118" s="2"/>
      <c r="AC118" s="1"/>
      <c r="AD118" s="2"/>
      <c r="AE118" s="2">
        <f>VLOOKUP(R118,'[1]VNSH03 gia thanh sx '!$F$6:$G$171,2,0)</f>
        <v>500</v>
      </c>
      <c r="AF118" s="2">
        <f t="shared" si="18"/>
        <v>0</v>
      </c>
      <c r="AG118" s="2">
        <f>IF(VLOOKUP(R118,'VNET-XF-2105'!$B$12:$D$145,3,0)&gt;=P118,P118,VLOOKUP(R118,'VNET-XF-2105'!$B$12:$D$145,3,0))</f>
        <v>490</v>
      </c>
      <c r="AH118" s="2"/>
      <c r="AI118" s="2"/>
      <c r="AJ118" s="2">
        <f t="shared" si="17"/>
        <v>10</v>
      </c>
    </row>
    <row r="119" spans="1:36" ht="60" x14ac:dyDescent="0.25">
      <c r="A119" s="1">
        <f t="shared" si="11"/>
        <v>113</v>
      </c>
      <c r="B119" s="1" t="str">
        <f t="shared" si="12"/>
        <v>RC0402FR-071K2L</v>
      </c>
      <c r="C119" s="1" t="s">
        <v>21</v>
      </c>
      <c r="D119" s="7" t="str">
        <f t="shared" si="13"/>
        <v>Board RK3562</v>
      </c>
      <c r="E119" s="7" t="str">
        <f t="shared" si="14"/>
        <v>Gerber_CAMBOX_RK3562_lot500_2505</v>
      </c>
      <c r="F119" s="7" t="str">
        <f t="shared" si="15"/>
        <v>BOM_CameraBox_2026-04-14 2205</v>
      </c>
      <c r="G119" s="1" t="s">
        <v>260</v>
      </c>
      <c r="H119" s="1" t="s">
        <v>147</v>
      </c>
      <c r="I119" s="1" t="s">
        <v>373</v>
      </c>
      <c r="J119" s="17" t="s">
        <v>387</v>
      </c>
      <c r="K119" s="1" t="s">
        <v>8</v>
      </c>
      <c r="L119" s="1" t="s">
        <v>28</v>
      </c>
      <c r="M119" s="1" t="s">
        <v>44</v>
      </c>
      <c r="N119" s="1">
        <v>1</v>
      </c>
      <c r="O119" s="7">
        <f t="shared" si="16"/>
        <v>500</v>
      </c>
      <c r="P119" s="7">
        <f t="shared" si="19"/>
        <v>500</v>
      </c>
      <c r="Q119" s="20" t="s">
        <v>433</v>
      </c>
      <c r="R119" s="20" t="s">
        <v>534</v>
      </c>
      <c r="S119" s="1"/>
      <c r="T119" s="1"/>
      <c r="U119" s="1" t="s">
        <v>38</v>
      </c>
      <c r="V119" s="1" t="s">
        <v>551</v>
      </c>
      <c r="W119" s="1" t="s">
        <v>550</v>
      </c>
      <c r="X119" s="1" t="s">
        <v>37</v>
      </c>
      <c r="Y119" s="1" t="s">
        <v>31</v>
      </c>
      <c r="Z119" s="1"/>
      <c r="AA119" s="1" t="s">
        <v>24</v>
      </c>
      <c r="AB119" s="2"/>
      <c r="AC119" s="1"/>
      <c r="AD119" s="2"/>
      <c r="AE119" s="2">
        <f>VLOOKUP(R119,'[1]VNSH03 gia thanh sx '!$F$6:$G$171,2,0)</f>
        <v>500</v>
      </c>
      <c r="AF119" s="2">
        <f t="shared" si="18"/>
        <v>0</v>
      </c>
      <c r="AG119" s="2">
        <f>IF(VLOOKUP(R119,'VNET-XF-2105'!$B$12:$D$145,3,0)&gt;=P119,P119,VLOOKUP(R119,'VNET-XF-2105'!$B$12:$D$145,3,0))</f>
        <v>495</v>
      </c>
      <c r="AH119" s="2"/>
      <c r="AI119" s="2"/>
      <c r="AJ119" s="2">
        <f t="shared" si="17"/>
        <v>5</v>
      </c>
    </row>
    <row r="120" spans="1:36" ht="60" x14ac:dyDescent="0.25">
      <c r="A120" s="1">
        <f t="shared" si="11"/>
        <v>114</v>
      </c>
      <c r="B120" s="1" t="str">
        <f t="shared" si="12"/>
        <v>RC0402FR-0710RL</v>
      </c>
      <c r="C120" s="1" t="s">
        <v>21</v>
      </c>
      <c r="D120" s="7" t="str">
        <f t="shared" si="13"/>
        <v>Board RK3562</v>
      </c>
      <c r="E120" s="7" t="str">
        <f t="shared" si="14"/>
        <v>Gerber_CAMBOX_RK3562_lot500_2505</v>
      </c>
      <c r="F120" s="7" t="str">
        <f t="shared" si="15"/>
        <v>BOM_CameraBox_2026-04-14 2205</v>
      </c>
      <c r="G120" s="1" t="s">
        <v>250</v>
      </c>
      <c r="H120" s="1" t="s">
        <v>147</v>
      </c>
      <c r="I120" s="1" t="s">
        <v>356</v>
      </c>
      <c r="J120" s="17" t="s">
        <v>387</v>
      </c>
      <c r="K120" s="1" t="s">
        <v>8</v>
      </c>
      <c r="L120" s="1" t="s">
        <v>28</v>
      </c>
      <c r="M120" s="1" t="s">
        <v>44</v>
      </c>
      <c r="N120" s="1">
        <v>10</v>
      </c>
      <c r="O120" s="7">
        <f t="shared" si="16"/>
        <v>500</v>
      </c>
      <c r="P120" s="7">
        <f t="shared" si="19"/>
        <v>5000</v>
      </c>
      <c r="Q120" s="20" t="s">
        <v>433</v>
      </c>
      <c r="R120" s="20" t="s">
        <v>517</v>
      </c>
      <c r="S120" s="1"/>
      <c r="T120" s="1"/>
      <c r="U120" s="1" t="s">
        <v>38</v>
      </c>
      <c r="V120" s="1" t="s">
        <v>551</v>
      </c>
      <c r="W120" s="1" t="s">
        <v>550</v>
      </c>
      <c r="X120" s="1" t="s">
        <v>37</v>
      </c>
      <c r="Y120" s="1" t="s">
        <v>31</v>
      </c>
      <c r="Z120" s="1"/>
      <c r="AA120" s="1" t="s">
        <v>24</v>
      </c>
      <c r="AB120" s="2"/>
      <c r="AC120" s="1"/>
      <c r="AD120" s="2"/>
      <c r="AE120" s="2">
        <f>VLOOKUP(R120,'[1]VNSH03 gia thanh sx '!$F$6:$G$171,2,0)</f>
        <v>4500</v>
      </c>
      <c r="AF120" s="2">
        <f t="shared" si="18"/>
        <v>500</v>
      </c>
      <c r="AG120" s="2">
        <f>IF(VLOOKUP(R120,'VNET-XF-2105'!$B$12:$D$145,3,0)&gt;=P120,P120,VLOOKUP(R120,'VNET-XF-2105'!$B$12:$D$145,3,0))</f>
        <v>4450</v>
      </c>
      <c r="AH120" s="2">
        <f>IF(VLOOKUP(R120,'VNET-XF_dự kiến lần 2'!$B$2:$D$42,3,0)&gt;=(P120-AG120),(P120-AG120),VLOOKUP(R120,'VNET-XF_dự kiến lần 2'!$B$2:$D$42,3,0))</f>
        <v>500</v>
      </c>
      <c r="AI120" s="2"/>
      <c r="AJ120" s="2">
        <f t="shared" si="17"/>
        <v>50</v>
      </c>
    </row>
    <row r="121" spans="1:36" ht="60" x14ac:dyDescent="0.25">
      <c r="A121" s="1">
        <f t="shared" si="11"/>
        <v>115</v>
      </c>
      <c r="B121" s="1" t="str">
        <f t="shared" si="12"/>
        <v>RC0402FR-0775RL</v>
      </c>
      <c r="C121" s="1" t="s">
        <v>21</v>
      </c>
      <c r="D121" s="7" t="str">
        <f t="shared" si="13"/>
        <v>Board RK3562</v>
      </c>
      <c r="E121" s="7" t="str">
        <f t="shared" si="14"/>
        <v>Gerber_CAMBOX_RK3562_lot500_2505</v>
      </c>
      <c r="F121" s="7" t="str">
        <f t="shared" si="15"/>
        <v>BOM_CameraBox_2026-04-14 2205</v>
      </c>
      <c r="G121" s="1" t="s">
        <v>261</v>
      </c>
      <c r="H121" s="1" t="s">
        <v>147</v>
      </c>
      <c r="I121" s="1" t="s">
        <v>374</v>
      </c>
      <c r="J121" s="17" t="s">
        <v>387</v>
      </c>
      <c r="K121" s="1" t="s">
        <v>8</v>
      </c>
      <c r="L121" s="1" t="s">
        <v>28</v>
      </c>
      <c r="M121" s="1" t="s">
        <v>44</v>
      </c>
      <c r="N121" s="1">
        <v>4</v>
      </c>
      <c r="O121" s="7">
        <f t="shared" si="16"/>
        <v>500</v>
      </c>
      <c r="P121" s="7">
        <f t="shared" si="19"/>
        <v>2000</v>
      </c>
      <c r="Q121" s="20" t="s">
        <v>433</v>
      </c>
      <c r="R121" s="20" t="s">
        <v>535</v>
      </c>
      <c r="S121" s="1"/>
      <c r="T121" s="1"/>
      <c r="U121" s="1" t="s">
        <v>38</v>
      </c>
      <c r="V121" s="1" t="s">
        <v>551</v>
      </c>
      <c r="W121" s="1" t="s">
        <v>550</v>
      </c>
      <c r="X121" s="1" t="s">
        <v>37</v>
      </c>
      <c r="Y121" s="1" t="s">
        <v>31</v>
      </c>
      <c r="Z121" s="1"/>
      <c r="AA121" s="1" t="s">
        <v>24</v>
      </c>
      <c r="AB121" s="2"/>
      <c r="AC121" s="1"/>
      <c r="AD121" s="2"/>
      <c r="AE121" s="2">
        <f>VLOOKUP(R121,'[1]VNSH03 gia thanh sx '!$F$6:$G$171,2,0)</f>
        <v>2000</v>
      </c>
      <c r="AF121" s="2">
        <f t="shared" si="18"/>
        <v>0</v>
      </c>
      <c r="AG121" s="2">
        <f>IF(VLOOKUP(R121,'VNET-XF-2105'!$B$12:$D$145,3,0)&gt;=P121,P121,VLOOKUP(R121,'VNET-XF-2105'!$B$12:$D$145,3,0))</f>
        <v>1980</v>
      </c>
      <c r="AH121" s="2"/>
      <c r="AI121" s="2"/>
      <c r="AJ121" s="2">
        <f t="shared" si="17"/>
        <v>20</v>
      </c>
    </row>
    <row r="122" spans="1:36" ht="60" x14ac:dyDescent="0.25">
      <c r="A122" s="1">
        <f t="shared" si="11"/>
        <v>116</v>
      </c>
      <c r="B122" s="1" t="str">
        <f t="shared" si="12"/>
        <v>RC0402FR-07220RL</v>
      </c>
      <c r="C122" s="1" t="s">
        <v>21</v>
      </c>
      <c r="D122" s="7" t="str">
        <f t="shared" si="13"/>
        <v>Board RK3562</v>
      </c>
      <c r="E122" s="7" t="str">
        <f t="shared" si="14"/>
        <v>Gerber_CAMBOX_RK3562_lot500_2505</v>
      </c>
      <c r="F122" s="7" t="str">
        <f t="shared" si="15"/>
        <v>BOM_CameraBox_2026-04-14 2205</v>
      </c>
      <c r="G122" s="1" t="s">
        <v>262</v>
      </c>
      <c r="H122" s="1" t="s">
        <v>147</v>
      </c>
      <c r="I122" s="1" t="s">
        <v>375</v>
      </c>
      <c r="J122" s="17" t="s">
        <v>387</v>
      </c>
      <c r="K122" s="1" t="s">
        <v>8</v>
      </c>
      <c r="L122" s="1" t="s">
        <v>28</v>
      </c>
      <c r="M122" s="1" t="s">
        <v>44</v>
      </c>
      <c r="N122" s="1">
        <v>1</v>
      </c>
      <c r="O122" s="7">
        <f t="shared" si="16"/>
        <v>500</v>
      </c>
      <c r="P122" s="7">
        <f t="shared" si="19"/>
        <v>500</v>
      </c>
      <c r="Q122" s="20" t="s">
        <v>433</v>
      </c>
      <c r="R122" s="20" t="s">
        <v>536</v>
      </c>
      <c r="S122" s="1"/>
      <c r="T122" s="1"/>
      <c r="U122" s="1" t="s">
        <v>38</v>
      </c>
      <c r="V122" s="1" t="s">
        <v>551</v>
      </c>
      <c r="W122" s="1" t="s">
        <v>550</v>
      </c>
      <c r="X122" s="1" t="s">
        <v>37</v>
      </c>
      <c r="Y122" s="1" t="s">
        <v>31</v>
      </c>
      <c r="Z122" s="1"/>
      <c r="AA122" s="1" t="s">
        <v>24</v>
      </c>
      <c r="AB122" s="2"/>
      <c r="AC122" s="1"/>
      <c r="AD122" s="2"/>
      <c r="AE122" s="2">
        <f>VLOOKUP(R122,'[1]VNSH03 gia thanh sx '!$F$6:$G$171,2,0)</f>
        <v>500</v>
      </c>
      <c r="AF122" s="2">
        <f t="shared" si="18"/>
        <v>0</v>
      </c>
      <c r="AG122" s="2">
        <f>IF(VLOOKUP(R122,'VNET-XF-2105'!$B$12:$D$145,3,0)&gt;=P122,P122,VLOOKUP(R122,'VNET-XF-2105'!$B$12:$D$145,3,0))</f>
        <v>495</v>
      </c>
      <c r="AH122" s="2"/>
      <c r="AI122" s="2"/>
      <c r="AJ122" s="2">
        <f t="shared" si="17"/>
        <v>5</v>
      </c>
    </row>
    <row r="123" spans="1:36" ht="120" x14ac:dyDescent="0.25">
      <c r="A123" s="1">
        <f t="shared" si="11"/>
        <v>117</v>
      </c>
      <c r="B123" s="1" t="str">
        <f t="shared" si="12"/>
        <v>RC0402FR-0747KL</v>
      </c>
      <c r="C123" s="1" t="s">
        <v>21</v>
      </c>
      <c r="D123" s="7" t="str">
        <f t="shared" si="13"/>
        <v>Board RK3562</v>
      </c>
      <c r="E123" s="7" t="str">
        <f t="shared" si="14"/>
        <v>Gerber_CAMBOX_RK3562_lot500_2505</v>
      </c>
      <c r="F123" s="7" t="str">
        <f t="shared" si="15"/>
        <v>BOM_CameraBox_2026-04-14 2205</v>
      </c>
      <c r="G123" s="1" t="s">
        <v>612</v>
      </c>
      <c r="H123" s="1" t="s">
        <v>147</v>
      </c>
      <c r="I123" s="1" t="s">
        <v>363</v>
      </c>
      <c r="J123" s="17" t="s">
        <v>387</v>
      </c>
      <c r="K123" s="1" t="s">
        <v>8</v>
      </c>
      <c r="L123" s="1" t="s">
        <v>28</v>
      </c>
      <c r="M123" s="1" t="s">
        <v>44</v>
      </c>
      <c r="N123" s="1">
        <v>16</v>
      </c>
      <c r="O123" s="7">
        <f t="shared" si="16"/>
        <v>500</v>
      </c>
      <c r="P123" s="7">
        <f t="shared" si="19"/>
        <v>8000</v>
      </c>
      <c r="Q123" s="20" t="s">
        <v>433</v>
      </c>
      <c r="R123" s="20" t="s">
        <v>523</v>
      </c>
      <c r="S123" s="1"/>
      <c r="T123" s="1"/>
      <c r="U123" s="1" t="s">
        <v>38</v>
      </c>
      <c r="V123" s="1" t="s">
        <v>551</v>
      </c>
      <c r="W123" s="1" t="s">
        <v>550</v>
      </c>
      <c r="X123" s="1" t="s">
        <v>37</v>
      </c>
      <c r="Y123" s="1" t="s">
        <v>31</v>
      </c>
      <c r="Z123" s="1"/>
      <c r="AA123" s="1" t="s">
        <v>24</v>
      </c>
      <c r="AB123" s="2"/>
      <c r="AC123" s="1"/>
      <c r="AD123" s="2"/>
      <c r="AE123" s="2">
        <f>VLOOKUP(R123,'[1]VNSH03 gia thanh sx '!$F$6:$G$171,2,0)</f>
        <v>9500</v>
      </c>
      <c r="AF123" s="2">
        <f t="shared" si="18"/>
        <v>-1500</v>
      </c>
      <c r="AG123" s="2">
        <f>IF(VLOOKUP(R123,'VNET-XF-2105'!$B$12:$D$145,3,0)&gt;=P123,P123,VLOOKUP(R123,'VNET-XF-2105'!$B$12:$D$145,3,0))</f>
        <v>8000</v>
      </c>
      <c r="AH123" s="2">
        <f>IF(VLOOKUP(R123,'VNET-XF_dự kiến lần 2'!$B$2:$D$42,3,0)&gt;=(P123-AG123),(P123-AG123),VLOOKUP(R123,'VNET-XF_dự kiến lần 2'!$B$2:$D$42,3,0))</f>
        <v>0</v>
      </c>
      <c r="AI123" s="2"/>
      <c r="AJ123" s="2">
        <f t="shared" si="17"/>
        <v>0</v>
      </c>
    </row>
    <row r="124" spans="1:36" ht="60" x14ac:dyDescent="0.25">
      <c r="A124" s="1">
        <f t="shared" si="11"/>
        <v>118</v>
      </c>
      <c r="B124" s="1" t="str">
        <f t="shared" si="12"/>
        <v>RC0402FR-071K5L</v>
      </c>
      <c r="C124" s="1" t="s">
        <v>21</v>
      </c>
      <c r="D124" s="7" t="str">
        <f t="shared" si="13"/>
        <v>Board RK3562</v>
      </c>
      <c r="E124" s="7" t="str">
        <f t="shared" si="14"/>
        <v>Gerber_CAMBOX_RK3562_lot500_2505</v>
      </c>
      <c r="F124" s="7" t="str">
        <f t="shared" si="15"/>
        <v>BOM_CameraBox_2026-04-14 2205</v>
      </c>
      <c r="G124" s="1" t="s">
        <v>613</v>
      </c>
      <c r="H124" s="1" t="s">
        <v>147</v>
      </c>
      <c r="I124" s="1" t="s">
        <v>647</v>
      </c>
      <c r="J124" s="17" t="s">
        <v>387</v>
      </c>
      <c r="K124" s="1" t="s">
        <v>8</v>
      </c>
      <c r="L124" s="1" t="s">
        <v>28</v>
      </c>
      <c r="M124" s="1" t="s">
        <v>44</v>
      </c>
      <c r="N124" s="1">
        <v>1</v>
      </c>
      <c r="O124" s="7">
        <f t="shared" si="16"/>
        <v>500</v>
      </c>
      <c r="P124" s="7">
        <f t="shared" si="19"/>
        <v>500</v>
      </c>
      <c r="Q124" s="20" t="s">
        <v>433</v>
      </c>
      <c r="R124" s="20" t="s">
        <v>698</v>
      </c>
      <c r="S124" s="1"/>
      <c r="T124" s="1"/>
      <c r="U124" s="1" t="s">
        <v>38</v>
      </c>
      <c r="V124" s="1" t="s">
        <v>551</v>
      </c>
      <c r="W124" s="1" t="s">
        <v>550</v>
      </c>
      <c r="X124" s="1" t="s">
        <v>37</v>
      </c>
      <c r="Y124" s="1" t="s">
        <v>31</v>
      </c>
      <c r="Z124" s="1"/>
      <c r="AA124" s="1" t="s">
        <v>24</v>
      </c>
      <c r="AB124" s="2"/>
      <c r="AC124" s="1"/>
      <c r="AD124" s="2"/>
      <c r="AE124" s="2">
        <f>VLOOKUP(R124,'[1]VNSH03 gia thanh sx '!$F$6:$G$171,2,0)</f>
        <v>500</v>
      </c>
      <c r="AF124" s="2">
        <f t="shared" si="18"/>
        <v>0</v>
      </c>
      <c r="AG124" s="2">
        <f>IF(VLOOKUP(R124,'VNET-XF-2105'!$B$12:$D$145,3,0)&gt;=P124,P124,VLOOKUP(R124,'VNET-XF-2105'!$B$12:$D$145,3,0))</f>
        <v>495</v>
      </c>
      <c r="AH124" s="2"/>
      <c r="AI124" s="2"/>
      <c r="AJ124" s="2">
        <f t="shared" si="17"/>
        <v>5</v>
      </c>
    </row>
    <row r="125" spans="1:36" ht="60" x14ac:dyDescent="0.25">
      <c r="A125" s="1">
        <f t="shared" si="11"/>
        <v>119</v>
      </c>
      <c r="B125" s="1" t="str">
        <f t="shared" si="12"/>
        <v>RC0402FR-072K49L</v>
      </c>
      <c r="C125" s="1" t="s">
        <v>21</v>
      </c>
      <c r="D125" s="7" t="str">
        <f t="shared" si="13"/>
        <v>Board RK3562</v>
      </c>
      <c r="E125" s="7" t="str">
        <f t="shared" si="14"/>
        <v>Gerber_CAMBOX_RK3562_lot500_2505</v>
      </c>
      <c r="F125" s="7" t="str">
        <f t="shared" si="15"/>
        <v>BOM_CameraBox_2026-04-14 2205</v>
      </c>
      <c r="G125" s="1" t="s">
        <v>614</v>
      </c>
      <c r="H125" s="1" t="s">
        <v>147</v>
      </c>
      <c r="I125" s="1" t="s">
        <v>648</v>
      </c>
      <c r="J125" s="17" t="s">
        <v>387</v>
      </c>
      <c r="K125" s="1" t="s">
        <v>8</v>
      </c>
      <c r="L125" s="1" t="s">
        <v>28</v>
      </c>
      <c r="M125" s="1" t="s">
        <v>44</v>
      </c>
      <c r="N125" s="1">
        <v>1</v>
      </c>
      <c r="O125" s="7">
        <f t="shared" si="16"/>
        <v>500</v>
      </c>
      <c r="P125" s="7">
        <f t="shared" si="19"/>
        <v>500</v>
      </c>
      <c r="Q125" s="20" t="s">
        <v>433</v>
      </c>
      <c r="R125" s="20" t="s">
        <v>699</v>
      </c>
      <c r="S125" s="1"/>
      <c r="T125" s="1"/>
      <c r="U125" s="1" t="s">
        <v>38</v>
      </c>
      <c r="V125" s="1" t="s">
        <v>551</v>
      </c>
      <c r="W125" s="1" t="s">
        <v>550</v>
      </c>
      <c r="X125" s="1" t="s">
        <v>37</v>
      </c>
      <c r="Y125" s="1" t="s">
        <v>31</v>
      </c>
      <c r="Z125" s="1"/>
      <c r="AA125" s="1" t="s">
        <v>24</v>
      </c>
      <c r="AB125" s="2"/>
      <c r="AC125" s="1"/>
      <c r="AD125" s="2"/>
      <c r="AE125" s="2">
        <f>VLOOKUP(R125,'[1]VNSH03 gia thanh sx '!$F$6:$G$171,2,0)</f>
        <v>500</v>
      </c>
      <c r="AF125" s="2">
        <f t="shared" si="18"/>
        <v>0</v>
      </c>
      <c r="AG125" s="2">
        <f>IF(VLOOKUP(R125,'VNET-XF-2105'!$B$12:$D$145,3,0)&gt;=P125,P125,VLOOKUP(R125,'VNET-XF-2105'!$B$12:$D$145,3,0))</f>
        <v>495</v>
      </c>
      <c r="AH125" s="2"/>
      <c r="AI125" s="2"/>
      <c r="AJ125" s="2">
        <f t="shared" si="17"/>
        <v>5</v>
      </c>
    </row>
    <row r="126" spans="1:36" ht="60" x14ac:dyDescent="0.25">
      <c r="A126" s="1">
        <f t="shared" si="11"/>
        <v>120</v>
      </c>
      <c r="B126" s="1" t="str">
        <f t="shared" si="12"/>
        <v>RC0402FR-075K6L</v>
      </c>
      <c r="C126" s="1" t="s">
        <v>21</v>
      </c>
      <c r="D126" s="7" t="str">
        <f t="shared" si="13"/>
        <v>Board RK3562</v>
      </c>
      <c r="E126" s="7" t="str">
        <f t="shared" si="14"/>
        <v>Gerber_CAMBOX_RK3562_lot500_2505</v>
      </c>
      <c r="F126" s="7" t="str">
        <f t="shared" si="15"/>
        <v>BOM_CameraBox_2026-04-14 2205</v>
      </c>
      <c r="G126" s="1" t="s">
        <v>615</v>
      </c>
      <c r="H126" s="1" t="s">
        <v>147</v>
      </c>
      <c r="I126" s="1" t="s">
        <v>649</v>
      </c>
      <c r="J126" s="17" t="s">
        <v>387</v>
      </c>
      <c r="K126" s="1" t="s">
        <v>8</v>
      </c>
      <c r="L126" s="1" t="s">
        <v>28</v>
      </c>
      <c r="M126" s="1" t="s">
        <v>44</v>
      </c>
      <c r="N126" s="1">
        <v>1</v>
      </c>
      <c r="O126" s="7">
        <f t="shared" si="16"/>
        <v>500</v>
      </c>
      <c r="P126" s="7">
        <f t="shared" si="19"/>
        <v>500</v>
      </c>
      <c r="Q126" s="20" t="s">
        <v>433</v>
      </c>
      <c r="R126" s="20" t="s">
        <v>700</v>
      </c>
      <c r="S126" s="1"/>
      <c r="T126" s="1"/>
      <c r="U126" s="1" t="s">
        <v>38</v>
      </c>
      <c r="V126" s="1" t="s">
        <v>551</v>
      </c>
      <c r="W126" s="1" t="s">
        <v>550</v>
      </c>
      <c r="X126" s="1" t="s">
        <v>37</v>
      </c>
      <c r="Y126" s="1" t="s">
        <v>31</v>
      </c>
      <c r="Z126" s="1"/>
      <c r="AA126" s="1" t="s">
        <v>24</v>
      </c>
      <c r="AB126" s="2"/>
      <c r="AC126" s="1"/>
      <c r="AD126" s="2"/>
      <c r="AE126" s="2">
        <f>VLOOKUP(R126,'[1]VNSH03 gia thanh sx '!$F$6:$G$171,2,0)</f>
        <v>500</v>
      </c>
      <c r="AF126" s="2">
        <f t="shared" si="18"/>
        <v>0</v>
      </c>
      <c r="AG126" s="2">
        <f>IF(VLOOKUP(R126,'VNET-XF-2105'!$B$12:$D$145,3,0)&gt;=P126,P126,VLOOKUP(R126,'VNET-XF-2105'!$B$12:$D$145,3,0))</f>
        <v>495</v>
      </c>
      <c r="AH126" s="2"/>
      <c r="AI126" s="2"/>
      <c r="AJ126" s="2">
        <f t="shared" si="17"/>
        <v>5</v>
      </c>
    </row>
    <row r="127" spans="1:36" ht="60" x14ac:dyDescent="0.25">
      <c r="A127" s="1">
        <f t="shared" si="11"/>
        <v>121</v>
      </c>
      <c r="B127" s="1" t="str">
        <f t="shared" si="12"/>
        <v>AC0402FR-07590KL</v>
      </c>
      <c r="C127" s="1" t="s">
        <v>21</v>
      </c>
      <c r="D127" s="7" t="str">
        <f t="shared" si="13"/>
        <v>Board RK3562</v>
      </c>
      <c r="E127" s="7" t="str">
        <f t="shared" si="14"/>
        <v>Gerber_CAMBOX_RK3562_lot500_2505</v>
      </c>
      <c r="F127" s="7" t="str">
        <f t="shared" si="15"/>
        <v>BOM_CameraBox_2026-04-14 2205</v>
      </c>
      <c r="G127" s="1" t="s">
        <v>251</v>
      </c>
      <c r="H127" s="1" t="s">
        <v>147</v>
      </c>
      <c r="I127" s="1" t="s">
        <v>364</v>
      </c>
      <c r="J127" s="17" t="s">
        <v>387</v>
      </c>
      <c r="K127" s="1" t="s">
        <v>8</v>
      </c>
      <c r="L127" s="1" t="s">
        <v>28</v>
      </c>
      <c r="M127" s="1" t="s">
        <v>44</v>
      </c>
      <c r="N127" s="1">
        <v>1</v>
      </c>
      <c r="O127" s="7">
        <f t="shared" si="16"/>
        <v>500</v>
      </c>
      <c r="P127" s="7">
        <f t="shared" si="19"/>
        <v>500</v>
      </c>
      <c r="Q127" s="20" t="s">
        <v>433</v>
      </c>
      <c r="R127" s="20" t="s">
        <v>524</v>
      </c>
      <c r="S127" s="1"/>
      <c r="T127" s="1"/>
      <c r="U127" s="1" t="s">
        <v>38</v>
      </c>
      <c r="V127" s="1" t="s">
        <v>551</v>
      </c>
      <c r="W127" s="1" t="s">
        <v>550</v>
      </c>
      <c r="X127" s="1" t="s">
        <v>37</v>
      </c>
      <c r="Y127" s="1" t="s">
        <v>31</v>
      </c>
      <c r="Z127" s="1"/>
      <c r="AA127" s="1" t="s">
        <v>24</v>
      </c>
      <c r="AB127" s="2"/>
      <c r="AC127" s="1"/>
      <c r="AD127" s="2"/>
      <c r="AE127" s="2">
        <f>VLOOKUP(R127,'[1]VNSH03 gia thanh sx '!$F$6:$G$171,2,0)</f>
        <v>500</v>
      </c>
      <c r="AF127" s="2">
        <f t="shared" si="18"/>
        <v>0</v>
      </c>
      <c r="AG127" s="2">
        <f>IF(VLOOKUP(R127,'VNET-XF-2105'!$B$12:$D$145,3,0)&gt;=P127,P127,VLOOKUP(R127,'VNET-XF-2105'!$B$12:$D$145,3,0))</f>
        <v>495</v>
      </c>
      <c r="AH127" s="2"/>
      <c r="AI127" s="2"/>
      <c r="AJ127" s="2">
        <f t="shared" si="17"/>
        <v>5</v>
      </c>
    </row>
    <row r="128" spans="1:36" ht="60" x14ac:dyDescent="0.25">
      <c r="A128" s="1">
        <f t="shared" si="11"/>
        <v>122</v>
      </c>
      <c r="B128" s="1" t="str">
        <f t="shared" si="12"/>
        <v>RC0402FR-073K3L</v>
      </c>
      <c r="C128" s="1" t="s">
        <v>21</v>
      </c>
      <c r="D128" s="7" t="str">
        <f t="shared" si="13"/>
        <v>Board RK3562</v>
      </c>
      <c r="E128" s="7" t="str">
        <f t="shared" si="14"/>
        <v>Gerber_CAMBOX_RK3562_lot500_2505</v>
      </c>
      <c r="F128" s="7" t="str">
        <f t="shared" si="15"/>
        <v>BOM_CameraBox_2026-04-14 2205</v>
      </c>
      <c r="G128" s="1" t="s">
        <v>267</v>
      </c>
      <c r="H128" s="1" t="s">
        <v>147</v>
      </c>
      <c r="I128" s="1" t="s">
        <v>380</v>
      </c>
      <c r="J128" s="17" t="s">
        <v>387</v>
      </c>
      <c r="K128" s="1" t="s">
        <v>8</v>
      </c>
      <c r="L128" s="1" t="s">
        <v>28</v>
      </c>
      <c r="M128" s="1" t="s">
        <v>44</v>
      </c>
      <c r="N128" s="1">
        <v>1</v>
      </c>
      <c r="O128" s="7">
        <f t="shared" si="16"/>
        <v>500</v>
      </c>
      <c r="P128" s="7">
        <f t="shared" si="19"/>
        <v>500</v>
      </c>
      <c r="Q128" s="20" t="s">
        <v>433</v>
      </c>
      <c r="R128" s="20" t="s">
        <v>542</v>
      </c>
      <c r="S128" s="1"/>
      <c r="T128" s="1"/>
      <c r="U128" s="1" t="s">
        <v>38</v>
      </c>
      <c r="V128" s="1" t="s">
        <v>551</v>
      </c>
      <c r="W128" s="1" t="s">
        <v>550</v>
      </c>
      <c r="X128" s="1" t="s">
        <v>37</v>
      </c>
      <c r="Y128" s="1" t="s">
        <v>31</v>
      </c>
      <c r="Z128" s="1"/>
      <c r="AA128" s="1" t="s">
        <v>24</v>
      </c>
      <c r="AB128" s="2"/>
      <c r="AC128" s="1"/>
      <c r="AD128" s="2"/>
      <c r="AE128" s="2">
        <f>VLOOKUP(R128,'[1]VNSH03 gia thanh sx '!$F$6:$G$171,2,0)</f>
        <v>500</v>
      </c>
      <c r="AF128" s="2">
        <f t="shared" si="18"/>
        <v>0</v>
      </c>
      <c r="AG128" s="2">
        <f>IF(VLOOKUP(R128,'VNET-XF-2105'!$B$12:$D$145,3,0)&gt;=P128,P128,VLOOKUP(R128,'VNET-XF-2105'!$B$12:$D$145,3,0))</f>
        <v>495</v>
      </c>
      <c r="AH128" s="2"/>
      <c r="AI128" s="2"/>
      <c r="AJ128" s="2">
        <f t="shared" si="17"/>
        <v>5</v>
      </c>
    </row>
    <row r="129" spans="1:36" ht="60" x14ac:dyDescent="0.25">
      <c r="A129" s="1">
        <f t="shared" si="11"/>
        <v>123</v>
      </c>
      <c r="B129" s="1" t="str">
        <f t="shared" si="12"/>
        <v>RC0402FR-07470RL</v>
      </c>
      <c r="C129" s="1" t="s">
        <v>21</v>
      </c>
      <c r="D129" s="7" t="str">
        <f t="shared" si="13"/>
        <v>Board RK3562</v>
      </c>
      <c r="E129" s="7" t="str">
        <f t="shared" si="14"/>
        <v>Gerber_CAMBOX_RK3562_lot500_2505</v>
      </c>
      <c r="F129" s="7" t="str">
        <f t="shared" si="15"/>
        <v>BOM_CameraBox_2026-04-14 2205</v>
      </c>
      <c r="G129" s="1" t="s">
        <v>616</v>
      </c>
      <c r="H129" s="1" t="s">
        <v>147</v>
      </c>
      <c r="I129" s="1" t="s">
        <v>381</v>
      </c>
      <c r="J129" s="17" t="s">
        <v>387</v>
      </c>
      <c r="K129" s="1" t="s">
        <v>8</v>
      </c>
      <c r="L129" s="1" t="s">
        <v>28</v>
      </c>
      <c r="M129" s="1" t="s">
        <v>44</v>
      </c>
      <c r="N129" s="1">
        <v>1</v>
      </c>
      <c r="O129" s="7">
        <f t="shared" si="16"/>
        <v>500</v>
      </c>
      <c r="P129" s="7">
        <f t="shared" si="19"/>
        <v>500</v>
      </c>
      <c r="Q129" s="20" t="s">
        <v>433</v>
      </c>
      <c r="R129" s="20" t="s">
        <v>543</v>
      </c>
      <c r="S129" s="1"/>
      <c r="T129" s="1"/>
      <c r="U129" s="1" t="s">
        <v>38</v>
      </c>
      <c r="V129" s="1" t="s">
        <v>551</v>
      </c>
      <c r="W129" s="1" t="s">
        <v>550</v>
      </c>
      <c r="X129" s="1" t="s">
        <v>37</v>
      </c>
      <c r="Y129" s="1" t="s">
        <v>31</v>
      </c>
      <c r="Z129" s="1"/>
      <c r="AA129" s="1" t="s">
        <v>24</v>
      </c>
      <c r="AB129" s="2"/>
      <c r="AC129" s="1"/>
      <c r="AD129" s="2"/>
      <c r="AE129" s="2">
        <f>VLOOKUP(R129,'[1]VNSH03 gia thanh sx '!$F$6:$G$171,2,0)</f>
        <v>500</v>
      </c>
      <c r="AF129" s="2">
        <f t="shared" si="18"/>
        <v>0</v>
      </c>
      <c r="AG129" s="2">
        <f>IF(VLOOKUP(R129,'VNET-XF-2105'!$B$12:$D$145,3,0)&gt;=P129,P129,VLOOKUP(R129,'VNET-XF-2105'!$B$12:$D$145,3,0))</f>
        <v>495</v>
      </c>
      <c r="AH129" s="2"/>
      <c r="AI129" s="2"/>
      <c r="AJ129" s="2">
        <f t="shared" si="17"/>
        <v>5</v>
      </c>
    </row>
    <row r="130" spans="1:36" ht="60" x14ac:dyDescent="0.25">
      <c r="A130" s="1">
        <f t="shared" si="11"/>
        <v>124</v>
      </c>
      <c r="B130" s="1" t="str">
        <f t="shared" si="12"/>
        <v>RI0603L1002FT</v>
      </c>
      <c r="C130" s="1" t="s">
        <v>21</v>
      </c>
      <c r="D130" s="7" t="str">
        <f t="shared" si="13"/>
        <v>Board RK3562</v>
      </c>
      <c r="E130" s="7" t="str">
        <f t="shared" si="14"/>
        <v>Gerber_CAMBOX_RK3562_lot500_2505</v>
      </c>
      <c r="F130" s="7" t="str">
        <f t="shared" si="15"/>
        <v>BOM_CameraBox_2026-04-14 2205</v>
      </c>
      <c r="G130" s="1" t="s">
        <v>617</v>
      </c>
      <c r="H130" s="1" t="s">
        <v>147</v>
      </c>
      <c r="I130" s="1" t="s">
        <v>360</v>
      </c>
      <c r="J130" s="17" t="s">
        <v>386</v>
      </c>
      <c r="K130" s="1" t="s">
        <v>8</v>
      </c>
      <c r="L130" s="1" t="s">
        <v>28</v>
      </c>
      <c r="M130" s="1" t="s">
        <v>44</v>
      </c>
      <c r="N130" s="1">
        <v>1</v>
      </c>
      <c r="O130" s="7">
        <f t="shared" si="16"/>
        <v>500</v>
      </c>
      <c r="P130" s="7">
        <f t="shared" si="19"/>
        <v>500</v>
      </c>
      <c r="Q130" s="20" t="s">
        <v>401</v>
      </c>
      <c r="R130" s="20" t="s">
        <v>701</v>
      </c>
      <c r="S130" s="1"/>
      <c r="T130" s="1"/>
      <c r="U130" s="1" t="s">
        <v>38</v>
      </c>
      <c r="V130" s="1" t="s">
        <v>551</v>
      </c>
      <c r="W130" s="1" t="s">
        <v>550</v>
      </c>
      <c r="X130" s="1" t="s">
        <v>37</v>
      </c>
      <c r="Y130" s="1" t="s">
        <v>31</v>
      </c>
      <c r="Z130" s="1"/>
      <c r="AA130" s="1" t="s">
        <v>24</v>
      </c>
      <c r="AB130" s="2"/>
      <c r="AC130" s="1"/>
      <c r="AD130" s="2"/>
      <c r="AE130" s="2">
        <f>VLOOKUP(R130,'[1]VNSH03 gia thanh sx '!$F$6:$G$171,2,0)</f>
        <v>500</v>
      </c>
      <c r="AF130" s="2">
        <f t="shared" si="18"/>
        <v>0</v>
      </c>
      <c r="AG130" s="2">
        <f>IF(VLOOKUP(R130,'VNET-XF-2105'!$B$12:$D$145,3,0)&gt;=P130,P130,VLOOKUP(R130,'VNET-XF-2105'!$B$12:$D$145,3,0))</f>
        <v>500</v>
      </c>
      <c r="AH130" s="2">
        <f>IF(VLOOKUP(R130,'VNET-XF_dự kiến lần 2'!$B$2:$D$42,3,0)&gt;=(P130-AG130),(P130-AG130),VLOOKUP(R130,'VNET-XF_dự kiến lần 2'!$B$2:$D$42,3,0))</f>
        <v>0</v>
      </c>
      <c r="AI130" s="2"/>
      <c r="AJ130" s="2">
        <f t="shared" si="17"/>
        <v>0</v>
      </c>
    </row>
    <row r="131" spans="1:36" ht="60" x14ac:dyDescent="0.25">
      <c r="A131" s="1">
        <f t="shared" si="11"/>
        <v>125</v>
      </c>
      <c r="B131" s="1" t="str">
        <f t="shared" si="12"/>
        <v>AC0402FR-07226KL</v>
      </c>
      <c r="C131" s="1" t="s">
        <v>21</v>
      </c>
      <c r="D131" s="7" t="str">
        <f t="shared" si="13"/>
        <v>Board RK3562</v>
      </c>
      <c r="E131" s="7" t="str">
        <f t="shared" si="14"/>
        <v>Gerber_CAMBOX_RK3562_lot500_2505</v>
      </c>
      <c r="F131" s="7" t="str">
        <f t="shared" si="15"/>
        <v>BOM_CameraBox_2026-04-14 2205</v>
      </c>
      <c r="G131" s="1" t="s">
        <v>270</v>
      </c>
      <c r="H131" s="1" t="s">
        <v>147</v>
      </c>
      <c r="I131" s="1" t="s">
        <v>384</v>
      </c>
      <c r="J131" s="17" t="s">
        <v>387</v>
      </c>
      <c r="K131" s="1" t="s">
        <v>8</v>
      </c>
      <c r="L131" s="1" t="s">
        <v>28</v>
      </c>
      <c r="M131" s="1" t="s">
        <v>44</v>
      </c>
      <c r="N131" s="1">
        <v>1</v>
      </c>
      <c r="O131" s="7">
        <f t="shared" si="16"/>
        <v>500</v>
      </c>
      <c r="P131" s="7">
        <f t="shared" si="19"/>
        <v>500</v>
      </c>
      <c r="Q131" s="20" t="s">
        <v>433</v>
      </c>
      <c r="R131" s="20" t="s">
        <v>546</v>
      </c>
      <c r="S131" s="1"/>
      <c r="T131" s="1"/>
      <c r="U131" s="1" t="s">
        <v>38</v>
      </c>
      <c r="V131" s="1" t="s">
        <v>551</v>
      </c>
      <c r="W131" s="1" t="s">
        <v>550</v>
      </c>
      <c r="X131" s="1" t="s">
        <v>37</v>
      </c>
      <c r="Y131" s="1" t="s">
        <v>31</v>
      </c>
      <c r="Z131" s="1"/>
      <c r="AA131" s="1" t="s">
        <v>24</v>
      </c>
      <c r="AB131" s="2"/>
      <c r="AC131" s="1"/>
      <c r="AD131" s="2"/>
      <c r="AE131" s="2">
        <f>VLOOKUP(R131,'[1]VNSH03 gia thanh sx '!$F$6:$G$171,2,0)</f>
        <v>500</v>
      </c>
      <c r="AF131" s="2">
        <f t="shared" si="18"/>
        <v>0</v>
      </c>
      <c r="AG131" s="2">
        <f>IF(VLOOKUP(R131,'VNET-XF-2105'!$B$12:$D$145,3,0)&gt;=P131,P131,VLOOKUP(R131,'VNET-XF-2105'!$B$12:$D$145,3,0))</f>
        <v>495</v>
      </c>
      <c r="AH131" s="2"/>
      <c r="AI131" s="2"/>
      <c r="AJ131" s="2">
        <f t="shared" si="17"/>
        <v>5</v>
      </c>
    </row>
    <row r="132" spans="1:36" ht="60" x14ac:dyDescent="0.25">
      <c r="A132" s="1">
        <f t="shared" si="11"/>
        <v>126</v>
      </c>
      <c r="B132" s="1" t="str">
        <f t="shared" si="12"/>
        <v>RC0402FR-07357KL</v>
      </c>
      <c r="C132" s="1" t="s">
        <v>21</v>
      </c>
      <c r="D132" s="7" t="str">
        <f t="shared" si="13"/>
        <v>Board RK3562</v>
      </c>
      <c r="E132" s="7" t="str">
        <f t="shared" si="14"/>
        <v>Gerber_CAMBOX_RK3562_lot500_2505</v>
      </c>
      <c r="F132" s="7" t="str">
        <f t="shared" si="15"/>
        <v>BOM_CameraBox_2026-04-14 2205</v>
      </c>
      <c r="G132" s="1" t="s">
        <v>263</v>
      </c>
      <c r="H132" s="1" t="s">
        <v>147</v>
      </c>
      <c r="I132" s="1" t="s">
        <v>650</v>
      </c>
      <c r="J132" s="17" t="s">
        <v>387</v>
      </c>
      <c r="K132" s="1" t="s">
        <v>8</v>
      </c>
      <c r="L132" s="1" t="s">
        <v>28</v>
      </c>
      <c r="M132" s="1" t="s">
        <v>44</v>
      </c>
      <c r="N132" s="1">
        <v>1</v>
      </c>
      <c r="O132" s="7">
        <f t="shared" si="16"/>
        <v>500</v>
      </c>
      <c r="P132" s="7">
        <f t="shared" si="19"/>
        <v>500</v>
      </c>
      <c r="Q132" s="20" t="s">
        <v>433</v>
      </c>
      <c r="R132" s="20" t="s">
        <v>537</v>
      </c>
      <c r="S132" s="1"/>
      <c r="T132" s="1"/>
      <c r="U132" s="1" t="s">
        <v>38</v>
      </c>
      <c r="V132" s="1" t="s">
        <v>551</v>
      </c>
      <c r="W132" s="1" t="s">
        <v>550</v>
      </c>
      <c r="X132" s="1" t="s">
        <v>37</v>
      </c>
      <c r="Y132" s="1" t="s">
        <v>31</v>
      </c>
      <c r="Z132" s="1"/>
      <c r="AA132" s="1" t="s">
        <v>24</v>
      </c>
      <c r="AB132" s="2"/>
      <c r="AC132" s="1"/>
      <c r="AD132" s="2"/>
      <c r="AE132" s="2">
        <f>VLOOKUP(R132,'[1]VNSH03 gia thanh sx '!$F$6:$G$171,2,0)</f>
        <v>500</v>
      </c>
      <c r="AF132" s="2">
        <f t="shared" si="18"/>
        <v>0</v>
      </c>
      <c r="AG132" s="2">
        <f>IF(VLOOKUP(R132,'VNET-XF-2105'!$B$12:$D$145,3,0)&gt;=P132,P132,VLOOKUP(R132,'VNET-XF-2105'!$B$12:$D$145,3,0))</f>
        <v>495</v>
      </c>
      <c r="AH132" s="2"/>
      <c r="AI132" s="2"/>
      <c r="AJ132" s="2">
        <f t="shared" si="17"/>
        <v>5</v>
      </c>
    </row>
    <row r="133" spans="1:36" ht="60" x14ac:dyDescent="0.25">
      <c r="A133" s="1">
        <f t="shared" si="11"/>
        <v>127</v>
      </c>
      <c r="B133" s="1" t="str">
        <f t="shared" si="12"/>
        <v>RC0402DR-07118KL</v>
      </c>
      <c r="C133" s="1" t="s">
        <v>21</v>
      </c>
      <c r="D133" s="7" t="str">
        <f t="shared" si="13"/>
        <v>Board RK3562</v>
      </c>
      <c r="E133" s="7" t="str">
        <f t="shared" si="14"/>
        <v>Gerber_CAMBOX_RK3562_lot500_2505</v>
      </c>
      <c r="F133" s="7" t="str">
        <f t="shared" si="15"/>
        <v>BOM_CameraBox_2026-04-14 2205</v>
      </c>
      <c r="G133" s="1" t="s">
        <v>618</v>
      </c>
      <c r="H133" s="1" t="s">
        <v>147</v>
      </c>
      <c r="I133" s="1" t="s">
        <v>336</v>
      </c>
      <c r="J133" s="17" t="s">
        <v>387</v>
      </c>
      <c r="K133" s="1" t="s">
        <v>8</v>
      </c>
      <c r="L133" s="1" t="s">
        <v>28</v>
      </c>
      <c r="M133" s="1" t="s">
        <v>44</v>
      </c>
      <c r="N133" s="1">
        <v>1</v>
      </c>
      <c r="O133" s="7">
        <f t="shared" si="16"/>
        <v>500</v>
      </c>
      <c r="P133" s="7">
        <f t="shared" si="19"/>
        <v>500</v>
      </c>
      <c r="Q133" s="20" t="s">
        <v>433</v>
      </c>
      <c r="R133" s="20" t="s">
        <v>493</v>
      </c>
      <c r="S133" s="1"/>
      <c r="T133" s="1"/>
      <c r="U133" s="1" t="s">
        <v>38</v>
      </c>
      <c r="V133" s="1" t="s">
        <v>551</v>
      </c>
      <c r="W133" s="1" t="s">
        <v>550</v>
      </c>
      <c r="X133" s="1" t="s">
        <v>37</v>
      </c>
      <c r="Y133" s="1" t="s">
        <v>31</v>
      </c>
      <c r="Z133" s="1"/>
      <c r="AA133" s="1" t="s">
        <v>24</v>
      </c>
      <c r="AB133" s="2"/>
      <c r="AC133" s="1"/>
      <c r="AD133" s="2"/>
      <c r="AE133" s="2">
        <f>VLOOKUP(R133,'[1]VNSH03 gia thanh sx '!$F$6:$G$171,2,0)</f>
        <v>500</v>
      </c>
      <c r="AF133" s="2">
        <f t="shared" si="18"/>
        <v>0</v>
      </c>
      <c r="AG133" s="2">
        <f>IF(VLOOKUP(R133,'VNET-XF-2105'!$B$12:$D$145,3,0)&gt;=P133,P133,VLOOKUP(R133,'VNET-XF-2105'!$B$12:$D$145,3,0))</f>
        <v>495</v>
      </c>
      <c r="AH133" s="2"/>
      <c r="AI133" s="2"/>
      <c r="AJ133" s="2">
        <f t="shared" si="17"/>
        <v>5</v>
      </c>
    </row>
    <row r="134" spans="1:36" ht="60" x14ac:dyDescent="0.25">
      <c r="A134" s="1">
        <f t="shared" si="11"/>
        <v>128</v>
      </c>
      <c r="B134" s="1" t="str">
        <f t="shared" si="12"/>
        <v>YAGEO RC0402FR-072R2L</v>
      </c>
      <c r="C134" s="1" t="s">
        <v>21</v>
      </c>
      <c r="D134" s="7" t="str">
        <f t="shared" si="13"/>
        <v>Board RK3562</v>
      </c>
      <c r="E134" s="7" t="str">
        <f t="shared" si="14"/>
        <v>Gerber_CAMBOX_RK3562_lot500_2505</v>
      </c>
      <c r="F134" s="7" t="str">
        <f t="shared" si="15"/>
        <v>BOM_CameraBox_2026-04-14 2205</v>
      </c>
      <c r="G134" s="1" t="s">
        <v>619</v>
      </c>
      <c r="H134" s="1" t="s">
        <v>147</v>
      </c>
      <c r="I134" s="1" t="s">
        <v>359</v>
      </c>
      <c r="J134" s="17" t="s">
        <v>387</v>
      </c>
      <c r="K134" s="1" t="s">
        <v>8</v>
      </c>
      <c r="L134" s="1" t="s">
        <v>28</v>
      </c>
      <c r="M134" s="1" t="s">
        <v>44</v>
      </c>
      <c r="N134" s="1">
        <v>3</v>
      </c>
      <c r="O134" s="7">
        <f t="shared" si="16"/>
        <v>500</v>
      </c>
      <c r="P134" s="7">
        <f t="shared" si="19"/>
        <v>1500</v>
      </c>
      <c r="Q134" s="20" t="s">
        <v>453</v>
      </c>
      <c r="R134" s="20" t="s">
        <v>520</v>
      </c>
      <c r="S134" s="1"/>
      <c r="T134" s="1"/>
      <c r="U134" s="1" t="s">
        <v>38</v>
      </c>
      <c r="V134" s="1" t="s">
        <v>551</v>
      </c>
      <c r="W134" s="1" t="s">
        <v>550</v>
      </c>
      <c r="X134" s="1" t="s">
        <v>37</v>
      </c>
      <c r="Y134" s="1" t="s">
        <v>31</v>
      </c>
      <c r="Z134" s="1"/>
      <c r="AA134" s="1" t="s">
        <v>24</v>
      </c>
      <c r="AB134" s="2"/>
      <c r="AC134" s="1" t="s">
        <v>725</v>
      </c>
      <c r="AD134" s="2"/>
      <c r="AE134" s="2">
        <f>VLOOKUP(R134,'[1]VNSH03 gia thanh sx '!$F$6:$G$171,2,0)</f>
        <v>1000</v>
      </c>
      <c r="AF134" s="2">
        <f t="shared" si="18"/>
        <v>500</v>
      </c>
      <c r="AG134" s="2"/>
      <c r="AH134" s="2"/>
      <c r="AI134" s="2"/>
      <c r="AJ134" s="2">
        <f t="shared" si="17"/>
        <v>1500</v>
      </c>
    </row>
    <row r="135" spans="1:36" ht="75" x14ac:dyDescent="0.25">
      <c r="A135" s="1">
        <f t="shared" si="11"/>
        <v>129</v>
      </c>
      <c r="B135" s="1" t="str">
        <f t="shared" si="12"/>
        <v>TS-1090S-AR02026</v>
      </c>
      <c r="C135" s="1" t="s">
        <v>21</v>
      </c>
      <c r="D135" s="7" t="str">
        <f t="shared" si="13"/>
        <v>Board RK3562</v>
      </c>
      <c r="E135" s="7" t="str">
        <f t="shared" si="14"/>
        <v>Gerber_CAMBOX_RK3562_lot500_2505</v>
      </c>
      <c r="F135" s="7" t="str">
        <f t="shared" si="15"/>
        <v>BOM_CameraBox_2026-04-14 2205</v>
      </c>
      <c r="G135" s="1" t="s">
        <v>620</v>
      </c>
      <c r="H135" s="1" t="s">
        <v>729</v>
      </c>
      <c r="I135" s="1" t="s">
        <v>325</v>
      </c>
      <c r="J135" s="1"/>
      <c r="K135" s="1" t="s">
        <v>8</v>
      </c>
      <c r="L135" s="1" t="s">
        <v>28</v>
      </c>
      <c r="M135" s="1" t="s">
        <v>44</v>
      </c>
      <c r="N135" s="1">
        <v>3</v>
      </c>
      <c r="O135" s="7">
        <f t="shared" si="16"/>
        <v>500</v>
      </c>
      <c r="P135" s="7">
        <f t="shared" ref="P135:P149" si="20">IF($N135="","",$N135*$O135)</f>
        <v>1500</v>
      </c>
      <c r="Q135" s="20" t="s">
        <v>476</v>
      </c>
      <c r="R135" s="20" t="s">
        <v>477</v>
      </c>
      <c r="S135" s="1"/>
      <c r="T135" s="1"/>
      <c r="U135" s="1" t="s">
        <v>38</v>
      </c>
      <c r="V135" s="1" t="s">
        <v>551</v>
      </c>
      <c r="W135" s="1" t="s">
        <v>550</v>
      </c>
      <c r="X135" s="1" t="s">
        <v>37</v>
      </c>
      <c r="Y135" s="1" t="s">
        <v>31</v>
      </c>
      <c r="Z135" s="1"/>
      <c r="AA135" s="1" t="s">
        <v>24</v>
      </c>
      <c r="AB135" s="2"/>
      <c r="AC135" s="1"/>
      <c r="AD135" s="2"/>
      <c r="AE135" s="2">
        <f>VLOOKUP(R135,'[1]VNSH03 gia thanh sx '!$F$6:$G$171,2,0)</f>
        <v>1340</v>
      </c>
      <c r="AF135" s="2">
        <f t="shared" si="18"/>
        <v>160</v>
      </c>
      <c r="AG135" s="2">
        <f>IF(VLOOKUP(R135,'VNET-XF-2105'!$B$12:$D$145,3,0)&gt;=P135,P135,VLOOKUP(R135,'VNET-XF-2105'!$B$12:$D$145,3,0))</f>
        <v>1325</v>
      </c>
      <c r="AH135" s="2">
        <f>IF(VLOOKUP(R135,'VNET-XF_dự kiến lần 2'!$B$2:$D$42,3,0)&gt;=(P135-AG135),(P135-AG135),VLOOKUP(R135,'VNET-XF_dự kiến lần 2'!$B$2:$D$42,3,0))</f>
        <v>160</v>
      </c>
      <c r="AI135" s="2"/>
      <c r="AJ135" s="2">
        <f t="shared" si="17"/>
        <v>15</v>
      </c>
    </row>
    <row r="136" spans="1:36" ht="60" x14ac:dyDescent="0.25">
      <c r="A136" s="1">
        <f t="shared" ref="A136:A149" si="21">ROW()-6</f>
        <v>130</v>
      </c>
      <c r="B136" s="1" t="str">
        <f t="shared" ref="B136:B149" si="22">R136</f>
        <v>TSB001A3518A</v>
      </c>
      <c r="C136" s="1" t="s">
        <v>21</v>
      </c>
      <c r="D136" s="7" t="str">
        <f t="shared" ref="D136:D149" si="23">$D$4</f>
        <v>Board RK3562</v>
      </c>
      <c r="E136" s="7" t="str">
        <f t="shared" ref="E136:E149" si="24">$J$2</f>
        <v>Gerber_CAMBOX_RK3562_lot500_2505</v>
      </c>
      <c r="F136" s="7" t="str">
        <f t="shared" ref="F136:F149" si="25">$J$3</f>
        <v>BOM_CameraBox_2026-04-14 2205</v>
      </c>
      <c r="G136" s="1" t="s">
        <v>621</v>
      </c>
      <c r="H136" s="1" t="s">
        <v>729</v>
      </c>
      <c r="I136" s="1" t="s">
        <v>651</v>
      </c>
      <c r="J136" s="1"/>
      <c r="K136" s="1" t="s">
        <v>8</v>
      </c>
      <c r="L136" s="1" t="s">
        <v>28</v>
      </c>
      <c r="M136" s="1" t="s">
        <v>44</v>
      </c>
      <c r="N136" s="1">
        <v>1</v>
      </c>
      <c r="O136" s="7">
        <f t="shared" ref="O136:O149" si="26">$J$4</f>
        <v>500</v>
      </c>
      <c r="P136" s="7">
        <f t="shared" si="20"/>
        <v>500</v>
      </c>
      <c r="Q136" s="20" t="s">
        <v>702</v>
      </c>
      <c r="R136" s="20" t="s">
        <v>703</v>
      </c>
      <c r="S136" s="1"/>
      <c r="T136" s="1"/>
      <c r="U136" s="1" t="s">
        <v>38</v>
      </c>
      <c r="V136" s="1" t="s">
        <v>551</v>
      </c>
      <c r="W136" s="1" t="s">
        <v>550</v>
      </c>
      <c r="X136" s="1" t="s">
        <v>37</v>
      </c>
      <c r="Y136" s="1" t="s">
        <v>31</v>
      </c>
      <c r="Z136" s="1"/>
      <c r="AA136" s="1" t="s">
        <v>24</v>
      </c>
      <c r="AB136" s="2"/>
      <c r="AC136" s="1"/>
      <c r="AD136" s="2"/>
      <c r="AE136" s="2">
        <f>VLOOKUP(R136,'[1]VNSH03 gia thanh sx '!$F$6:$G$171,2,0)</f>
        <v>500</v>
      </c>
      <c r="AF136" s="2">
        <f t="shared" si="18"/>
        <v>0</v>
      </c>
      <c r="AG136" s="2">
        <f>IF(VLOOKUP(R136,'VNET-XF-2105'!$B$12:$D$145,3,0)&gt;=P136,P136,VLOOKUP(R136,'VNET-XF-2105'!$B$12:$D$145,3,0))</f>
        <v>495</v>
      </c>
      <c r="AH136" s="2"/>
      <c r="AI136" s="2"/>
      <c r="AJ136" s="2">
        <f t="shared" ref="AJ136:AJ149" si="27">P136-SUM(AG136:AI136)</f>
        <v>5</v>
      </c>
    </row>
    <row r="137" spans="1:36" ht="60" x14ac:dyDescent="0.25">
      <c r="A137" s="1">
        <f t="shared" si="21"/>
        <v>131</v>
      </c>
      <c r="B137" s="1" t="str">
        <f t="shared" si="22"/>
        <v>CMFA 103F3435</v>
      </c>
      <c r="C137" s="1" t="s">
        <v>21</v>
      </c>
      <c r="D137" s="7" t="str">
        <f t="shared" si="23"/>
        <v>Board RK3562</v>
      </c>
      <c r="E137" s="7" t="str">
        <f t="shared" si="24"/>
        <v>Gerber_CAMBOX_RK3562_lot500_2505</v>
      </c>
      <c r="F137" s="7" t="str">
        <f t="shared" si="25"/>
        <v>BOM_CameraBox_2026-04-14 2205</v>
      </c>
      <c r="G137" s="1" t="s">
        <v>232</v>
      </c>
      <c r="H137" s="1" t="s">
        <v>326</v>
      </c>
      <c r="I137" s="1" t="s">
        <v>327</v>
      </c>
      <c r="J137" s="17" t="s">
        <v>386</v>
      </c>
      <c r="K137" s="1" t="s">
        <v>8</v>
      </c>
      <c r="L137" s="1" t="s">
        <v>28</v>
      </c>
      <c r="M137" s="1" t="s">
        <v>44</v>
      </c>
      <c r="N137" s="1">
        <v>1</v>
      </c>
      <c r="O137" s="7">
        <f t="shared" si="26"/>
        <v>500</v>
      </c>
      <c r="P137" s="7">
        <f t="shared" si="20"/>
        <v>500</v>
      </c>
      <c r="Q137" s="20" t="s">
        <v>478</v>
      </c>
      <c r="R137" s="20" t="s">
        <v>479</v>
      </c>
      <c r="S137" s="1"/>
      <c r="T137" s="1"/>
      <c r="U137" s="1" t="s">
        <v>38</v>
      </c>
      <c r="V137" s="1" t="s">
        <v>551</v>
      </c>
      <c r="W137" s="1" t="s">
        <v>550</v>
      </c>
      <c r="X137" s="1" t="s">
        <v>37</v>
      </c>
      <c r="Y137" s="1" t="s">
        <v>31</v>
      </c>
      <c r="Z137" s="1"/>
      <c r="AA137" s="1" t="s">
        <v>24</v>
      </c>
      <c r="AB137" s="2"/>
      <c r="AC137" s="1"/>
      <c r="AD137" s="2"/>
      <c r="AE137" s="2">
        <f>VLOOKUP(R137,'[1]VNSH03 gia thanh sx '!$F$6:$G$171,2,0)</f>
        <v>500</v>
      </c>
      <c r="AF137" s="2">
        <f t="shared" ref="AF137:AF149" si="28">P137-AE137</f>
        <v>0</v>
      </c>
      <c r="AG137" s="2">
        <f>IF(VLOOKUP(R137,'VNET-XF-2105'!$B$12:$D$145,3,0)&gt;=P137,P137,VLOOKUP(R137,'VNET-XF-2105'!$B$12:$D$145,3,0))</f>
        <v>495</v>
      </c>
      <c r="AH137" s="2"/>
      <c r="AI137" s="2"/>
      <c r="AJ137" s="2">
        <f t="shared" si="27"/>
        <v>5</v>
      </c>
    </row>
    <row r="138" spans="1:36" ht="120" x14ac:dyDescent="0.25">
      <c r="A138" s="1">
        <f t="shared" si="21"/>
        <v>132</v>
      </c>
      <c r="B138" s="1" t="str">
        <f t="shared" si="22"/>
        <v>MMBT3904-TP</v>
      </c>
      <c r="C138" s="1" t="s">
        <v>21</v>
      </c>
      <c r="D138" s="7" t="str">
        <f t="shared" si="23"/>
        <v>Board RK3562</v>
      </c>
      <c r="E138" s="7" t="str">
        <f t="shared" si="24"/>
        <v>Gerber_CAMBOX_RK3562_lot500_2505</v>
      </c>
      <c r="F138" s="7" t="str">
        <f t="shared" si="25"/>
        <v>BOM_CameraBox_2026-04-14 2205</v>
      </c>
      <c r="G138" s="1" t="s">
        <v>622</v>
      </c>
      <c r="H138" s="1" t="s">
        <v>164</v>
      </c>
      <c r="I138" s="1" t="s">
        <v>297</v>
      </c>
      <c r="J138" s="1"/>
      <c r="K138" s="1" t="s">
        <v>8</v>
      </c>
      <c r="L138" s="1" t="s">
        <v>28</v>
      </c>
      <c r="M138" s="1" t="s">
        <v>44</v>
      </c>
      <c r="N138" s="1">
        <v>24</v>
      </c>
      <c r="O138" s="7">
        <f t="shared" si="26"/>
        <v>500</v>
      </c>
      <c r="P138" s="7">
        <f t="shared" si="20"/>
        <v>12000</v>
      </c>
      <c r="Q138" s="20" t="s">
        <v>435</v>
      </c>
      <c r="R138" s="20" t="s">
        <v>436</v>
      </c>
      <c r="S138" s="1"/>
      <c r="T138" s="1"/>
      <c r="U138" s="1" t="s">
        <v>38</v>
      </c>
      <c r="V138" s="1" t="s">
        <v>551</v>
      </c>
      <c r="W138" s="1" t="s">
        <v>550</v>
      </c>
      <c r="X138" s="1" t="s">
        <v>37</v>
      </c>
      <c r="Y138" s="1" t="s">
        <v>31</v>
      </c>
      <c r="Z138" s="1"/>
      <c r="AA138" s="1" t="s">
        <v>24</v>
      </c>
      <c r="AB138" s="2"/>
      <c r="AC138" s="1"/>
      <c r="AD138" s="2"/>
      <c r="AE138" s="2">
        <f>VLOOKUP(R138,'[1]VNSH03 gia thanh sx '!$F$6:$G$171,2,0)</f>
        <v>11500</v>
      </c>
      <c r="AF138" s="2">
        <f t="shared" si="28"/>
        <v>500</v>
      </c>
      <c r="AG138" s="2">
        <f>IF(VLOOKUP(R138,'VNET-XF-2105'!$B$12:$D$145,3,0)&gt;=P138,P138,VLOOKUP(R138,'VNET-XF-2105'!$B$12:$D$145,3,0))</f>
        <v>11380</v>
      </c>
      <c r="AH138" s="2">
        <f>IF(VLOOKUP(R138,'VNET-XF_dự kiến lần 2'!$B$2:$D$42,3,0)&gt;=(P138-AG138),(P138-AG138),VLOOKUP(R138,'VNET-XF_dự kiến lần 2'!$B$2:$D$42,3,0))</f>
        <v>500</v>
      </c>
      <c r="AI138" s="2"/>
      <c r="AJ138" s="2">
        <f t="shared" si="27"/>
        <v>120</v>
      </c>
    </row>
    <row r="139" spans="1:36" ht="60" x14ac:dyDescent="0.25">
      <c r="A139" s="1">
        <f t="shared" si="21"/>
        <v>133</v>
      </c>
      <c r="B139" s="1" t="str">
        <f t="shared" si="22"/>
        <v>D-DMR009PM-D002</v>
      </c>
      <c r="C139" s="1" t="s">
        <v>21</v>
      </c>
      <c r="D139" s="7" t="str">
        <f t="shared" si="23"/>
        <v>Board RK3562</v>
      </c>
      <c r="E139" s="7" t="str">
        <f t="shared" si="24"/>
        <v>Gerber_CAMBOX_RK3562_lot500_2505</v>
      </c>
      <c r="F139" s="7" t="str">
        <f t="shared" si="25"/>
        <v>BOM_CameraBox_2026-04-14 2205</v>
      </c>
      <c r="G139" s="1" t="s">
        <v>214</v>
      </c>
      <c r="H139" s="1" t="s">
        <v>175</v>
      </c>
      <c r="I139" s="1" t="s">
        <v>287</v>
      </c>
      <c r="J139" s="1"/>
      <c r="K139" s="1" t="s">
        <v>656</v>
      </c>
      <c r="L139" s="1" t="s">
        <v>28</v>
      </c>
      <c r="M139" s="1" t="s">
        <v>44</v>
      </c>
      <c r="N139" s="1">
        <v>1</v>
      </c>
      <c r="O139" s="7">
        <f t="shared" si="26"/>
        <v>500</v>
      </c>
      <c r="P139" s="7">
        <f t="shared" si="20"/>
        <v>500</v>
      </c>
      <c r="Q139" s="20" t="s">
        <v>419</v>
      </c>
      <c r="R139" s="20" t="s">
        <v>420</v>
      </c>
      <c r="S139" s="1"/>
      <c r="T139" s="1"/>
      <c r="U139" s="1" t="s">
        <v>38</v>
      </c>
      <c r="V139" s="1" t="s">
        <v>551</v>
      </c>
      <c r="W139" s="1" t="s">
        <v>550</v>
      </c>
      <c r="X139" s="1" t="s">
        <v>37</v>
      </c>
      <c r="Y139" s="1" t="s">
        <v>31</v>
      </c>
      <c r="Z139" s="1"/>
      <c r="AA139" s="1" t="s">
        <v>24</v>
      </c>
      <c r="AB139" s="2"/>
      <c r="AC139" s="1"/>
      <c r="AD139" s="2"/>
      <c r="AE139" s="2">
        <f>VLOOKUP(R139,'[1]VNSH03 gia thanh sx '!$F$6:$G$171,2,0)</f>
        <v>500</v>
      </c>
      <c r="AF139" s="2">
        <f t="shared" si="28"/>
        <v>0</v>
      </c>
      <c r="AG139" s="2">
        <f>IF(VLOOKUP(R139,'VNET-XF-2105'!$B$12:$D$145,3,0)&gt;=P139,P139,VLOOKUP(R139,'VNET-XF-2105'!$B$12:$D$145,3,0))</f>
        <v>495</v>
      </c>
      <c r="AH139" s="2"/>
      <c r="AI139" s="2"/>
      <c r="AJ139" s="2">
        <f t="shared" si="27"/>
        <v>5</v>
      </c>
    </row>
    <row r="140" spans="1:36" ht="60" x14ac:dyDescent="0.25">
      <c r="A140" s="1">
        <f t="shared" si="21"/>
        <v>134</v>
      </c>
      <c r="B140" s="1" t="str">
        <f t="shared" si="22"/>
        <v>HR911105A</v>
      </c>
      <c r="C140" s="1" t="s">
        <v>21</v>
      </c>
      <c r="D140" s="7" t="str">
        <f t="shared" si="23"/>
        <v>Board RK3562</v>
      </c>
      <c r="E140" s="7" t="str">
        <f t="shared" si="24"/>
        <v>Gerber_CAMBOX_RK3562_lot500_2505</v>
      </c>
      <c r="F140" s="7" t="str">
        <f t="shared" si="25"/>
        <v>BOM_CameraBox_2026-04-14 2205</v>
      </c>
      <c r="G140" s="1" t="s">
        <v>202</v>
      </c>
      <c r="H140" s="1" t="s">
        <v>175</v>
      </c>
      <c r="I140" s="1" t="s">
        <v>273</v>
      </c>
      <c r="J140" s="1"/>
      <c r="K140" s="1" t="s">
        <v>656</v>
      </c>
      <c r="L140" s="1" t="s">
        <v>28</v>
      </c>
      <c r="M140" s="1" t="s">
        <v>44</v>
      </c>
      <c r="N140" s="1">
        <v>1</v>
      </c>
      <c r="O140" s="7">
        <f t="shared" si="26"/>
        <v>500</v>
      </c>
      <c r="P140" s="7">
        <f t="shared" si="20"/>
        <v>500</v>
      </c>
      <c r="Q140" s="20" t="s">
        <v>393</v>
      </c>
      <c r="R140" s="20" t="s">
        <v>394</v>
      </c>
      <c r="S140" s="1"/>
      <c r="T140" s="1"/>
      <c r="U140" s="1" t="s">
        <v>38</v>
      </c>
      <c r="V140" s="1" t="s">
        <v>551</v>
      </c>
      <c r="W140" s="1" t="s">
        <v>550</v>
      </c>
      <c r="X140" s="1" t="s">
        <v>37</v>
      </c>
      <c r="Y140" s="1" t="s">
        <v>31</v>
      </c>
      <c r="Z140" s="1"/>
      <c r="AA140" s="1" t="s">
        <v>24</v>
      </c>
      <c r="AB140" s="2"/>
      <c r="AC140" s="1"/>
      <c r="AD140" s="2"/>
      <c r="AE140" s="2">
        <f>VLOOKUP(R140,'[1]VNSH03 gia thanh sx '!$F$6:$G$171,2,0)</f>
        <v>500</v>
      </c>
      <c r="AF140" s="2">
        <f t="shared" si="28"/>
        <v>0</v>
      </c>
      <c r="AG140" s="2">
        <f>IF(VLOOKUP(R140,'VNET-XF-2105'!$B$12:$D$145,3,0)&gt;=P140,P140,VLOOKUP(R140,'VNET-XF-2105'!$B$12:$D$145,3,0))</f>
        <v>495</v>
      </c>
      <c r="AH140" s="2"/>
      <c r="AI140" s="2"/>
      <c r="AJ140" s="2">
        <f t="shared" si="27"/>
        <v>5</v>
      </c>
    </row>
    <row r="141" spans="1:36" ht="90" x14ac:dyDescent="0.25">
      <c r="A141" s="1">
        <f t="shared" si="21"/>
        <v>135</v>
      </c>
      <c r="B141" s="1" t="str">
        <f t="shared" si="22"/>
        <v>PM200V-12-12-H43</v>
      </c>
      <c r="C141" s="1" t="s">
        <v>21</v>
      </c>
      <c r="D141" s="7" t="str">
        <f t="shared" si="23"/>
        <v>Board RK3562</v>
      </c>
      <c r="E141" s="7" t="str">
        <f t="shared" si="24"/>
        <v>Gerber_CAMBOX_RK3562_lot500_2505</v>
      </c>
      <c r="F141" s="7" t="str">
        <f t="shared" si="25"/>
        <v>BOM_CameraBox_2026-04-14 2205</v>
      </c>
      <c r="G141" s="1" t="s">
        <v>212</v>
      </c>
      <c r="H141" s="1" t="s">
        <v>175</v>
      </c>
      <c r="I141" s="20" t="s">
        <v>284</v>
      </c>
      <c r="J141" s="1"/>
      <c r="K141" s="1" t="s">
        <v>656</v>
      </c>
      <c r="L141" s="1" t="s">
        <v>28</v>
      </c>
      <c r="M141" s="1" t="s">
        <v>44</v>
      </c>
      <c r="N141" s="1">
        <v>3</v>
      </c>
      <c r="O141" s="7">
        <f t="shared" si="26"/>
        <v>500</v>
      </c>
      <c r="P141" s="7">
        <f t="shared" si="20"/>
        <v>1500</v>
      </c>
      <c r="Q141" s="20" t="s">
        <v>416</v>
      </c>
      <c r="R141" s="20" t="s">
        <v>417</v>
      </c>
      <c r="S141" s="1"/>
      <c r="T141" s="1"/>
      <c r="U141" s="1" t="s">
        <v>38</v>
      </c>
      <c r="V141" s="1" t="s">
        <v>551</v>
      </c>
      <c r="W141" s="1" t="s">
        <v>550</v>
      </c>
      <c r="X141" s="1" t="s">
        <v>37</v>
      </c>
      <c r="Y141" s="1" t="s">
        <v>31</v>
      </c>
      <c r="Z141" s="1"/>
      <c r="AA141" s="1" t="s">
        <v>24</v>
      </c>
      <c r="AB141" s="2"/>
      <c r="AC141" s="1"/>
      <c r="AD141" s="2"/>
      <c r="AE141" s="2">
        <f>VLOOKUP(R141,'[1]VNSH03 gia thanh sx '!$F$6:$G$171,2,0)</f>
        <v>1500</v>
      </c>
      <c r="AF141" s="2">
        <f t="shared" si="28"/>
        <v>0</v>
      </c>
      <c r="AG141" s="2">
        <f>IF(VLOOKUP(R141,'VNET-XF-2105'!$B$12:$D$145,3,0)&gt;=P141,P141,VLOOKUP(R141,'VNET-XF-2105'!$B$12:$D$145,3,0))</f>
        <v>1485</v>
      </c>
      <c r="AH141" s="2"/>
      <c r="AI141" s="2"/>
      <c r="AJ141" s="2">
        <f t="shared" si="27"/>
        <v>15</v>
      </c>
    </row>
    <row r="142" spans="1:36" ht="60" x14ac:dyDescent="0.25">
      <c r="A142" s="1">
        <f t="shared" si="21"/>
        <v>136</v>
      </c>
      <c r="B142" s="1" t="str">
        <f t="shared" si="22"/>
        <v>XH-2AW</v>
      </c>
      <c r="C142" s="1" t="s">
        <v>21</v>
      </c>
      <c r="D142" s="7" t="str">
        <f t="shared" si="23"/>
        <v>Board RK3562</v>
      </c>
      <c r="E142" s="7" t="str">
        <f t="shared" si="24"/>
        <v>Gerber_CAMBOX_RK3562_lot500_2505</v>
      </c>
      <c r="F142" s="7" t="str">
        <f t="shared" si="25"/>
        <v>BOM_CameraBox_2026-04-14 2205</v>
      </c>
      <c r="G142" s="1" t="s">
        <v>234</v>
      </c>
      <c r="H142" s="1" t="s">
        <v>175</v>
      </c>
      <c r="I142" s="20" t="s">
        <v>312</v>
      </c>
      <c r="J142" s="1"/>
      <c r="K142" s="1" t="s">
        <v>656</v>
      </c>
      <c r="L142" s="1" t="s">
        <v>28</v>
      </c>
      <c r="M142" s="1" t="s">
        <v>44</v>
      </c>
      <c r="N142" s="1">
        <v>1</v>
      </c>
      <c r="O142" s="7">
        <f t="shared" si="26"/>
        <v>500</v>
      </c>
      <c r="P142" s="7">
        <f t="shared" si="20"/>
        <v>500</v>
      </c>
      <c r="Q142" s="20" t="s">
        <v>484</v>
      </c>
      <c r="R142" s="20" t="s">
        <v>485</v>
      </c>
      <c r="S142" s="1"/>
      <c r="T142" s="1"/>
      <c r="U142" s="1" t="s">
        <v>38</v>
      </c>
      <c r="V142" s="1" t="s">
        <v>551</v>
      </c>
      <c r="W142" s="1" t="s">
        <v>550</v>
      </c>
      <c r="X142" s="1" t="s">
        <v>37</v>
      </c>
      <c r="Y142" s="1" t="s">
        <v>31</v>
      </c>
      <c r="Z142" s="1"/>
      <c r="AA142" s="1" t="s">
        <v>24</v>
      </c>
      <c r="AB142" s="2"/>
      <c r="AC142" s="1"/>
      <c r="AD142" s="2"/>
      <c r="AE142" s="2">
        <f>VLOOKUP(R142,'[1]VNSH03 gia thanh sx '!$F$6:$G$171,2,0)</f>
        <v>500</v>
      </c>
      <c r="AF142" s="2">
        <f t="shared" si="28"/>
        <v>0</v>
      </c>
      <c r="AG142" s="2"/>
      <c r="AH142" s="2"/>
      <c r="AI142" s="2"/>
      <c r="AJ142" s="2">
        <f t="shared" si="27"/>
        <v>500</v>
      </c>
    </row>
    <row r="143" spans="1:36" ht="60" x14ac:dyDescent="0.25">
      <c r="A143" s="1">
        <f t="shared" si="21"/>
        <v>137</v>
      </c>
      <c r="B143" s="1" t="str">
        <f t="shared" si="22"/>
        <v>XH-2A</v>
      </c>
      <c r="C143" s="1" t="s">
        <v>21</v>
      </c>
      <c r="D143" s="7" t="str">
        <f t="shared" si="23"/>
        <v>Board RK3562</v>
      </c>
      <c r="E143" s="7" t="str">
        <f t="shared" si="24"/>
        <v>Gerber_CAMBOX_RK3562_lot500_2505</v>
      </c>
      <c r="F143" s="7" t="str">
        <f t="shared" si="25"/>
        <v>BOM_CameraBox_2026-04-14 2205</v>
      </c>
      <c r="G143" s="1" t="s">
        <v>623</v>
      </c>
      <c r="H143" s="1" t="s">
        <v>175</v>
      </c>
      <c r="I143" s="20" t="s">
        <v>312</v>
      </c>
      <c r="J143" s="1"/>
      <c r="K143" s="1" t="s">
        <v>656</v>
      </c>
      <c r="L143" s="1" t="s">
        <v>28</v>
      </c>
      <c r="M143" s="1" t="s">
        <v>44</v>
      </c>
      <c r="N143" s="1">
        <v>1</v>
      </c>
      <c r="O143" s="7">
        <f t="shared" si="26"/>
        <v>500</v>
      </c>
      <c r="P143" s="7">
        <f t="shared" si="20"/>
        <v>500</v>
      </c>
      <c r="Q143" s="20" t="s">
        <v>457</v>
      </c>
      <c r="R143" s="20" t="s">
        <v>458</v>
      </c>
      <c r="S143" s="1"/>
      <c r="T143" s="1"/>
      <c r="U143" s="1" t="s">
        <v>38</v>
      </c>
      <c r="V143" s="1" t="s">
        <v>551</v>
      </c>
      <c r="W143" s="1" t="s">
        <v>550</v>
      </c>
      <c r="X143" s="1" t="s">
        <v>37</v>
      </c>
      <c r="Y143" s="1" t="s">
        <v>31</v>
      </c>
      <c r="Z143" s="1"/>
      <c r="AA143" s="1" t="s">
        <v>24</v>
      </c>
      <c r="AB143" s="2"/>
      <c r="AC143" s="1"/>
      <c r="AD143" s="2"/>
      <c r="AE143" s="2">
        <f>VLOOKUP(R143,'[1]VNSH03 gia thanh sx '!$F$6:$G$171,2,0)</f>
        <v>500</v>
      </c>
      <c r="AF143" s="2">
        <f t="shared" si="28"/>
        <v>0</v>
      </c>
      <c r="AG143" s="2">
        <f>IF(VLOOKUP(R143,'VNET-XF-2105'!$B$12:$D$145,3,0)&gt;=P143,P143,VLOOKUP(R143,'VNET-XF-2105'!$B$12:$D$145,3,0))</f>
        <v>495</v>
      </c>
      <c r="AH143" s="2"/>
      <c r="AI143" s="2"/>
      <c r="AJ143" s="2">
        <f t="shared" si="27"/>
        <v>5</v>
      </c>
    </row>
    <row r="144" spans="1:36" ht="60" x14ac:dyDescent="0.25">
      <c r="A144" s="1">
        <f t="shared" si="21"/>
        <v>138</v>
      </c>
      <c r="B144" s="1" t="str">
        <f t="shared" si="22"/>
        <v>JUMP-2.0-4PIN-FM-TH</v>
      </c>
      <c r="C144" s="1" t="s">
        <v>21</v>
      </c>
      <c r="D144" s="7" t="str">
        <f t="shared" si="23"/>
        <v>Board RK3562</v>
      </c>
      <c r="E144" s="7" t="str">
        <f t="shared" si="24"/>
        <v>Gerber_CAMBOX_RK3562_lot500_2505</v>
      </c>
      <c r="F144" s="7" t="str">
        <f t="shared" si="25"/>
        <v>BOM_CameraBox_2026-04-14 2205</v>
      </c>
      <c r="G144" s="1" t="s">
        <v>224</v>
      </c>
      <c r="H144" s="1" t="s">
        <v>175</v>
      </c>
      <c r="I144" s="1" t="s">
        <v>652</v>
      </c>
      <c r="J144" s="1"/>
      <c r="K144" s="1" t="s">
        <v>656</v>
      </c>
      <c r="L144" s="1" t="s">
        <v>28</v>
      </c>
      <c r="M144" s="1" t="s">
        <v>44</v>
      </c>
      <c r="N144" s="1">
        <v>0</v>
      </c>
      <c r="O144" s="7">
        <f t="shared" si="26"/>
        <v>500</v>
      </c>
      <c r="P144" s="7">
        <f t="shared" si="20"/>
        <v>0</v>
      </c>
      <c r="Q144" s="20"/>
      <c r="R144" s="20" t="s">
        <v>652</v>
      </c>
      <c r="S144" s="1"/>
      <c r="T144" s="1"/>
      <c r="U144" s="1" t="s">
        <v>38</v>
      </c>
      <c r="V144" s="1" t="s">
        <v>551</v>
      </c>
      <c r="W144" s="1" t="s">
        <v>550</v>
      </c>
      <c r="X144" s="1" t="s">
        <v>37</v>
      </c>
      <c r="Y144" s="1" t="s">
        <v>31</v>
      </c>
      <c r="Z144" s="1"/>
      <c r="AA144" s="1"/>
      <c r="AB144" s="2"/>
      <c r="AC144" s="1" t="s">
        <v>818</v>
      </c>
      <c r="AD144" s="2"/>
      <c r="AE144" s="2">
        <f>VLOOKUP(R144,'[1]VNSH03 gia thanh sx '!$F$6:$G$171,2,0)</f>
        <v>500</v>
      </c>
      <c r="AF144" s="2">
        <f t="shared" si="28"/>
        <v>-500</v>
      </c>
      <c r="AG144" s="2"/>
      <c r="AH144" s="2"/>
      <c r="AI144" s="2"/>
      <c r="AJ144" s="2">
        <f t="shared" si="27"/>
        <v>0</v>
      </c>
    </row>
    <row r="145" spans="1:36" ht="60" x14ac:dyDescent="0.25">
      <c r="A145" s="1">
        <f t="shared" si="21"/>
        <v>139</v>
      </c>
      <c r="B145" s="1" t="str">
        <f t="shared" si="22"/>
        <v>XL-DZ304SURD/3</v>
      </c>
      <c r="C145" s="1" t="s">
        <v>21</v>
      </c>
      <c r="D145" s="7" t="str">
        <f t="shared" si="23"/>
        <v>Board RK3562</v>
      </c>
      <c r="E145" s="7" t="str">
        <f t="shared" si="24"/>
        <v>Gerber_CAMBOX_RK3562_lot500_2505</v>
      </c>
      <c r="F145" s="7" t="str">
        <f t="shared" si="25"/>
        <v>BOM_CameraBox_2026-04-14 2205</v>
      </c>
      <c r="G145" s="1" t="s">
        <v>206</v>
      </c>
      <c r="H145" s="1" t="s">
        <v>161</v>
      </c>
      <c r="I145" s="1" t="s">
        <v>278</v>
      </c>
      <c r="J145" s="1"/>
      <c r="K145" s="1" t="s">
        <v>656</v>
      </c>
      <c r="L145" s="1" t="s">
        <v>28</v>
      </c>
      <c r="M145" s="1" t="s">
        <v>44</v>
      </c>
      <c r="N145" s="1">
        <v>2</v>
      </c>
      <c r="O145" s="7">
        <f t="shared" si="26"/>
        <v>500</v>
      </c>
      <c r="P145" s="7">
        <f t="shared" si="20"/>
        <v>1000</v>
      </c>
      <c r="Q145" s="20" t="s">
        <v>403</v>
      </c>
      <c r="R145" s="20" t="s">
        <v>404</v>
      </c>
      <c r="S145" s="1"/>
      <c r="T145" s="1"/>
      <c r="U145" s="1" t="s">
        <v>38</v>
      </c>
      <c r="V145" s="1" t="s">
        <v>551</v>
      </c>
      <c r="W145" s="1" t="s">
        <v>550</v>
      </c>
      <c r="X145" s="1" t="s">
        <v>37</v>
      </c>
      <c r="Y145" s="1" t="s">
        <v>31</v>
      </c>
      <c r="Z145" s="1"/>
      <c r="AA145" s="1" t="s">
        <v>24</v>
      </c>
      <c r="AB145" s="2"/>
      <c r="AC145" s="1"/>
      <c r="AD145" s="2"/>
      <c r="AE145" s="2">
        <f>VLOOKUP(R145,'[1]VNSH03 gia thanh sx '!$F$6:$G$171,2,0)</f>
        <v>1000</v>
      </c>
      <c r="AF145" s="2">
        <f t="shared" si="28"/>
        <v>0</v>
      </c>
      <c r="AG145" s="2">
        <f>IF(VLOOKUP(R145,'VNET-XF-2105'!$B$12:$D$145,3,0)&gt;=P145,P145,VLOOKUP(R145,'VNET-XF-2105'!$B$12:$D$145,3,0))</f>
        <v>990</v>
      </c>
      <c r="AH145" s="2"/>
      <c r="AI145" s="2"/>
      <c r="AJ145" s="2">
        <f t="shared" si="27"/>
        <v>10</v>
      </c>
    </row>
    <row r="146" spans="1:36" ht="60" x14ac:dyDescent="0.25">
      <c r="A146" s="1">
        <f t="shared" si="21"/>
        <v>140</v>
      </c>
      <c r="B146" s="1" t="str">
        <f t="shared" si="22"/>
        <v>HNB09A05</v>
      </c>
      <c r="C146" s="1" t="s">
        <v>21</v>
      </c>
      <c r="D146" s="7" t="str">
        <f t="shared" si="23"/>
        <v>Board RK3562</v>
      </c>
      <c r="E146" s="7" t="str">
        <f t="shared" si="24"/>
        <v>Gerber_CAMBOX_RK3562_lot500_2505</v>
      </c>
      <c r="F146" s="7" t="str">
        <f t="shared" si="25"/>
        <v>BOM_CameraBox_2026-04-14 2205</v>
      </c>
      <c r="G146" s="1" t="s">
        <v>216</v>
      </c>
      <c r="H146" s="1" t="s">
        <v>293</v>
      </c>
      <c r="I146" s="1" t="s">
        <v>294</v>
      </c>
      <c r="J146" s="1"/>
      <c r="K146" s="1" t="s">
        <v>656</v>
      </c>
      <c r="L146" s="1" t="s">
        <v>28</v>
      </c>
      <c r="M146" s="1" t="s">
        <v>44</v>
      </c>
      <c r="N146" s="1">
        <v>1</v>
      </c>
      <c r="O146" s="7">
        <f t="shared" si="26"/>
        <v>500</v>
      </c>
      <c r="P146" s="7">
        <f t="shared" si="20"/>
        <v>500</v>
      </c>
      <c r="Q146" s="20" t="s">
        <v>429</v>
      </c>
      <c r="R146" s="20" t="s">
        <v>430</v>
      </c>
      <c r="S146" s="1"/>
      <c r="T146" s="1"/>
      <c r="U146" s="1" t="s">
        <v>38</v>
      </c>
      <c r="V146" s="1" t="s">
        <v>551</v>
      </c>
      <c r="W146" s="1" t="s">
        <v>550</v>
      </c>
      <c r="X146" s="1" t="s">
        <v>37</v>
      </c>
      <c r="Y146" s="1" t="s">
        <v>31</v>
      </c>
      <c r="Z146" s="1"/>
      <c r="AA146" s="1" t="s">
        <v>24</v>
      </c>
      <c r="AB146" s="2"/>
      <c r="AC146" s="1"/>
      <c r="AD146" s="2"/>
      <c r="AE146" s="2">
        <f>VLOOKUP(R146,'[1]VNSH03 gia thanh sx '!$F$6:$G$171,2,0)</f>
        <v>500</v>
      </c>
      <c r="AF146" s="2">
        <f t="shared" si="28"/>
        <v>0</v>
      </c>
      <c r="AG146" s="2">
        <f>IF(VLOOKUP(R146,'VNET-XF-2105'!$B$12:$D$145,3,0)&gt;=P146,P146,VLOOKUP(R146,'VNET-XF-2105'!$B$12:$D$145,3,0))</f>
        <v>495</v>
      </c>
      <c r="AH146" s="2"/>
      <c r="AI146" s="2"/>
      <c r="AJ146" s="2">
        <f t="shared" si="27"/>
        <v>5</v>
      </c>
    </row>
    <row r="147" spans="1:36" ht="60" x14ac:dyDescent="0.25">
      <c r="A147" s="31">
        <f t="shared" si="21"/>
        <v>141</v>
      </c>
      <c r="B147" s="31" t="str">
        <f t="shared" si="22"/>
        <v>JLCPCB</v>
      </c>
      <c r="C147" s="31" t="s">
        <v>21</v>
      </c>
      <c r="D147" s="32" t="str">
        <f t="shared" si="23"/>
        <v>Board RK3562</v>
      </c>
      <c r="E147" s="32" t="str">
        <f t="shared" si="24"/>
        <v>Gerber_CAMBOX_RK3562_lot500_2505</v>
      </c>
      <c r="F147" s="32" t="str">
        <f t="shared" si="25"/>
        <v>BOM_CameraBox_2026-04-14 2205</v>
      </c>
      <c r="G147" s="31" t="s">
        <v>182</v>
      </c>
      <c r="H147" s="36" t="s">
        <v>182</v>
      </c>
      <c r="I147" s="31" t="s">
        <v>653</v>
      </c>
      <c r="J147" s="31"/>
      <c r="K147" s="31" t="s">
        <v>656</v>
      </c>
      <c r="L147" s="31" t="s">
        <v>28</v>
      </c>
      <c r="M147" s="31" t="s">
        <v>44</v>
      </c>
      <c r="N147" s="31">
        <v>1</v>
      </c>
      <c r="O147" s="32">
        <f t="shared" si="26"/>
        <v>500</v>
      </c>
      <c r="P147" s="32">
        <f t="shared" si="20"/>
        <v>500</v>
      </c>
      <c r="Q147" s="31" t="s">
        <v>548</v>
      </c>
      <c r="R147" s="31" t="s">
        <v>548</v>
      </c>
      <c r="S147" s="31"/>
      <c r="T147" s="31"/>
      <c r="U147" s="31" t="s">
        <v>38</v>
      </c>
      <c r="V147" s="31" t="s">
        <v>42</v>
      </c>
      <c r="W147" s="31" t="s">
        <v>549</v>
      </c>
      <c r="X147" s="31" t="s">
        <v>37</v>
      </c>
      <c r="Y147" s="31" t="s">
        <v>32</v>
      </c>
      <c r="Z147" s="31"/>
      <c r="AA147" s="31" t="s">
        <v>548</v>
      </c>
      <c r="AB147" s="33" t="s">
        <v>830</v>
      </c>
      <c r="AC147" s="37" t="s">
        <v>726</v>
      </c>
      <c r="AD147" s="33"/>
      <c r="AE147" s="33">
        <v>0</v>
      </c>
      <c r="AF147" s="33">
        <f t="shared" si="28"/>
        <v>500</v>
      </c>
      <c r="AG147" s="2"/>
      <c r="AH147" s="2"/>
      <c r="AI147" s="2">
        <v>500</v>
      </c>
      <c r="AJ147" s="2">
        <f t="shared" si="27"/>
        <v>0</v>
      </c>
    </row>
    <row r="148" spans="1:36" ht="60" x14ac:dyDescent="0.25">
      <c r="A148" s="31">
        <f t="shared" si="21"/>
        <v>142</v>
      </c>
      <c r="B148" s="31">
        <f t="shared" si="22"/>
        <v>0</v>
      </c>
      <c r="C148" s="31" t="s">
        <v>21</v>
      </c>
      <c r="D148" s="32" t="str">
        <f t="shared" si="23"/>
        <v>Board RK3562</v>
      </c>
      <c r="E148" s="32" t="str">
        <f t="shared" si="24"/>
        <v>Gerber_CAMBOX_RK3562_lot500_2505</v>
      </c>
      <c r="F148" s="32" t="str">
        <f t="shared" si="25"/>
        <v>BOM_CameraBox_2026-04-14 2205</v>
      </c>
      <c r="G148" s="31" t="s">
        <v>184</v>
      </c>
      <c r="H148" s="36" t="s">
        <v>184</v>
      </c>
      <c r="I148" s="31" t="s">
        <v>654</v>
      </c>
      <c r="J148" s="31"/>
      <c r="K148" s="31"/>
      <c r="L148" s="31" t="s">
        <v>28</v>
      </c>
      <c r="M148" s="31" t="s">
        <v>44</v>
      </c>
      <c r="N148" s="31">
        <v>1</v>
      </c>
      <c r="O148" s="32">
        <f t="shared" si="26"/>
        <v>500</v>
      </c>
      <c r="P148" s="32">
        <v>1</v>
      </c>
      <c r="Q148" s="31"/>
      <c r="R148" s="31"/>
      <c r="S148" s="31"/>
      <c r="T148" s="31"/>
      <c r="U148" s="31" t="s">
        <v>40</v>
      </c>
      <c r="V148" s="31" t="s">
        <v>42</v>
      </c>
      <c r="W148" s="31" t="s">
        <v>549</v>
      </c>
      <c r="X148" s="31" t="s">
        <v>37</v>
      </c>
      <c r="Y148" s="31" t="s">
        <v>32</v>
      </c>
      <c r="Z148" s="31"/>
      <c r="AA148" s="31"/>
      <c r="AB148" s="33" t="s">
        <v>828</v>
      </c>
      <c r="AC148" s="37" t="s">
        <v>734</v>
      </c>
      <c r="AD148" s="33"/>
      <c r="AE148" s="33">
        <v>0</v>
      </c>
      <c r="AF148" s="33">
        <f t="shared" si="28"/>
        <v>1</v>
      </c>
      <c r="AG148" s="2"/>
      <c r="AH148" s="2"/>
      <c r="AI148" s="2">
        <v>0</v>
      </c>
      <c r="AJ148" s="2">
        <f t="shared" si="27"/>
        <v>1</v>
      </c>
    </row>
    <row r="149" spans="1:36" ht="60" x14ac:dyDescent="0.25">
      <c r="A149" s="31">
        <f t="shared" si="21"/>
        <v>143</v>
      </c>
      <c r="B149" s="31" t="str">
        <f t="shared" si="22"/>
        <v>MKP</v>
      </c>
      <c r="C149" s="31" t="s">
        <v>21</v>
      </c>
      <c r="D149" s="32" t="str">
        <f t="shared" si="23"/>
        <v>Board RK3562</v>
      </c>
      <c r="E149" s="32" t="str">
        <f t="shared" si="24"/>
        <v>Gerber_CAMBOX_RK3562_lot500_2505</v>
      </c>
      <c r="F149" s="32" t="str">
        <f t="shared" si="25"/>
        <v>BOM_CameraBox_2026-04-14 2205</v>
      </c>
      <c r="G149" s="31" t="s">
        <v>624</v>
      </c>
      <c r="H149" s="36" t="s">
        <v>624</v>
      </c>
      <c r="I149" s="31" t="s">
        <v>655</v>
      </c>
      <c r="J149" s="31"/>
      <c r="K149" s="31"/>
      <c r="L149" s="31" t="s">
        <v>28</v>
      </c>
      <c r="M149" s="31" t="s">
        <v>44</v>
      </c>
      <c r="N149" s="31">
        <v>1</v>
      </c>
      <c r="O149" s="32">
        <f t="shared" si="26"/>
        <v>500</v>
      </c>
      <c r="P149" s="32">
        <f t="shared" si="20"/>
        <v>500</v>
      </c>
      <c r="Q149" s="31" t="s">
        <v>704</v>
      </c>
      <c r="R149" s="31" t="s">
        <v>704</v>
      </c>
      <c r="S149" s="31"/>
      <c r="T149" s="31"/>
      <c r="U149" s="31" t="s">
        <v>40</v>
      </c>
      <c r="V149" s="31" t="s">
        <v>42</v>
      </c>
      <c r="W149" s="31" t="s">
        <v>549</v>
      </c>
      <c r="X149" s="31" t="s">
        <v>37</v>
      </c>
      <c r="Y149" s="31" t="s">
        <v>32</v>
      </c>
      <c r="Z149" s="31"/>
      <c r="AA149" s="31" t="s">
        <v>704</v>
      </c>
      <c r="AB149" s="33" t="s">
        <v>829</v>
      </c>
      <c r="AC149" s="37" t="s">
        <v>821</v>
      </c>
      <c r="AD149" s="33"/>
      <c r="AE149" s="33">
        <v>0</v>
      </c>
      <c r="AF149" s="33">
        <f t="shared" si="28"/>
        <v>500</v>
      </c>
      <c r="AG149" s="2"/>
      <c r="AH149" s="2"/>
      <c r="AI149" s="2">
        <v>0</v>
      </c>
      <c r="AJ149" s="2">
        <f t="shared" si="27"/>
        <v>500</v>
      </c>
    </row>
  </sheetData>
  <autoFilter ref="A6:AJ149" xr:uid="{20E025CD-ADCA-48F2-AE95-3B3CDAFC39B2}"/>
  <mergeCells count="23">
    <mergeCell ref="AG5:AJ5"/>
    <mergeCell ref="A1:AD1"/>
    <mergeCell ref="A2:C2"/>
    <mergeCell ref="A3:C3"/>
    <mergeCell ref="N2:P2"/>
    <mergeCell ref="N3:P3"/>
    <mergeCell ref="W2:Z2"/>
    <mergeCell ref="W3:Z3"/>
    <mergeCell ref="W4:Z4"/>
    <mergeCell ref="Q2:T2"/>
    <mergeCell ref="Q3:T3"/>
    <mergeCell ref="Q4:T4"/>
    <mergeCell ref="A4:C4"/>
    <mergeCell ref="N4:P4"/>
    <mergeCell ref="U2:V2"/>
    <mergeCell ref="U3:V3"/>
    <mergeCell ref="U4:V4"/>
    <mergeCell ref="D2:H2"/>
    <mergeCell ref="D3:H3"/>
    <mergeCell ref="D4:H4"/>
    <mergeCell ref="J2:M2"/>
    <mergeCell ref="J3:M3"/>
    <mergeCell ref="J4:M4"/>
  </mergeCells>
  <phoneticPr fontId="6" type="noConversion"/>
  <conditionalFormatting sqref="B1:B1048576">
    <cfRule type="duplicateValues" dxfId="6" priority="1"/>
  </conditionalFormatting>
  <conditionalFormatting sqref="I7 I9:I149">
    <cfRule type="duplicateValues" dxfId="5" priority="12"/>
    <cfRule type="duplicateValues" dxfId="4" priority="13"/>
  </conditionalFormatting>
  <conditionalFormatting sqref="I8">
    <cfRule type="duplicateValues" dxfId="3" priority="2"/>
    <cfRule type="duplicateValues" dxfId="2" priority="3"/>
  </conditionalFormatting>
  <conditionalFormatting sqref="R150:R1048576 R6">
    <cfRule type="duplicateValues" dxfId="1" priority="7"/>
  </conditionalFormatting>
  <conditionalFormatting sqref="T6:T1048576">
    <cfRule type="duplicateValues" dxfId="0" priority="6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B667E8E2-8763-4E2F-BDA6-51AB220E8B6B}">
          <x14:formula1>
            <xm:f>OFFSET(REF!$J$3,0,0,COUNTA(REF!$J:$J)-1)</xm:f>
          </x14:formula1>
          <xm:sqref>C7:C149</xm:sqref>
        </x14:dataValidation>
        <x14:dataValidation type="list" allowBlank="1" showInputMessage="1" showErrorMessage="1" xr:uid="{B64CBBCF-CCED-4C6E-BCED-A596EAA3F87B}">
          <x14:formula1>
            <xm:f>OFFSET(REF!$K$3,0,0,COUNTA(REF!$K:$K)-1)</xm:f>
          </x14:formula1>
          <xm:sqref>H7:H149</xm:sqref>
        </x14:dataValidation>
        <x14:dataValidation type="list" allowBlank="1" showInputMessage="1" showErrorMessage="1" xr:uid="{75279211-B1B3-40F8-BFFA-6B2BE5F70FBC}">
          <x14:formula1>
            <xm:f>OFFSET(REF!$M$3,0,0,COUNTA(REF!$M:$M)-1)</xm:f>
          </x14:formula1>
          <xm:sqref>L7:L149</xm:sqref>
        </x14:dataValidation>
        <x14:dataValidation type="list" allowBlank="1" showInputMessage="1" showErrorMessage="1" xr:uid="{E409567F-1A77-4D78-978F-4DE76A38BE61}">
          <x14:formula1>
            <xm:f>OFFSET(REF!$O$3,0,0,COUNTA(REF!$O:$O)-1)</xm:f>
          </x14:formula1>
          <xm:sqref>U7:U149</xm:sqref>
        </x14:dataValidation>
        <x14:dataValidation type="list" allowBlank="1" showInputMessage="1" showErrorMessage="1" xr:uid="{A5C128DD-A7A4-4CD0-94F6-1092B38A3E37}">
          <x14:formula1>
            <xm:f>OFFSET(REF!$P$3,0,0,COUNTA(REF!$P:$P)-1)</xm:f>
          </x14:formula1>
          <xm:sqref>V7:V149</xm:sqref>
        </x14:dataValidation>
        <x14:dataValidation type="list" allowBlank="1" showInputMessage="1" showErrorMessage="1" xr:uid="{D43B0137-6AA4-4A50-A104-28D4B3862ED6}">
          <x14:formula1>
            <xm:f>OFFSET(REF!$Q$3,0,0,COUNTA(REF!$Q:$Q)-1)</xm:f>
          </x14:formula1>
          <xm:sqref>W7:W149</xm:sqref>
        </x14:dataValidation>
        <x14:dataValidation type="list" allowBlank="1" showInputMessage="1" showErrorMessage="1" xr:uid="{264655B9-E32B-4A33-B916-550B2A7B1CAD}">
          <x14:formula1>
            <xm:f>OFFSET(REF!$R$3,0,0,COUNTA(REF!$R:$R)-1)</xm:f>
          </x14:formula1>
          <xm:sqref>X7:X149</xm:sqref>
        </x14:dataValidation>
        <x14:dataValidation type="list" allowBlank="1" showInputMessage="1" showErrorMessage="1" xr:uid="{DE394846-2580-4152-9028-52BCAC32B61B}">
          <x14:formula1>
            <xm:f>OFFSET(REF!$S$3,0,0,COUNTA(REF!$S:$S)-1)</xm:f>
          </x14:formula1>
          <xm:sqref>Y7:Y149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56C78-4307-4412-8747-D253BEC3AC31}">
  <dimension ref="A1:T31"/>
  <sheetViews>
    <sheetView workbookViewId="0">
      <selection activeCell="I9" sqref="I9"/>
    </sheetView>
  </sheetViews>
  <sheetFormatPr defaultColWidth="9.140625" defaultRowHeight="15" x14ac:dyDescent="0.25"/>
  <cols>
    <col min="1" max="1" width="9.140625" style="4"/>
    <col min="2" max="2" width="18" style="3" customWidth="1"/>
    <col min="3" max="3" width="32" style="3" customWidth="1"/>
    <col min="4" max="4" width="32.85546875" style="3" customWidth="1"/>
    <col min="5" max="5" width="34.42578125" style="3" customWidth="1"/>
    <col min="6" max="6" width="12.28515625" style="4" customWidth="1"/>
    <col min="7" max="8" width="20.140625" style="3" customWidth="1"/>
    <col min="9" max="9" width="9.140625" style="3"/>
    <col min="10" max="10" width="12.5703125" style="4" customWidth="1"/>
    <col min="11" max="11" width="17.140625" style="4" customWidth="1"/>
    <col min="12" max="13" width="11.42578125" style="4" customWidth="1"/>
    <col min="14" max="14" width="9.140625" style="4" customWidth="1"/>
    <col min="15" max="20" width="12.5703125" style="4" customWidth="1"/>
    <col min="21" max="16384" width="9.140625" style="3"/>
  </cols>
  <sheetData>
    <row r="1" spans="1:20" ht="25.15" customHeight="1" x14ac:dyDescent="0.25">
      <c r="A1" s="90" t="s">
        <v>143</v>
      </c>
      <c r="B1" s="90"/>
      <c r="C1" s="90"/>
      <c r="D1" s="90"/>
      <c r="E1" s="90"/>
      <c r="F1" s="90"/>
      <c r="G1" s="90"/>
      <c r="H1" s="90"/>
    </row>
    <row r="2" spans="1:20" s="8" customFormat="1" ht="25.15" customHeight="1" x14ac:dyDescent="0.25">
      <c r="A2" s="5" t="s">
        <v>0</v>
      </c>
      <c r="B2" s="5" t="s">
        <v>45</v>
      </c>
      <c r="C2" s="5" t="s">
        <v>46</v>
      </c>
      <c r="D2" s="5" t="s">
        <v>47</v>
      </c>
      <c r="E2" s="5" t="s">
        <v>48</v>
      </c>
      <c r="F2" s="5" t="s">
        <v>49</v>
      </c>
      <c r="G2" s="5" t="s">
        <v>131</v>
      </c>
      <c r="H2" s="5" t="s">
        <v>135</v>
      </c>
      <c r="J2" s="5" t="s">
        <v>3</v>
      </c>
      <c r="K2" s="5" t="s">
        <v>2</v>
      </c>
      <c r="L2" s="5" t="s">
        <v>77</v>
      </c>
      <c r="M2" s="5" t="s">
        <v>80</v>
      </c>
      <c r="N2" s="5" t="s">
        <v>13</v>
      </c>
      <c r="O2" s="5" t="s">
        <v>29</v>
      </c>
      <c r="P2" s="5" t="s">
        <v>41</v>
      </c>
      <c r="Q2" s="5" t="s">
        <v>43</v>
      </c>
      <c r="R2" s="5" t="s">
        <v>34</v>
      </c>
      <c r="S2" s="5" t="s">
        <v>30</v>
      </c>
      <c r="T2" s="5" t="s">
        <v>19</v>
      </c>
    </row>
    <row r="3" spans="1:20" ht="30" x14ac:dyDescent="0.25">
      <c r="A3" s="1">
        <f>ROW()-2</f>
        <v>1</v>
      </c>
      <c r="B3" s="9" t="s">
        <v>0</v>
      </c>
      <c r="C3" s="2" t="s">
        <v>50</v>
      </c>
      <c r="D3" s="2" t="s">
        <v>51</v>
      </c>
      <c r="E3" s="2" t="s">
        <v>52</v>
      </c>
      <c r="F3" s="1" t="s">
        <v>53</v>
      </c>
      <c r="G3" s="2"/>
      <c r="H3" s="2"/>
      <c r="J3" s="4" t="s">
        <v>21</v>
      </c>
      <c r="K3" s="4" t="s">
        <v>147</v>
      </c>
      <c r="L3" s="4" t="s">
        <v>8</v>
      </c>
      <c r="M3" s="4" t="s">
        <v>28</v>
      </c>
      <c r="N3" s="4" t="s">
        <v>44</v>
      </c>
      <c r="O3" s="4" t="s">
        <v>38</v>
      </c>
      <c r="P3" s="4" t="s">
        <v>42</v>
      </c>
      <c r="Q3" s="4" t="s">
        <v>549</v>
      </c>
      <c r="R3" s="4" t="s">
        <v>35</v>
      </c>
      <c r="S3" s="4" t="s">
        <v>31</v>
      </c>
      <c r="T3" s="4" t="s">
        <v>148</v>
      </c>
    </row>
    <row r="4" spans="1:20" ht="60" x14ac:dyDescent="0.25">
      <c r="A4" s="1">
        <f t="shared" ref="A4:A31" si="0">ROW()-2</f>
        <v>2</v>
      </c>
      <c r="B4" s="9" t="s">
        <v>3</v>
      </c>
      <c r="C4" s="2" t="s">
        <v>54</v>
      </c>
      <c r="D4" s="2" t="s">
        <v>132</v>
      </c>
      <c r="E4" s="2" t="s">
        <v>21</v>
      </c>
      <c r="F4" s="1" t="s">
        <v>53</v>
      </c>
      <c r="G4" s="2" t="s">
        <v>144</v>
      </c>
      <c r="H4" s="2"/>
      <c r="J4" s="4" t="s">
        <v>185</v>
      </c>
      <c r="K4" s="4" t="s">
        <v>149</v>
      </c>
      <c r="L4" s="4" t="s">
        <v>656</v>
      </c>
      <c r="M4" s="4" t="s">
        <v>146</v>
      </c>
      <c r="N4" s="4" t="s">
        <v>150</v>
      </c>
      <c r="O4" s="4" t="s">
        <v>40</v>
      </c>
      <c r="P4" s="4" t="s">
        <v>551</v>
      </c>
      <c r="Q4" s="4" t="s">
        <v>550</v>
      </c>
      <c r="R4" s="4" t="s">
        <v>36</v>
      </c>
      <c r="S4" s="4" t="s">
        <v>33</v>
      </c>
      <c r="T4" s="4" t="s">
        <v>151</v>
      </c>
    </row>
    <row r="5" spans="1:20" ht="30" x14ac:dyDescent="0.25">
      <c r="A5" s="1">
        <f t="shared" si="0"/>
        <v>3</v>
      </c>
      <c r="B5" s="9" t="s">
        <v>4</v>
      </c>
      <c r="C5" s="2" t="s">
        <v>55</v>
      </c>
      <c r="D5" s="2" t="s">
        <v>56</v>
      </c>
      <c r="E5" s="2" t="s">
        <v>57</v>
      </c>
      <c r="F5" s="1" t="s">
        <v>53</v>
      </c>
      <c r="G5" s="2"/>
      <c r="H5" s="2"/>
      <c r="J5" s="4" t="s">
        <v>186</v>
      </c>
      <c r="K5" s="4" t="s">
        <v>152</v>
      </c>
      <c r="L5" s="4" t="s">
        <v>9</v>
      </c>
      <c r="N5" s="4" t="s">
        <v>153</v>
      </c>
      <c r="O5" s="4" t="s">
        <v>39</v>
      </c>
      <c r="R5" s="4" t="s">
        <v>37</v>
      </c>
      <c r="S5" s="4" t="s">
        <v>32</v>
      </c>
      <c r="T5" s="4" t="s">
        <v>24</v>
      </c>
    </row>
    <row r="6" spans="1:20" x14ac:dyDescent="0.25">
      <c r="A6" s="1">
        <f t="shared" si="0"/>
        <v>4</v>
      </c>
      <c r="B6" s="9" t="s">
        <v>22</v>
      </c>
      <c r="C6" s="2" t="s">
        <v>58</v>
      </c>
      <c r="D6" s="2" t="s">
        <v>59</v>
      </c>
      <c r="E6" s="2" t="s">
        <v>60</v>
      </c>
      <c r="F6" s="1" t="s">
        <v>53</v>
      </c>
      <c r="G6" s="2"/>
      <c r="H6" s="2"/>
      <c r="K6" s="4" t="s">
        <v>155</v>
      </c>
      <c r="N6" s="4" t="s">
        <v>156</v>
      </c>
      <c r="S6" s="4" t="s">
        <v>154</v>
      </c>
      <c r="T6" s="4" t="s">
        <v>157</v>
      </c>
    </row>
    <row r="7" spans="1:20" x14ac:dyDescent="0.25">
      <c r="A7" s="1">
        <f t="shared" si="0"/>
        <v>5</v>
      </c>
      <c r="B7" s="9" t="s">
        <v>23</v>
      </c>
      <c r="C7" s="2" t="s">
        <v>61</v>
      </c>
      <c r="D7" s="2" t="s">
        <v>62</v>
      </c>
      <c r="E7" s="2" t="s">
        <v>63</v>
      </c>
      <c r="F7" s="1" t="s">
        <v>53</v>
      </c>
      <c r="G7" s="2"/>
      <c r="H7" s="2"/>
      <c r="K7" s="4" t="s">
        <v>158</v>
      </c>
      <c r="N7" s="4" t="s">
        <v>159</v>
      </c>
      <c r="T7" s="4" t="s">
        <v>160</v>
      </c>
    </row>
    <row r="8" spans="1:20" ht="30" x14ac:dyDescent="0.25">
      <c r="A8" s="1">
        <f t="shared" si="0"/>
        <v>6</v>
      </c>
      <c r="B8" s="9" t="s">
        <v>64</v>
      </c>
      <c r="C8" s="2" t="s">
        <v>65</v>
      </c>
      <c r="D8" s="2" t="s">
        <v>66</v>
      </c>
      <c r="E8" s="2" t="s">
        <v>67</v>
      </c>
      <c r="F8" s="1" t="s">
        <v>53</v>
      </c>
      <c r="G8" s="2"/>
      <c r="H8" s="2"/>
      <c r="K8" s="4" t="s">
        <v>161</v>
      </c>
      <c r="N8" s="4" t="s">
        <v>162</v>
      </c>
      <c r="T8" s="4" t="s">
        <v>163</v>
      </c>
    </row>
    <row r="9" spans="1:20" x14ac:dyDescent="0.25">
      <c r="A9" s="1">
        <f t="shared" si="0"/>
        <v>7</v>
      </c>
      <c r="B9" s="9" t="s">
        <v>2</v>
      </c>
      <c r="C9" s="2" t="s">
        <v>68</v>
      </c>
      <c r="D9" s="2" t="s">
        <v>69</v>
      </c>
      <c r="E9" s="2" t="s">
        <v>70</v>
      </c>
      <c r="F9" s="1" t="s">
        <v>53</v>
      </c>
      <c r="G9" s="2"/>
      <c r="H9" s="2"/>
      <c r="K9" s="4" t="s">
        <v>164</v>
      </c>
      <c r="N9" s="4" t="s">
        <v>165</v>
      </c>
      <c r="T9" s="4" t="s">
        <v>166</v>
      </c>
    </row>
    <row r="10" spans="1:20" x14ac:dyDescent="0.25">
      <c r="A10" s="1">
        <f t="shared" si="0"/>
        <v>8</v>
      </c>
      <c r="B10" s="9" t="s">
        <v>5</v>
      </c>
      <c r="C10" s="2" t="s">
        <v>71</v>
      </c>
      <c r="D10" s="2" t="s">
        <v>72</v>
      </c>
      <c r="E10" s="2" t="s">
        <v>73</v>
      </c>
      <c r="F10" s="1" t="s">
        <v>53</v>
      </c>
      <c r="G10" s="2"/>
      <c r="H10" s="2"/>
      <c r="K10" s="4" t="s">
        <v>167</v>
      </c>
      <c r="N10" s="4" t="s">
        <v>168</v>
      </c>
      <c r="T10" s="4" t="s">
        <v>169</v>
      </c>
    </row>
    <row r="11" spans="1:20" ht="45" x14ac:dyDescent="0.25">
      <c r="A11" s="1">
        <f t="shared" si="0"/>
        <v>9</v>
      </c>
      <c r="B11" s="9" t="s">
        <v>6</v>
      </c>
      <c r="C11" s="2" t="s">
        <v>75</v>
      </c>
      <c r="D11" s="2" t="s">
        <v>390</v>
      </c>
      <c r="E11" s="2" t="s">
        <v>76</v>
      </c>
      <c r="F11" s="1" t="s">
        <v>53</v>
      </c>
      <c r="G11" s="2"/>
      <c r="H11" s="2"/>
      <c r="K11" s="4" t="s">
        <v>171</v>
      </c>
      <c r="N11" s="4" t="s">
        <v>172</v>
      </c>
    </row>
    <row r="12" spans="1:20" ht="60" x14ac:dyDescent="0.25">
      <c r="A12" s="1">
        <f t="shared" si="0"/>
        <v>10</v>
      </c>
      <c r="B12" s="9" t="s">
        <v>77</v>
      </c>
      <c r="C12" s="2" t="s">
        <v>78</v>
      </c>
      <c r="D12" s="2" t="s">
        <v>133</v>
      </c>
      <c r="E12" s="2" t="s">
        <v>79</v>
      </c>
      <c r="F12" s="1" t="s">
        <v>53</v>
      </c>
      <c r="G12" s="2" t="s">
        <v>145</v>
      </c>
      <c r="H12" s="2"/>
      <c r="K12" s="4" t="s">
        <v>326</v>
      </c>
      <c r="N12" s="4" t="s">
        <v>174</v>
      </c>
    </row>
    <row r="13" spans="1:20" ht="45" x14ac:dyDescent="0.25">
      <c r="A13" s="1">
        <f t="shared" si="0"/>
        <v>11</v>
      </c>
      <c r="B13" s="9" t="s">
        <v>80</v>
      </c>
      <c r="C13" s="2" t="s">
        <v>81</v>
      </c>
      <c r="D13" s="2" t="s">
        <v>134</v>
      </c>
      <c r="E13" s="2" t="s">
        <v>82</v>
      </c>
      <c r="F13" s="1" t="s">
        <v>53</v>
      </c>
      <c r="G13" s="2" t="s">
        <v>137</v>
      </c>
      <c r="H13" s="2"/>
      <c r="K13" s="4" t="s">
        <v>293</v>
      </c>
    </row>
    <row r="14" spans="1:20" x14ac:dyDescent="0.25">
      <c r="A14" s="1">
        <f t="shared" si="0"/>
        <v>12</v>
      </c>
      <c r="B14" s="9" t="s">
        <v>13</v>
      </c>
      <c r="C14" s="2" t="s">
        <v>102</v>
      </c>
      <c r="D14" s="2" t="s">
        <v>103</v>
      </c>
      <c r="E14" s="2" t="s">
        <v>44</v>
      </c>
      <c r="F14" s="1" t="s">
        <v>53</v>
      </c>
      <c r="G14" s="2"/>
      <c r="H14" s="2"/>
      <c r="K14" s="4" t="s">
        <v>173</v>
      </c>
    </row>
    <row r="15" spans="1:20" ht="30" x14ac:dyDescent="0.25">
      <c r="A15" s="1">
        <f t="shared" si="0"/>
        <v>13</v>
      </c>
      <c r="B15" s="9" t="s">
        <v>12</v>
      </c>
      <c r="C15" s="2" t="s">
        <v>104</v>
      </c>
      <c r="D15" s="2" t="s">
        <v>105</v>
      </c>
      <c r="E15" s="2" t="s">
        <v>106</v>
      </c>
      <c r="F15" s="1" t="s">
        <v>53</v>
      </c>
      <c r="G15" s="2"/>
      <c r="H15" s="2"/>
      <c r="K15" s="4" t="s">
        <v>175</v>
      </c>
    </row>
    <row r="16" spans="1:20" ht="30" x14ac:dyDescent="0.25">
      <c r="A16" s="1">
        <f t="shared" si="0"/>
        <v>14</v>
      </c>
      <c r="B16" s="9" t="s">
        <v>14</v>
      </c>
      <c r="C16" s="2" t="s">
        <v>107</v>
      </c>
      <c r="D16" s="2" t="s">
        <v>108</v>
      </c>
      <c r="E16" s="2" t="s">
        <v>109</v>
      </c>
      <c r="F16" s="1" t="s">
        <v>53</v>
      </c>
      <c r="G16" s="2"/>
      <c r="H16" s="2"/>
      <c r="K16" s="4" t="s">
        <v>176</v>
      </c>
    </row>
    <row r="17" spans="1:11" ht="30" x14ac:dyDescent="0.25">
      <c r="A17" s="1">
        <f t="shared" si="0"/>
        <v>15</v>
      </c>
      <c r="B17" s="9" t="s">
        <v>17</v>
      </c>
      <c r="C17" s="2" t="s">
        <v>110</v>
      </c>
      <c r="D17" s="2" t="s">
        <v>111</v>
      </c>
      <c r="E17" s="2">
        <v>20</v>
      </c>
      <c r="F17" s="1" t="s">
        <v>53</v>
      </c>
      <c r="G17" s="2"/>
      <c r="H17" s="2"/>
      <c r="K17" s="4" t="s">
        <v>177</v>
      </c>
    </row>
    <row r="18" spans="1:11" ht="30" x14ac:dyDescent="0.25">
      <c r="A18" s="1">
        <f t="shared" si="0"/>
        <v>16</v>
      </c>
      <c r="B18" s="9" t="s">
        <v>25</v>
      </c>
      <c r="C18" s="2" t="s">
        <v>83</v>
      </c>
      <c r="D18" s="2" t="s">
        <v>84</v>
      </c>
      <c r="E18" s="2" t="s">
        <v>85</v>
      </c>
      <c r="F18" s="1" t="s">
        <v>86</v>
      </c>
      <c r="G18" s="2"/>
      <c r="H18" s="2" t="s">
        <v>136</v>
      </c>
      <c r="K18" s="4" t="s">
        <v>178</v>
      </c>
    </row>
    <row r="19" spans="1:11" ht="30" x14ac:dyDescent="0.25">
      <c r="A19" s="1">
        <f t="shared" si="0"/>
        <v>17</v>
      </c>
      <c r="B19" s="9" t="s">
        <v>10</v>
      </c>
      <c r="C19" s="2" t="s">
        <v>87</v>
      </c>
      <c r="D19" s="2" t="s">
        <v>88</v>
      </c>
      <c r="E19" s="2" t="s">
        <v>89</v>
      </c>
      <c r="F19" s="1" t="s">
        <v>53</v>
      </c>
      <c r="G19" s="2"/>
      <c r="H19" s="2"/>
      <c r="K19" s="4" t="s">
        <v>179</v>
      </c>
    </row>
    <row r="20" spans="1:11" x14ac:dyDescent="0.25">
      <c r="A20" s="1">
        <f t="shared" si="0"/>
        <v>18</v>
      </c>
      <c r="B20" s="9" t="s">
        <v>26</v>
      </c>
      <c r="C20" s="2" t="s">
        <v>90</v>
      </c>
      <c r="D20" s="2" t="s">
        <v>91</v>
      </c>
      <c r="E20" s="2" t="s">
        <v>92</v>
      </c>
      <c r="F20" s="1" t="s">
        <v>74</v>
      </c>
      <c r="G20" s="2"/>
      <c r="H20" s="2"/>
      <c r="K20" s="4" t="s">
        <v>182</v>
      </c>
    </row>
    <row r="21" spans="1:11" ht="30" x14ac:dyDescent="0.25">
      <c r="A21" s="1">
        <f t="shared" si="0"/>
        <v>19</v>
      </c>
      <c r="B21" s="9" t="s">
        <v>11</v>
      </c>
      <c r="C21" s="2" t="s">
        <v>93</v>
      </c>
      <c r="D21" s="2" t="s">
        <v>94</v>
      </c>
      <c r="E21" s="2" t="s">
        <v>95</v>
      </c>
      <c r="F21" s="1" t="s">
        <v>74</v>
      </c>
      <c r="G21" s="2"/>
      <c r="H21" s="2"/>
      <c r="K21" s="4" t="s">
        <v>184</v>
      </c>
    </row>
    <row r="22" spans="1:11" ht="60" x14ac:dyDescent="0.25">
      <c r="A22" s="1">
        <f t="shared" si="0"/>
        <v>20</v>
      </c>
      <c r="B22" s="9" t="s">
        <v>29</v>
      </c>
      <c r="C22" s="2" t="s">
        <v>96</v>
      </c>
      <c r="D22" s="2" t="s">
        <v>69</v>
      </c>
      <c r="E22" s="2" t="s">
        <v>97</v>
      </c>
      <c r="F22" s="1" t="s">
        <v>53</v>
      </c>
      <c r="G22" s="2" t="s">
        <v>138</v>
      </c>
      <c r="H22" s="2"/>
      <c r="K22" s="4" t="s">
        <v>180</v>
      </c>
    </row>
    <row r="23" spans="1:11" ht="45" x14ac:dyDescent="0.25">
      <c r="A23" s="1">
        <f t="shared" si="0"/>
        <v>21</v>
      </c>
      <c r="B23" s="9" t="s">
        <v>41</v>
      </c>
      <c r="C23" s="2" t="s">
        <v>98</v>
      </c>
      <c r="D23" s="2" t="s">
        <v>69</v>
      </c>
      <c r="E23" s="2" t="s">
        <v>99</v>
      </c>
      <c r="F23" s="1" t="s">
        <v>53</v>
      </c>
      <c r="G23" s="2" t="s">
        <v>139</v>
      </c>
      <c r="H23" s="2"/>
      <c r="K23" s="4" t="s">
        <v>181</v>
      </c>
    </row>
    <row r="24" spans="1:11" ht="60" x14ac:dyDescent="0.25">
      <c r="A24" s="1">
        <f t="shared" si="0"/>
        <v>22</v>
      </c>
      <c r="B24" s="9" t="s">
        <v>43</v>
      </c>
      <c r="C24" s="2" t="s">
        <v>100</v>
      </c>
      <c r="D24" s="2" t="s">
        <v>69</v>
      </c>
      <c r="E24" s="2" t="s">
        <v>101</v>
      </c>
      <c r="F24" s="1" t="s">
        <v>53</v>
      </c>
      <c r="G24" s="2" t="s">
        <v>140</v>
      </c>
      <c r="H24" s="2"/>
      <c r="K24" s="4" t="s">
        <v>183</v>
      </c>
    </row>
    <row r="25" spans="1:11" ht="60" x14ac:dyDescent="0.25">
      <c r="A25" s="1">
        <f t="shared" si="0"/>
        <v>23</v>
      </c>
      <c r="B25" s="9" t="s">
        <v>34</v>
      </c>
      <c r="C25" s="2" t="s">
        <v>114</v>
      </c>
      <c r="D25" s="2" t="s">
        <v>69</v>
      </c>
      <c r="E25" s="2" t="s">
        <v>115</v>
      </c>
      <c r="F25" s="1" t="s">
        <v>53</v>
      </c>
      <c r="G25" s="2" t="s">
        <v>142</v>
      </c>
      <c r="H25" s="2"/>
      <c r="K25" s="4" t="s">
        <v>733</v>
      </c>
    </row>
    <row r="26" spans="1:11" ht="45" x14ac:dyDescent="0.25">
      <c r="A26" s="1">
        <f t="shared" si="0"/>
        <v>24</v>
      </c>
      <c r="B26" s="9" t="s">
        <v>30</v>
      </c>
      <c r="C26" s="2" t="s">
        <v>116</v>
      </c>
      <c r="D26" s="2" t="s">
        <v>69</v>
      </c>
      <c r="E26" s="2" t="s">
        <v>117</v>
      </c>
      <c r="F26" s="1" t="s">
        <v>53</v>
      </c>
      <c r="G26" s="2" t="s">
        <v>141</v>
      </c>
      <c r="H26" s="2"/>
      <c r="K26" s="4" t="s">
        <v>176</v>
      </c>
    </row>
    <row r="27" spans="1:11" ht="30" x14ac:dyDescent="0.25">
      <c r="A27" s="1">
        <f t="shared" si="0"/>
        <v>25</v>
      </c>
      <c r="B27" s="9" t="s">
        <v>18</v>
      </c>
      <c r="C27" s="2" t="s">
        <v>112</v>
      </c>
      <c r="D27" s="2" t="s">
        <v>113</v>
      </c>
      <c r="E27" s="2"/>
      <c r="F27" s="1" t="s">
        <v>74</v>
      </c>
      <c r="G27" s="2"/>
      <c r="H27" s="2"/>
      <c r="K27" s="4" t="s">
        <v>810</v>
      </c>
    </row>
    <row r="28" spans="1:11" ht="30" x14ac:dyDescent="0.25">
      <c r="A28" s="1">
        <f t="shared" si="0"/>
        <v>26</v>
      </c>
      <c r="B28" s="9" t="s">
        <v>19</v>
      </c>
      <c r="C28" s="2" t="s">
        <v>118</v>
      </c>
      <c r="D28" s="2" t="s">
        <v>119</v>
      </c>
      <c r="E28" s="2" t="s">
        <v>120</v>
      </c>
      <c r="F28" s="1" t="s">
        <v>74</v>
      </c>
      <c r="G28" s="2"/>
      <c r="H28" s="2"/>
      <c r="K28" s="4" t="s">
        <v>814</v>
      </c>
    </row>
    <row r="29" spans="1:11" ht="30" x14ac:dyDescent="0.25">
      <c r="A29" s="1">
        <f t="shared" si="0"/>
        <v>27</v>
      </c>
      <c r="B29" s="9" t="s">
        <v>16</v>
      </c>
      <c r="C29" s="2" t="s">
        <v>121</v>
      </c>
      <c r="D29" s="2" t="s">
        <v>122</v>
      </c>
      <c r="E29" s="2" t="s">
        <v>123</v>
      </c>
      <c r="F29" s="1" t="s">
        <v>74</v>
      </c>
      <c r="G29" s="2"/>
      <c r="H29" s="2"/>
    </row>
    <row r="30" spans="1:11" ht="30" x14ac:dyDescent="0.25">
      <c r="A30" s="1">
        <f t="shared" si="0"/>
        <v>28</v>
      </c>
      <c r="B30" s="9" t="s">
        <v>20</v>
      </c>
      <c r="C30" s="2" t="s">
        <v>124</v>
      </c>
      <c r="D30" s="2" t="s">
        <v>125</v>
      </c>
      <c r="E30" s="2" t="s">
        <v>126</v>
      </c>
      <c r="F30" s="1" t="s">
        <v>127</v>
      </c>
      <c r="G30" s="2"/>
      <c r="H30" s="2"/>
    </row>
    <row r="31" spans="1:11" ht="30" x14ac:dyDescent="0.25">
      <c r="A31" s="1">
        <f t="shared" si="0"/>
        <v>29</v>
      </c>
      <c r="B31" s="9" t="s">
        <v>15</v>
      </c>
      <c r="C31" s="2" t="s">
        <v>128</v>
      </c>
      <c r="D31" s="2" t="s">
        <v>129</v>
      </c>
      <c r="E31" s="2" t="s">
        <v>130</v>
      </c>
      <c r="F31" s="1" t="s">
        <v>74</v>
      </c>
      <c r="G31" s="2"/>
      <c r="H31" s="2"/>
    </row>
  </sheetData>
  <autoFilter ref="A2:H31" xr:uid="{B5A56C78-4307-4412-8747-D253BEC3AC31}"/>
  <mergeCells count="1">
    <mergeCell ref="A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213DF-3D1B-48D6-A20B-6BC6525912EF}">
  <sheetPr filterMode="1">
    <pageSetUpPr fitToPage="1"/>
  </sheetPr>
  <dimension ref="A1:E167"/>
  <sheetViews>
    <sheetView view="pageBreakPreview" zoomScale="145" zoomScaleNormal="130" zoomScaleSheetLayoutView="145" workbookViewId="0">
      <selection activeCell="B30" sqref="B30"/>
    </sheetView>
  </sheetViews>
  <sheetFormatPr defaultColWidth="8.7109375" defaultRowHeight="12.75" x14ac:dyDescent="0.2"/>
  <cols>
    <col min="1" max="1" width="6.42578125" style="48" customWidth="1"/>
    <col min="2" max="2" width="24.42578125" style="48" customWidth="1"/>
    <col min="3" max="3" width="20.7109375" style="48" customWidth="1"/>
    <col min="4" max="4" width="16.42578125" style="48" customWidth="1"/>
    <col min="5" max="5" width="22.42578125" style="48" customWidth="1"/>
    <col min="6" max="7" width="8.7109375" style="48" customWidth="1"/>
    <col min="8" max="8" width="11.85546875" style="48" customWidth="1"/>
    <col min="9" max="9" width="3.85546875" style="48" customWidth="1"/>
    <col min="10" max="16384" width="8.7109375" style="48"/>
  </cols>
  <sheetData>
    <row r="1" spans="1:5" ht="14.25" customHeight="1" x14ac:dyDescent="0.2">
      <c r="A1" s="99" t="s">
        <v>849</v>
      </c>
      <c r="B1" s="99"/>
      <c r="C1" s="101" t="s">
        <v>850</v>
      </c>
      <c r="D1" s="101"/>
      <c r="E1" s="101"/>
    </row>
    <row r="2" spans="1:5" ht="12.75" customHeight="1" x14ac:dyDescent="0.2">
      <c r="A2" s="99"/>
      <c r="B2" s="99"/>
      <c r="C2" s="102" t="s">
        <v>851</v>
      </c>
      <c r="D2" s="102"/>
      <c r="E2" s="102"/>
    </row>
    <row r="3" spans="1:5" ht="12.75" customHeight="1" x14ac:dyDescent="0.2">
      <c r="A3" s="99"/>
      <c r="B3" s="99"/>
      <c r="C3" s="102" t="s">
        <v>852</v>
      </c>
      <c r="D3" s="102"/>
      <c r="E3" s="102"/>
    </row>
    <row r="4" spans="1:5" ht="12.75" customHeight="1" x14ac:dyDescent="0.2">
      <c r="A4" s="100"/>
      <c r="B4" s="100"/>
      <c r="C4" s="102" t="s">
        <v>853</v>
      </c>
      <c r="D4" s="102"/>
      <c r="E4" s="102"/>
    </row>
    <row r="5" spans="1:5" ht="19.5" customHeight="1" x14ac:dyDescent="0.2">
      <c r="A5" s="97" t="s">
        <v>854</v>
      </c>
      <c r="B5" s="97"/>
      <c r="C5" s="98"/>
      <c r="D5" s="98"/>
      <c r="E5" s="98"/>
    </row>
    <row r="6" spans="1:5" ht="2.1" customHeight="1" x14ac:dyDescent="0.2">
      <c r="A6" s="92"/>
      <c r="B6" s="93"/>
      <c r="C6" s="93"/>
      <c r="D6" s="93"/>
      <c r="E6" s="94"/>
    </row>
    <row r="7" spans="1:5" ht="19.5" customHeight="1" x14ac:dyDescent="0.2">
      <c r="A7" s="49" t="s">
        <v>855</v>
      </c>
      <c r="B7" s="50"/>
      <c r="C7" s="50"/>
      <c r="D7" s="50"/>
      <c r="E7" s="51" t="s">
        <v>856</v>
      </c>
    </row>
    <row r="8" spans="1:5" ht="19.5" customHeight="1" x14ac:dyDescent="0.2">
      <c r="A8" s="49" t="s">
        <v>857</v>
      </c>
      <c r="B8" s="50"/>
      <c r="C8" s="50"/>
      <c r="D8" s="50"/>
      <c r="E8" s="52"/>
    </row>
    <row r="9" spans="1:5" ht="19.5" customHeight="1" x14ac:dyDescent="0.2">
      <c r="A9" s="49" t="s">
        <v>858</v>
      </c>
      <c r="B9" s="50"/>
      <c r="C9" s="50"/>
      <c r="D9" s="50"/>
      <c r="E9" s="52"/>
    </row>
    <row r="10" spans="1:5" ht="2.1" customHeight="1" x14ac:dyDescent="0.2">
      <c r="A10" s="53"/>
      <c r="B10" s="54"/>
      <c r="C10" s="54"/>
      <c r="D10" s="54"/>
      <c r="E10" s="55"/>
    </row>
    <row r="11" spans="1:5" s="57" customFormat="1" ht="12" customHeight="1" x14ac:dyDescent="0.25">
      <c r="A11" s="56" t="s">
        <v>859</v>
      </c>
      <c r="B11" s="56" t="s">
        <v>860</v>
      </c>
      <c r="C11" s="56" t="s">
        <v>861</v>
      </c>
      <c r="D11" s="56" t="s">
        <v>862</v>
      </c>
      <c r="E11" s="56" t="s">
        <v>863</v>
      </c>
    </row>
    <row r="12" spans="1:5" s="57" customFormat="1" hidden="1" x14ac:dyDescent="0.25">
      <c r="A12" s="58">
        <v>1</v>
      </c>
      <c r="B12" s="58" t="s">
        <v>658</v>
      </c>
      <c r="C12" s="58" t="s">
        <v>864</v>
      </c>
      <c r="D12" s="59">
        <v>489</v>
      </c>
      <c r="E12" s="95" t="s">
        <v>865</v>
      </c>
    </row>
    <row r="13" spans="1:5" s="57" customFormat="1" hidden="1" x14ac:dyDescent="0.25">
      <c r="A13" s="58">
        <v>2</v>
      </c>
      <c r="B13" s="58" t="s">
        <v>662</v>
      </c>
      <c r="C13" s="58" t="s">
        <v>864</v>
      </c>
      <c r="D13" s="59">
        <v>488</v>
      </c>
      <c r="E13" s="95"/>
    </row>
    <row r="14" spans="1:5" s="57" customFormat="1" hidden="1" x14ac:dyDescent="0.25">
      <c r="A14" s="58">
        <v>3</v>
      </c>
      <c r="B14" s="58" t="s">
        <v>866</v>
      </c>
      <c r="C14" s="58" t="s">
        <v>864</v>
      </c>
      <c r="D14" s="59">
        <v>3465</v>
      </c>
      <c r="E14" s="95"/>
    </row>
    <row r="15" spans="1:5" s="57" customFormat="1" hidden="1" x14ac:dyDescent="0.25">
      <c r="A15" s="58">
        <v>4</v>
      </c>
      <c r="B15" s="58" t="s">
        <v>471</v>
      </c>
      <c r="C15" s="58" t="s">
        <v>864</v>
      </c>
      <c r="D15" s="59">
        <v>990</v>
      </c>
      <c r="E15" s="95"/>
    </row>
    <row r="16" spans="1:5" s="57" customFormat="1" hidden="1" x14ac:dyDescent="0.25">
      <c r="A16" s="58">
        <v>5</v>
      </c>
      <c r="B16" s="58" t="s">
        <v>472</v>
      </c>
      <c r="C16" s="58" t="s">
        <v>864</v>
      </c>
      <c r="D16" s="59">
        <v>990</v>
      </c>
      <c r="E16" s="95"/>
    </row>
    <row r="17" spans="1:5" s="57" customFormat="1" x14ac:dyDescent="0.25">
      <c r="A17" s="58">
        <v>6</v>
      </c>
      <c r="B17" s="58" t="s">
        <v>407</v>
      </c>
      <c r="C17" s="58" t="s">
        <v>864</v>
      </c>
      <c r="D17" s="59">
        <v>2475</v>
      </c>
      <c r="E17" s="95"/>
    </row>
    <row r="18" spans="1:5" s="57" customFormat="1" hidden="1" x14ac:dyDescent="0.25">
      <c r="A18" s="58">
        <v>7</v>
      </c>
      <c r="B18" s="58" t="s">
        <v>494</v>
      </c>
      <c r="C18" s="58" t="s">
        <v>864</v>
      </c>
      <c r="D18" s="59">
        <v>5445</v>
      </c>
      <c r="E18" s="95"/>
    </row>
    <row r="19" spans="1:5" s="57" customFormat="1" hidden="1" x14ac:dyDescent="0.25">
      <c r="A19" s="58">
        <v>8</v>
      </c>
      <c r="B19" s="58" t="s">
        <v>521</v>
      </c>
      <c r="C19" s="58" t="s">
        <v>864</v>
      </c>
      <c r="D19" s="59">
        <v>990</v>
      </c>
      <c r="E19" s="95"/>
    </row>
    <row r="20" spans="1:5" s="57" customFormat="1" hidden="1" x14ac:dyDescent="0.25">
      <c r="A20" s="58">
        <v>9</v>
      </c>
      <c r="B20" s="58" t="s">
        <v>525</v>
      </c>
      <c r="C20" s="58" t="s">
        <v>864</v>
      </c>
      <c r="D20" s="59">
        <v>495</v>
      </c>
      <c r="E20" s="95"/>
    </row>
    <row r="21" spans="1:5" s="57" customFormat="1" hidden="1" x14ac:dyDescent="0.25">
      <c r="A21" s="58">
        <v>10</v>
      </c>
      <c r="B21" s="58" t="s">
        <v>466</v>
      </c>
      <c r="C21" s="58" t="s">
        <v>864</v>
      </c>
      <c r="D21" s="59">
        <v>40570</v>
      </c>
      <c r="E21" s="95"/>
    </row>
    <row r="22" spans="1:5" s="57" customFormat="1" hidden="1" x14ac:dyDescent="0.25">
      <c r="A22" s="58">
        <v>11</v>
      </c>
      <c r="B22" s="58" t="s">
        <v>461</v>
      </c>
      <c r="C22" s="58" t="s">
        <v>864</v>
      </c>
      <c r="D22" s="59">
        <v>990</v>
      </c>
      <c r="E22" s="95"/>
    </row>
    <row r="23" spans="1:5" s="57" customFormat="1" hidden="1" x14ac:dyDescent="0.25">
      <c r="A23" s="58">
        <v>12</v>
      </c>
      <c r="B23" s="58" t="s">
        <v>544</v>
      </c>
      <c r="C23" s="58" t="s">
        <v>864</v>
      </c>
      <c r="D23" s="59">
        <v>495</v>
      </c>
      <c r="E23" s="95"/>
    </row>
    <row r="24" spans="1:5" s="57" customFormat="1" hidden="1" x14ac:dyDescent="0.25">
      <c r="A24" s="58">
        <v>13</v>
      </c>
      <c r="B24" s="58" t="s">
        <v>439</v>
      </c>
      <c r="C24" s="58" t="s">
        <v>864</v>
      </c>
      <c r="D24" s="59">
        <v>495</v>
      </c>
      <c r="E24" s="95"/>
    </row>
    <row r="25" spans="1:5" s="57" customFormat="1" hidden="1" x14ac:dyDescent="0.25">
      <c r="A25" s="58">
        <v>14</v>
      </c>
      <c r="B25" s="58" t="s">
        <v>492</v>
      </c>
      <c r="C25" s="58" t="s">
        <v>864</v>
      </c>
      <c r="D25" s="59">
        <v>495</v>
      </c>
      <c r="E25" s="95"/>
    </row>
    <row r="26" spans="1:5" s="57" customFormat="1" hidden="1" x14ac:dyDescent="0.25">
      <c r="A26" s="58">
        <v>15</v>
      </c>
      <c r="B26" s="58" t="s">
        <v>510</v>
      </c>
      <c r="C26" s="58" t="s">
        <v>864</v>
      </c>
      <c r="D26" s="59">
        <v>495</v>
      </c>
      <c r="E26" s="95"/>
    </row>
    <row r="27" spans="1:5" s="57" customFormat="1" hidden="1" x14ac:dyDescent="0.25">
      <c r="A27" s="58">
        <v>16</v>
      </c>
      <c r="B27" s="58" t="s">
        <v>511</v>
      </c>
      <c r="C27" s="58" t="s">
        <v>864</v>
      </c>
      <c r="D27" s="59">
        <v>495</v>
      </c>
      <c r="E27" s="95"/>
    </row>
    <row r="28" spans="1:5" s="57" customFormat="1" hidden="1" x14ac:dyDescent="0.25">
      <c r="A28" s="58">
        <v>17</v>
      </c>
      <c r="B28" s="58" t="s">
        <v>512</v>
      </c>
      <c r="C28" s="58" t="s">
        <v>864</v>
      </c>
      <c r="D28" s="59">
        <v>495</v>
      </c>
      <c r="E28" s="95"/>
    </row>
    <row r="29" spans="1:5" s="57" customFormat="1" hidden="1" x14ac:dyDescent="0.25">
      <c r="A29" s="58">
        <v>18</v>
      </c>
      <c r="B29" s="58" t="s">
        <v>508</v>
      </c>
      <c r="C29" s="58" t="s">
        <v>864</v>
      </c>
      <c r="D29" s="59">
        <v>3945</v>
      </c>
      <c r="E29" s="95"/>
    </row>
    <row r="30" spans="1:5" s="57" customFormat="1" x14ac:dyDescent="0.25">
      <c r="A30" s="58">
        <v>19</v>
      </c>
      <c r="B30" s="58" t="s">
        <v>867</v>
      </c>
      <c r="C30" s="58" t="s">
        <v>864</v>
      </c>
      <c r="D30" s="59">
        <v>13360</v>
      </c>
      <c r="E30" s="95"/>
    </row>
    <row r="31" spans="1:5" s="57" customFormat="1" hidden="1" x14ac:dyDescent="0.25">
      <c r="A31" s="58">
        <v>20</v>
      </c>
      <c r="B31" s="58" t="s">
        <v>454</v>
      </c>
      <c r="C31" s="58" t="s">
        <v>864</v>
      </c>
      <c r="D31" s="59">
        <v>1485</v>
      </c>
      <c r="E31" s="95"/>
    </row>
    <row r="32" spans="1:5" s="57" customFormat="1" hidden="1" x14ac:dyDescent="0.25">
      <c r="A32" s="58">
        <v>21</v>
      </c>
      <c r="B32" s="58" t="s">
        <v>507</v>
      </c>
      <c r="C32" s="58" t="s">
        <v>864</v>
      </c>
      <c r="D32" s="59">
        <v>3960</v>
      </c>
      <c r="E32" s="95"/>
    </row>
    <row r="33" spans="1:5" s="57" customFormat="1" hidden="1" x14ac:dyDescent="0.25">
      <c r="A33" s="58">
        <v>22</v>
      </c>
      <c r="B33" s="58" t="s">
        <v>513</v>
      </c>
      <c r="C33" s="58" t="s">
        <v>864</v>
      </c>
      <c r="D33" s="59">
        <v>495</v>
      </c>
      <c r="E33" s="95"/>
    </row>
    <row r="34" spans="1:5" s="57" customFormat="1" x14ac:dyDescent="0.25">
      <c r="A34" s="58">
        <v>23</v>
      </c>
      <c r="B34" s="58" t="s">
        <v>868</v>
      </c>
      <c r="C34" s="58" t="s">
        <v>864</v>
      </c>
      <c r="D34" s="59">
        <v>495</v>
      </c>
      <c r="E34" s="95"/>
    </row>
    <row r="35" spans="1:5" s="57" customFormat="1" hidden="1" x14ac:dyDescent="0.25">
      <c r="A35" s="58">
        <v>24</v>
      </c>
      <c r="B35" s="58" t="s">
        <v>667</v>
      </c>
      <c r="C35" s="58" t="s">
        <v>864</v>
      </c>
      <c r="D35" s="59">
        <v>990</v>
      </c>
      <c r="E35" s="95"/>
    </row>
    <row r="36" spans="1:5" s="57" customFormat="1" hidden="1" x14ac:dyDescent="0.25">
      <c r="A36" s="58">
        <v>25</v>
      </c>
      <c r="B36" s="58" t="s">
        <v>499</v>
      </c>
      <c r="C36" s="58" t="s">
        <v>864</v>
      </c>
      <c r="D36" s="59">
        <v>495</v>
      </c>
      <c r="E36" s="95"/>
    </row>
    <row r="37" spans="1:5" s="57" customFormat="1" hidden="1" x14ac:dyDescent="0.25">
      <c r="A37" s="58">
        <v>26</v>
      </c>
      <c r="B37" s="58" t="s">
        <v>491</v>
      </c>
      <c r="C37" s="58" t="s">
        <v>864</v>
      </c>
      <c r="D37" s="59">
        <v>495</v>
      </c>
      <c r="E37" s="95"/>
    </row>
    <row r="38" spans="1:5" s="57" customFormat="1" hidden="1" x14ac:dyDescent="0.25">
      <c r="A38" s="58">
        <v>27</v>
      </c>
      <c r="B38" s="58" t="s">
        <v>503</v>
      </c>
      <c r="C38" s="58" t="s">
        <v>864</v>
      </c>
      <c r="D38" s="59">
        <v>495</v>
      </c>
      <c r="E38" s="95"/>
    </row>
    <row r="39" spans="1:5" s="57" customFormat="1" hidden="1" x14ac:dyDescent="0.25">
      <c r="A39" s="58">
        <v>28</v>
      </c>
      <c r="B39" s="58" t="s">
        <v>668</v>
      </c>
      <c r="C39" s="58" t="s">
        <v>864</v>
      </c>
      <c r="D39" s="59">
        <v>990</v>
      </c>
      <c r="E39" s="95"/>
    </row>
    <row r="40" spans="1:5" s="57" customFormat="1" hidden="1" x14ac:dyDescent="0.25">
      <c r="A40" s="58">
        <v>29</v>
      </c>
      <c r="B40" s="58" t="s">
        <v>670</v>
      </c>
      <c r="C40" s="58" t="s">
        <v>864</v>
      </c>
      <c r="D40" s="59">
        <v>990</v>
      </c>
      <c r="E40" s="95"/>
    </row>
    <row r="41" spans="1:5" s="57" customFormat="1" hidden="1" x14ac:dyDescent="0.25">
      <c r="A41" s="58">
        <v>30</v>
      </c>
      <c r="B41" s="58" t="s">
        <v>869</v>
      </c>
      <c r="C41" s="58" t="s">
        <v>864</v>
      </c>
      <c r="D41" s="59">
        <v>495</v>
      </c>
      <c r="E41" s="95"/>
    </row>
    <row r="42" spans="1:5" s="57" customFormat="1" hidden="1" x14ac:dyDescent="0.25">
      <c r="A42" s="58">
        <v>31</v>
      </c>
      <c r="B42" s="58" t="s">
        <v>672</v>
      </c>
      <c r="C42" s="58" t="s">
        <v>864</v>
      </c>
      <c r="D42" s="59">
        <v>495</v>
      </c>
      <c r="E42" s="95"/>
    </row>
    <row r="43" spans="1:5" s="57" customFormat="1" hidden="1" x14ac:dyDescent="0.25">
      <c r="A43" s="58">
        <v>32</v>
      </c>
      <c r="B43" s="58" t="s">
        <v>673</v>
      </c>
      <c r="C43" s="58" t="s">
        <v>864</v>
      </c>
      <c r="D43" s="59">
        <v>495</v>
      </c>
      <c r="E43" s="95"/>
    </row>
    <row r="44" spans="1:5" s="57" customFormat="1" hidden="1" x14ac:dyDescent="0.25">
      <c r="A44" s="58">
        <v>33</v>
      </c>
      <c r="B44" s="58" t="s">
        <v>443</v>
      </c>
      <c r="C44" s="58" t="s">
        <v>864</v>
      </c>
      <c r="D44" s="59">
        <v>985</v>
      </c>
      <c r="E44" s="95"/>
    </row>
    <row r="45" spans="1:5" s="57" customFormat="1" hidden="1" x14ac:dyDescent="0.25">
      <c r="A45" s="58">
        <v>34</v>
      </c>
      <c r="B45" s="58" t="s">
        <v>675</v>
      </c>
      <c r="C45" s="58" t="s">
        <v>864</v>
      </c>
      <c r="D45" s="59">
        <v>495</v>
      </c>
      <c r="E45" s="95"/>
    </row>
    <row r="46" spans="1:5" s="57" customFormat="1" hidden="1" x14ac:dyDescent="0.25">
      <c r="A46" s="58">
        <v>35</v>
      </c>
      <c r="B46" s="58" t="s">
        <v>413</v>
      </c>
      <c r="C46" s="58" t="s">
        <v>864</v>
      </c>
      <c r="D46" s="59">
        <v>495</v>
      </c>
      <c r="E46" s="95"/>
    </row>
    <row r="47" spans="1:5" s="57" customFormat="1" hidden="1" x14ac:dyDescent="0.25">
      <c r="A47" s="58">
        <v>36</v>
      </c>
      <c r="B47" s="58" t="s">
        <v>870</v>
      </c>
      <c r="C47" s="58" t="s">
        <v>864</v>
      </c>
      <c r="D47" s="59">
        <v>500</v>
      </c>
      <c r="E47" s="95"/>
    </row>
    <row r="48" spans="1:5" s="57" customFormat="1" hidden="1" x14ac:dyDescent="0.25">
      <c r="A48" s="58">
        <v>37</v>
      </c>
      <c r="B48" s="58" t="s">
        <v>677</v>
      </c>
      <c r="C48" s="58" t="s">
        <v>864</v>
      </c>
      <c r="D48" s="59">
        <v>495</v>
      </c>
      <c r="E48" s="95"/>
    </row>
    <row r="49" spans="1:5" s="57" customFormat="1" hidden="1" x14ac:dyDescent="0.25">
      <c r="A49" s="58">
        <v>38</v>
      </c>
      <c r="B49" s="58" t="s">
        <v>679</v>
      </c>
      <c r="C49" s="58" t="s">
        <v>864</v>
      </c>
      <c r="D49" s="59">
        <v>495</v>
      </c>
      <c r="E49" s="95"/>
    </row>
    <row r="50" spans="1:5" s="57" customFormat="1" hidden="1" x14ac:dyDescent="0.25">
      <c r="A50" s="58">
        <v>39</v>
      </c>
      <c r="B50" s="58" t="s">
        <v>463</v>
      </c>
      <c r="C50" s="58" t="s">
        <v>864</v>
      </c>
      <c r="D50" s="59">
        <v>4445</v>
      </c>
      <c r="E50" s="95"/>
    </row>
    <row r="51" spans="1:5" s="57" customFormat="1" hidden="1" x14ac:dyDescent="0.25">
      <c r="A51" s="58">
        <v>40</v>
      </c>
      <c r="B51" s="58" t="s">
        <v>422</v>
      </c>
      <c r="C51" s="58" t="s">
        <v>864</v>
      </c>
      <c r="D51" s="59">
        <v>2970</v>
      </c>
      <c r="E51" s="95"/>
    </row>
    <row r="52" spans="1:5" s="57" customFormat="1" hidden="1" x14ac:dyDescent="0.25">
      <c r="A52" s="58">
        <v>41</v>
      </c>
      <c r="B52" s="58" t="s">
        <v>411</v>
      </c>
      <c r="C52" s="58" t="s">
        <v>864</v>
      </c>
      <c r="D52" s="59">
        <v>495</v>
      </c>
      <c r="E52" s="95"/>
    </row>
    <row r="53" spans="1:5" s="57" customFormat="1" hidden="1" x14ac:dyDescent="0.25">
      <c r="A53" s="58">
        <v>42</v>
      </c>
      <c r="B53" s="58" t="s">
        <v>465</v>
      </c>
      <c r="C53" s="58" t="s">
        <v>864</v>
      </c>
      <c r="D53" s="59">
        <v>495</v>
      </c>
      <c r="E53" s="95"/>
    </row>
    <row r="54" spans="1:5" s="57" customFormat="1" hidden="1" x14ac:dyDescent="0.25">
      <c r="A54" s="58">
        <v>43</v>
      </c>
      <c r="B54" s="58" t="s">
        <v>487</v>
      </c>
      <c r="C54" s="58" t="s">
        <v>864</v>
      </c>
      <c r="D54" s="59">
        <v>490</v>
      </c>
      <c r="E54" s="95"/>
    </row>
    <row r="55" spans="1:5" s="57" customFormat="1" hidden="1" x14ac:dyDescent="0.25">
      <c r="A55" s="58">
        <v>44</v>
      </c>
      <c r="B55" s="58" t="s">
        <v>428</v>
      </c>
      <c r="C55" s="58" t="s">
        <v>864</v>
      </c>
      <c r="D55" s="59">
        <v>6915</v>
      </c>
      <c r="E55" s="95"/>
    </row>
    <row r="56" spans="1:5" s="57" customFormat="1" hidden="1" x14ac:dyDescent="0.25">
      <c r="A56" s="58">
        <v>45</v>
      </c>
      <c r="B56" s="58" t="s">
        <v>680</v>
      </c>
      <c r="C56" s="58" t="s">
        <v>864</v>
      </c>
      <c r="D56" s="59">
        <v>495</v>
      </c>
      <c r="E56" s="95"/>
    </row>
    <row r="57" spans="1:5" s="57" customFormat="1" hidden="1" x14ac:dyDescent="0.25">
      <c r="A57" s="58">
        <v>46</v>
      </c>
      <c r="B57" s="58" t="s">
        <v>415</v>
      </c>
      <c r="C57" s="58" t="s">
        <v>864</v>
      </c>
      <c r="D57" s="59">
        <v>2475</v>
      </c>
      <c r="E57" s="95"/>
    </row>
    <row r="58" spans="1:5" s="57" customFormat="1" hidden="1" x14ac:dyDescent="0.25">
      <c r="A58" s="58">
        <v>47</v>
      </c>
      <c r="B58" s="58" t="s">
        <v>681</v>
      </c>
      <c r="C58" s="58" t="s">
        <v>864</v>
      </c>
      <c r="D58" s="59">
        <v>990</v>
      </c>
      <c r="E58" s="95"/>
    </row>
    <row r="59" spans="1:5" s="57" customFormat="1" hidden="1" x14ac:dyDescent="0.25">
      <c r="A59" s="58">
        <v>48</v>
      </c>
      <c r="B59" s="58" t="s">
        <v>481</v>
      </c>
      <c r="C59" s="58" t="s">
        <v>864</v>
      </c>
      <c r="D59" s="59">
        <v>495</v>
      </c>
      <c r="E59" s="95"/>
    </row>
    <row r="60" spans="1:5" s="57" customFormat="1" hidden="1" x14ac:dyDescent="0.25">
      <c r="A60" s="58">
        <v>49</v>
      </c>
      <c r="B60" s="58" t="s">
        <v>497</v>
      </c>
      <c r="C60" s="58" t="s">
        <v>864</v>
      </c>
      <c r="D60" s="59">
        <v>495</v>
      </c>
      <c r="E60" s="95"/>
    </row>
    <row r="61" spans="1:5" s="57" customFormat="1" hidden="1" x14ac:dyDescent="0.25">
      <c r="A61" s="58">
        <v>50</v>
      </c>
      <c r="B61" s="58" t="s">
        <v>475</v>
      </c>
      <c r="C61" s="58" t="s">
        <v>864</v>
      </c>
      <c r="D61" s="59">
        <v>990</v>
      </c>
      <c r="E61" s="95"/>
    </row>
    <row r="62" spans="1:5" s="57" customFormat="1" hidden="1" x14ac:dyDescent="0.25">
      <c r="A62" s="58">
        <v>51</v>
      </c>
      <c r="B62" s="58" t="s">
        <v>432</v>
      </c>
      <c r="C62" s="58" t="s">
        <v>864</v>
      </c>
      <c r="D62" s="59">
        <v>4950</v>
      </c>
      <c r="E62" s="95"/>
    </row>
    <row r="63" spans="1:5" s="57" customFormat="1" hidden="1" x14ac:dyDescent="0.25">
      <c r="A63" s="58">
        <v>52</v>
      </c>
      <c r="B63" s="58" t="s">
        <v>447</v>
      </c>
      <c r="C63" s="58" t="s">
        <v>864</v>
      </c>
      <c r="D63" s="59">
        <v>2970</v>
      </c>
      <c r="E63" s="95"/>
    </row>
    <row r="64" spans="1:5" s="57" customFormat="1" hidden="1" x14ac:dyDescent="0.25">
      <c r="A64" s="58">
        <v>53</v>
      </c>
      <c r="B64" s="58" t="s">
        <v>489</v>
      </c>
      <c r="C64" s="58" t="s">
        <v>864</v>
      </c>
      <c r="D64" s="59">
        <v>6435</v>
      </c>
      <c r="E64" s="95"/>
    </row>
    <row r="65" spans="1:5" s="57" customFormat="1" hidden="1" x14ac:dyDescent="0.25">
      <c r="A65" s="58">
        <v>54</v>
      </c>
      <c r="B65" s="58" t="s">
        <v>682</v>
      </c>
      <c r="C65" s="58" t="s">
        <v>864</v>
      </c>
      <c r="D65" s="59">
        <v>990</v>
      </c>
      <c r="E65" s="95"/>
    </row>
    <row r="66" spans="1:5" s="57" customFormat="1" hidden="1" x14ac:dyDescent="0.25">
      <c r="A66" s="58" t="s">
        <v>871</v>
      </c>
      <c r="B66" s="58" t="s">
        <v>409</v>
      </c>
      <c r="C66" s="58" t="s">
        <v>864</v>
      </c>
      <c r="D66" s="59">
        <v>495</v>
      </c>
      <c r="E66" s="95"/>
    </row>
    <row r="67" spans="1:5" s="57" customFormat="1" hidden="1" x14ac:dyDescent="0.25">
      <c r="A67" s="58">
        <v>56</v>
      </c>
      <c r="B67" s="58" t="s">
        <v>426</v>
      </c>
      <c r="C67" s="58" t="s">
        <v>864</v>
      </c>
      <c r="D67" s="59">
        <v>990</v>
      </c>
      <c r="E67" s="95"/>
    </row>
    <row r="68" spans="1:5" s="57" customFormat="1" hidden="1" x14ac:dyDescent="0.25">
      <c r="A68" s="58">
        <v>57</v>
      </c>
      <c r="B68" s="58" t="s">
        <v>405</v>
      </c>
      <c r="C68" s="58" t="s">
        <v>864</v>
      </c>
      <c r="D68" s="59">
        <v>495</v>
      </c>
      <c r="E68" s="95"/>
    </row>
    <row r="69" spans="1:5" s="57" customFormat="1" hidden="1" x14ac:dyDescent="0.25">
      <c r="A69" s="58">
        <v>58</v>
      </c>
      <c r="B69" s="58" t="s">
        <v>684</v>
      </c>
      <c r="C69" s="58" t="s">
        <v>864</v>
      </c>
      <c r="D69" s="59">
        <v>495</v>
      </c>
      <c r="E69" s="95"/>
    </row>
    <row r="70" spans="1:5" s="57" customFormat="1" hidden="1" x14ac:dyDescent="0.25">
      <c r="A70" s="58">
        <v>59</v>
      </c>
      <c r="B70" s="58" t="s">
        <v>425</v>
      </c>
      <c r="C70" s="58" t="s">
        <v>864</v>
      </c>
      <c r="D70" s="59">
        <v>1980</v>
      </c>
      <c r="E70" s="95"/>
    </row>
    <row r="71" spans="1:5" s="57" customFormat="1" hidden="1" x14ac:dyDescent="0.25">
      <c r="A71" s="58">
        <v>60</v>
      </c>
      <c r="B71" s="58" t="s">
        <v>396</v>
      </c>
      <c r="C71" s="58" t="s">
        <v>864</v>
      </c>
      <c r="D71" s="59">
        <v>1485</v>
      </c>
      <c r="E71" s="95"/>
    </row>
    <row r="72" spans="1:5" s="57" customFormat="1" hidden="1" x14ac:dyDescent="0.25">
      <c r="A72" s="58">
        <v>61</v>
      </c>
      <c r="B72" s="58" t="s">
        <v>686</v>
      </c>
      <c r="C72" s="58" t="s">
        <v>864</v>
      </c>
      <c r="D72" s="59">
        <v>990</v>
      </c>
      <c r="E72" s="95"/>
    </row>
    <row r="73" spans="1:5" s="57" customFormat="1" hidden="1" x14ac:dyDescent="0.25">
      <c r="A73" s="58">
        <v>62</v>
      </c>
      <c r="B73" s="58" t="s">
        <v>688</v>
      </c>
      <c r="C73" s="58" t="s">
        <v>864</v>
      </c>
      <c r="D73" s="59">
        <v>495</v>
      </c>
      <c r="E73" s="95"/>
    </row>
    <row r="74" spans="1:5" s="57" customFormat="1" hidden="1" x14ac:dyDescent="0.25">
      <c r="A74" s="58">
        <v>63</v>
      </c>
      <c r="B74" s="58" t="s">
        <v>473</v>
      </c>
      <c r="C74" s="58" t="s">
        <v>864</v>
      </c>
      <c r="D74" s="59">
        <v>495</v>
      </c>
      <c r="E74" s="95"/>
    </row>
    <row r="75" spans="1:5" s="57" customFormat="1" hidden="1" x14ac:dyDescent="0.25">
      <c r="A75" s="58">
        <v>64</v>
      </c>
      <c r="B75" s="58" t="s">
        <v>455</v>
      </c>
      <c r="C75" s="58" t="s">
        <v>864</v>
      </c>
      <c r="D75" s="59">
        <v>495</v>
      </c>
      <c r="E75" s="95"/>
    </row>
    <row r="76" spans="1:5" s="57" customFormat="1" hidden="1" x14ac:dyDescent="0.25">
      <c r="A76" s="58">
        <v>65</v>
      </c>
      <c r="B76" s="58" t="s">
        <v>690</v>
      </c>
      <c r="C76" s="58" t="s">
        <v>864</v>
      </c>
      <c r="D76" s="59">
        <v>495</v>
      </c>
      <c r="E76" s="95"/>
    </row>
    <row r="77" spans="1:5" s="57" customFormat="1" hidden="1" x14ac:dyDescent="0.25">
      <c r="A77" s="58">
        <v>66</v>
      </c>
      <c r="B77" s="58" t="s">
        <v>456</v>
      </c>
      <c r="C77" s="58" t="s">
        <v>864</v>
      </c>
      <c r="D77" s="59">
        <v>495</v>
      </c>
      <c r="E77" s="95"/>
    </row>
    <row r="78" spans="1:5" s="57" customFormat="1" hidden="1" x14ac:dyDescent="0.25">
      <c r="A78" s="58">
        <v>67</v>
      </c>
      <c r="B78" s="58" t="s">
        <v>445</v>
      </c>
      <c r="C78" s="58" t="s">
        <v>864</v>
      </c>
      <c r="D78" s="59">
        <v>495</v>
      </c>
      <c r="E78" s="95"/>
    </row>
    <row r="79" spans="1:5" s="57" customFormat="1" hidden="1" x14ac:dyDescent="0.25">
      <c r="A79" s="58">
        <v>68</v>
      </c>
      <c r="B79" s="58" t="s">
        <v>438</v>
      </c>
      <c r="C79" s="58" t="s">
        <v>864</v>
      </c>
      <c r="D79" s="59">
        <v>495</v>
      </c>
      <c r="E79" s="95"/>
    </row>
    <row r="80" spans="1:5" s="57" customFormat="1" hidden="1" x14ac:dyDescent="0.25">
      <c r="A80" s="58">
        <v>69</v>
      </c>
      <c r="B80" s="58" t="s">
        <v>398</v>
      </c>
      <c r="C80" s="58" t="s">
        <v>864</v>
      </c>
      <c r="D80" s="59">
        <v>495</v>
      </c>
      <c r="E80" s="95"/>
    </row>
    <row r="81" spans="1:5" s="57" customFormat="1" hidden="1" x14ac:dyDescent="0.25">
      <c r="A81" s="58">
        <v>70</v>
      </c>
      <c r="B81" s="58" t="s">
        <v>449</v>
      </c>
      <c r="C81" s="58" t="s">
        <v>864</v>
      </c>
      <c r="D81" s="59">
        <v>990</v>
      </c>
      <c r="E81" s="95"/>
    </row>
    <row r="82" spans="1:5" s="57" customFormat="1" hidden="1" x14ac:dyDescent="0.25">
      <c r="A82" s="58">
        <v>71</v>
      </c>
      <c r="B82" s="58" t="s">
        <v>483</v>
      </c>
      <c r="C82" s="58" t="s">
        <v>864</v>
      </c>
      <c r="D82" s="59">
        <v>495</v>
      </c>
      <c r="E82" s="95"/>
    </row>
    <row r="83" spans="1:5" s="57" customFormat="1" hidden="1" x14ac:dyDescent="0.25">
      <c r="A83" s="58">
        <v>72</v>
      </c>
      <c r="B83" s="58" t="s">
        <v>501</v>
      </c>
      <c r="C83" s="58" t="s">
        <v>864</v>
      </c>
      <c r="D83" s="59">
        <v>495</v>
      </c>
      <c r="E83" s="95"/>
    </row>
    <row r="84" spans="1:5" s="57" customFormat="1" hidden="1" x14ac:dyDescent="0.25">
      <c r="A84" s="58">
        <v>73</v>
      </c>
      <c r="B84" s="58" t="s">
        <v>495</v>
      </c>
      <c r="C84" s="58" t="s">
        <v>864</v>
      </c>
      <c r="D84" s="59">
        <v>1480</v>
      </c>
      <c r="E84" s="95"/>
    </row>
    <row r="85" spans="1:5" s="57" customFormat="1" hidden="1" x14ac:dyDescent="0.25">
      <c r="A85" s="58">
        <v>74</v>
      </c>
      <c r="B85" s="58" t="s">
        <v>504</v>
      </c>
      <c r="C85" s="58" t="s">
        <v>864</v>
      </c>
      <c r="D85" s="59">
        <v>1485</v>
      </c>
      <c r="E85" s="95"/>
    </row>
    <row r="86" spans="1:5" s="57" customFormat="1" hidden="1" x14ac:dyDescent="0.25">
      <c r="A86" s="58">
        <v>75</v>
      </c>
      <c r="B86" s="58" t="s">
        <v>693</v>
      </c>
      <c r="C86" s="58" t="s">
        <v>864</v>
      </c>
      <c r="D86" s="59">
        <v>495</v>
      </c>
      <c r="E86" s="95"/>
    </row>
    <row r="87" spans="1:5" s="57" customFormat="1" hidden="1" x14ac:dyDescent="0.25">
      <c r="A87" s="58">
        <v>76</v>
      </c>
      <c r="B87" s="58" t="s">
        <v>441</v>
      </c>
      <c r="C87" s="58" t="s">
        <v>864</v>
      </c>
      <c r="D87" s="59">
        <v>3455</v>
      </c>
      <c r="E87" s="95"/>
    </row>
    <row r="88" spans="1:5" s="57" customFormat="1" hidden="1" x14ac:dyDescent="0.25">
      <c r="A88" s="58">
        <v>77</v>
      </c>
      <c r="B88" s="58" t="s">
        <v>418</v>
      </c>
      <c r="C88" s="58" t="s">
        <v>864</v>
      </c>
      <c r="D88" s="59">
        <v>495</v>
      </c>
      <c r="E88" s="95"/>
    </row>
    <row r="89" spans="1:5" s="57" customFormat="1" hidden="1" x14ac:dyDescent="0.25">
      <c r="A89" s="58">
        <v>78</v>
      </c>
      <c r="B89" s="58" t="s">
        <v>424</v>
      </c>
      <c r="C89" s="58" t="s">
        <v>864</v>
      </c>
      <c r="D89" s="59">
        <v>2970</v>
      </c>
      <c r="E89" s="95"/>
    </row>
    <row r="90" spans="1:5" s="57" customFormat="1" hidden="1" x14ac:dyDescent="0.25">
      <c r="A90" s="58">
        <v>79</v>
      </c>
      <c r="B90" s="58" t="s">
        <v>452</v>
      </c>
      <c r="C90" s="58" t="s">
        <v>864</v>
      </c>
      <c r="D90" s="59">
        <v>495</v>
      </c>
      <c r="E90" s="95"/>
    </row>
    <row r="91" spans="1:5" s="57" customFormat="1" hidden="1" x14ac:dyDescent="0.25">
      <c r="A91" s="58">
        <v>80</v>
      </c>
      <c r="B91" s="58" t="s">
        <v>694</v>
      </c>
      <c r="C91" s="58" t="s">
        <v>864</v>
      </c>
      <c r="D91" s="59">
        <v>495</v>
      </c>
      <c r="E91" s="95"/>
    </row>
    <row r="92" spans="1:5" s="57" customFormat="1" hidden="1" x14ac:dyDescent="0.25">
      <c r="A92" s="58">
        <v>81</v>
      </c>
      <c r="B92" s="58" t="s">
        <v>526</v>
      </c>
      <c r="C92" s="58" t="s">
        <v>864</v>
      </c>
      <c r="D92" s="59">
        <v>4950</v>
      </c>
      <c r="E92" s="95"/>
    </row>
    <row r="93" spans="1:5" s="57" customFormat="1" hidden="1" x14ac:dyDescent="0.25">
      <c r="A93" s="58">
        <v>82</v>
      </c>
      <c r="B93" s="58" t="s">
        <v>532</v>
      </c>
      <c r="C93" s="58" t="s">
        <v>864</v>
      </c>
      <c r="D93" s="59">
        <v>495</v>
      </c>
      <c r="E93" s="95"/>
    </row>
    <row r="94" spans="1:5" s="57" customFormat="1" hidden="1" x14ac:dyDescent="0.25">
      <c r="A94" s="58">
        <v>84</v>
      </c>
      <c r="B94" s="58" t="s">
        <v>509</v>
      </c>
      <c r="C94" s="58" t="s">
        <v>864</v>
      </c>
      <c r="D94" s="59">
        <v>21090</v>
      </c>
      <c r="E94" s="95"/>
    </row>
    <row r="95" spans="1:5" s="57" customFormat="1" hidden="1" x14ac:dyDescent="0.25">
      <c r="A95" s="58">
        <v>85</v>
      </c>
      <c r="B95" s="58" t="s">
        <v>516</v>
      </c>
      <c r="C95" s="58" t="s">
        <v>864</v>
      </c>
      <c r="D95" s="59">
        <v>16805</v>
      </c>
      <c r="E95" s="95"/>
    </row>
    <row r="96" spans="1:5" s="57" customFormat="1" hidden="1" x14ac:dyDescent="0.25">
      <c r="A96" s="58">
        <v>86</v>
      </c>
      <c r="B96" s="58" t="s">
        <v>539</v>
      </c>
      <c r="C96" s="58" t="s">
        <v>864</v>
      </c>
      <c r="D96" s="59">
        <v>495</v>
      </c>
      <c r="E96" s="95"/>
    </row>
    <row r="97" spans="1:5" s="57" customFormat="1" hidden="1" x14ac:dyDescent="0.25">
      <c r="A97" s="58">
        <v>87</v>
      </c>
      <c r="B97" s="58" t="s">
        <v>527</v>
      </c>
      <c r="C97" s="58" t="s">
        <v>864</v>
      </c>
      <c r="D97" s="59">
        <v>495</v>
      </c>
      <c r="E97" s="95"/>
    </row>
    <row r="98" spans="1:5" s="57" customFormat="1" hidden="1" x14ac:dyDescent="0.25">
      <c r="A98" s="58">
        <v>88</v>
      </c>
      <c r="B98" s="58" t="s">
        <v>695</v>
      </c>
      <c r="C98" s="58" t="s">
        <v>864</v>
      </c>
      <c r="D98" s="59">
        <v>990</v>
      </c>
      <c r="E98" s="95"/>
    </row>
    <row r="99" spans="1:5" s="57" customFormat="1" hidden="1" x14ac:dyDescent="0.25">
      <c r="A99" s="58">
        <v>89</v>
      </c>
      <c r="B99" s="58" t="s">
        <v>528</v>
      </c>
      <c r="C99" s="58" t="s">
        <v>864</v>
      </c>
      <c r="D99" s="59">
        <v>495</v>
      </c>
      <c r="E99" s="95"/>
    </row>
    <row r="100" spans="1:5" s="57" customFormat="1" hidden="1" x14ac:dyDescent="0.25">
      <c r="A100" s="58">
        <v>90</v>
      </c>
      <c r="B100" s="58" t="s">
        <v>696</v>
      </c>
      <c r="C100" s="58" t="s">
        <v>864</v>
      </c>
      <c r="D100" s="59">
        <v>500</v>
      </c>
      <c r="E100" s="95"/>
    </row>
    <row r="101" spans="1:5" s="57" customFormat="1" hidden="1" x14ac:dyDescent="0.25">
      <c r="A101" s="58">
        <v>91</v>
      </c>
      <c r="B101" s="58" t="s">
        <v>545</v>
      </c>
      <c r="C101" s="58" t="s">
        <v>864</v>
      </c>
      <c r="D101" s="59">
        <v>495</v>
      </c>
      <c r="E101" s="95"/>
    </row>
    <row r="102" spans="1:5" s="57" customFormat="1" hidden="1" x14ac:dyDescent="0.25">
      <c r="A102" s="58">
        <v>92</v>
      </c>
      <c r="B102" s="58" t="s">
        <v>540</v>
      </c>
      <c r="C102" s="58" t="s">
        <v>864</v>
      </c>
      <c r="D102" s="59">
        <v>2475</v>
      </c>
      <c r="E102" s="95"/>
    </row>
    <row r="103" spans="1:5" s="57" customFormat="1" hidden="1" x14ac:dyDescent="0.25">
      <c r="A103" s="58">
        <v>93</v>
      </c>
      <c r="B103" s="58" t="s">
        <v>519</v>
      </c>
      <c r="C103" s="58" t="s">
        <v>864</v>
      </c>
      <c r="D103" s="59">
        <v>9385</v>
      </c>
      <c r="E103" s="95"/>
    </row>
    <row r="104" spans="1:5" s="57" customFormat="1" hidden="1" x14ac:dyDescent="0.25">
      <c r="A104" s="58">
        <v>94</v>
      </c>
      <c r="B104" s="58" t="s">
        <v>697</v>
      </c>
      <c r="C104" s="58" t="s">
        <v>864</v>
      </c>
      <c r="D104" s="59">
        <v>495</v>
      </c>
      <c r="E104" s="95"/>
    </row>
    <row r="105" spans="1:5" s="57" customFormat="1" hidden="1" x14ac:dyDescent="0.25">
      <c r="A105" s="58">
        <v>95</v>
      </c>
      <c r="B105" s="58" t="s">
        <v>529</v>
      </c>
      <c r="C105" s="58" t="s">
        <v>864</v>
      </c>
      <c r="D105" s="59">
        <v>495</v>
      </c>
      <c r="E105" s="95"/>
    </row>
    <row r="106" spans="1:5" s="57" customFormat="1" hidden="1" x14ac:dyDescent="0.25">
      <c r="A106" s="58">
        <v>96</v>
      </c>
      <c r="B106" s="58" t="s">
        <v>434</v>
      </c>
      <c r="C106" s="58" t="s">
        <v>864</v>
      </c>
      <c r="D106" s="59">
        <v>495</v>
      </c>
      <c r="E106" s="95"/>
    </row>
    <row r="107" spans="1:5" s="57" customFormat="1" hidden="1" x14ac:dyDescent="0.25">
      <c r="A107" s="58">
        <v>97</v>
      </c>
      <c r="B107" s="58" t="s">
        <v>530</v>
      </c>
      <c r="C107" s="58" t="s">
        <v>864</v>
      </c>
      <c r="D107" s="59">
        <v>495</v>
      </c>
      <c r="E107" s="95"/>
    </row>
    <row r="108" spans="1:5" s="57" customFormat="1" hidden="1" x14ac:dyDescent="0.25">
      <c r="A108" s="58">
        <v>98</v>
      </c>
      <c r="B108" s="58" t="s">
        <v>518</v>
      </c>
      <c r="C108" s="58" t="s">
        <v>864</v>
      </c>
      <c r="D108" s="59">
        <v>7400</v>
      </c>
      <c r="E108" s="95"/>
    </row>
    <row r="109" spans="1:5" s="57" customFormat="1" hidden="1" x14ac:dyDescent="0.25">
      <c r="A109" s="58">
        <v>99</v>
      </c>
      <c r="B109" s="58" t="s">
        <v>531</v>
      </c>
      <c r="C109" s="58" t="s">
        <v>864</v>
      </c>
      <c r="D109" s="59">
        <v>990</v>
      </c>
      <c r="E109" s="95"/>
    </row>
    <row r="110" spans="1:5" s="57" customFormat="1" hidden="1" x14ac:dyDescent="0.25">
      <c r="A110" s="58">
        <v>100</v>
      </c>
      <c r="B110" s="58" t="s">
        <v>522</v>
      </c>
      <c r="C110" s="58" t="s">
        <v>864</v>
      </c>
      <c r="D110" s="59">
        <v>13365</v>
      </c>
      <c r="E110" s="95"/>
    </row>
    <row r="111" spans="1:5" s="57" customFormat="1" hidden="1" x14ac:dyDescent="0.25">
      <c r="A111" s="58">
        <v>101</v>
      </c>
      <c r="B111" s="58" t="s">
        <v>541</v>
      </c>
      <c r="C111" s="58" t="s">
        <v>864</v>
      </c>
      <c r="D111" s="59">
        <v>495</v>
      </c>
      <c r="E111" s="95"/>
    </row>
    <row r="112" spans="1:5" s="57" customFormat="1" hidden="1" x14ac:dyDescent="0.25">
      <c r="A112" s="58">
        <v>102</v>
      </c>
      <c r="B112" s="58" t="s">
        <v>533</v>
      </c>
      <c r="C112" s="58" t="s">
        <v>864</v>
      </c>
      <c r="D112" s="59">
        <v>990</v>
      </c>
      <c r="E112" s="95"/>
    </row>
    <row r="113" spans="1:5" s="57" customFormat="1" hidden="1" x14ac:dyDescent="0.25">
      <c r="A113" s="58">
        <v>103</v>
      </c>
      <c r="B113" s="58" t="s">
        <v>514</v>
      </c>
      <c r="C113" s="58" t="s">
        <v>864</v>
      </c>
      <c r="D113" s="59">
        <v>10000</v>
      </c>
      <c r="E113" s="95"/>
    </row>
    <row r="114" spans="1:5" s="57" customFormat="1" hidden="1" x14ac:dyDescent="0.25">
      <c r="A114" s="58">
        <v>104</v>
      </c>
      <c r="B114" s="58" t="s">
        <v>515</v>
      </c>
      <c r="C114" s="58" t="s">
        <v>864</v>
      </c>
      <c r="D114" s="59">
        <v>490</v>
      </c>
      <c r="E114" s="95"/>
    </row>
    <row r="115" spans="1:5" s="57" customFormat="1" hidden="1" x14ac:dyDescent="0.25">
      <c r="A115" s="58">
        <v>105</v>
      </c>
      <c r="B115" s="58" t="s">
        <v>534</v>
      </c>
      <c r="C115" s="58" t="s">
        <v>864</v>
      </c>
      <c r="D115" s="59">
        <v>495</v>
      </c>
      <c r="E115" s="95"/>
    </row>
    <row r="116" spans="1:5" s="57" customFormat="1" hidden="1" x14ac:dyDescent="0.25">
      <c r="A116" s="58">
        <v>106</v>
      </c>
      <c r="B116" s="58" t="s">
        <v>517</v>
      </c>
      <c r="C116" s="58" t="s">
        <v>864</v>
      </c>
      <c r="D116" s="59">
        <v>4450</v>
      </c>
      <c r="E116" s="95"/>
    </row>
    <row r="117" spans="1:5" s="57" customFormat="1" hidden="1" x14ac:dyDescent="0.25">
      <c r="A117" s="58">
        <v>107</v>
      </c>
      <c r="B117" s="58" t="s">
        <v>535</v>
      </c>
      <c r="C117" s="58" t="s">
        <v>864</v>
      </c>
      <c r="D117" s="59">
        <v>1980</v>
      </c>
      <c r="E117" s="95"/>
    </row>
    <row r="118" spans="1:5" s="57" customFormat="1" hidden="1" x14ac:dyDescent="0.25">
      <c r="A118" s="58">
        <v>108</v>
      </c>
      <c r="B118" s="58" t="s">
        <v>536</v>
      </c>
      <c r="C118" s="58" t="s">
        <v>864</v>
      </c>
      <c r="D118" s="59">
        <v>495</v>
      </c>
      <c r="E118" s="95"/>
    </row>
    <row r="119" spans="1:5" s="57" customFormat="1" hidden="1" x14ac:dyDescent="0.25">
      <c r="A119" s="58">
        <v>109</v>
      </c>
      <c r="B119" s="58" t="s">
        <v>523</v>
      </c>
      <c r="C119" s="58" t="s">
        <v>864</v>
      </c>
      <c r="D119" s="59">
        <v>8420</v>
      </c>
      <c r="E119" s="95"/>
    </row>
    <row r="120" spans="1:5" s="57" customFormat="1" hidden="1" x14ac:dyDescent="0.25">
      <c r="A120" s="58">
        <v>110</v>
      </c>
      <c r="B120" s="58" t="s">
        <v>698</v>
      </c>
      <c r="C120" s="58" t="s">
        <v>864</v>
      </c>
      <c r="D120" s="59">
        <v>495</v>
      </c>
      <c r="E120" s="95"/>
    </row>
    <row r="121" spans="1:5" s="57" customFormat="1" hidden="1" x14ac:dyDescent="0.25">
      <c r="A121" s="58">
        <v>111</v>
      </c>
      <c r="B121" s="58" t="s">
        <v>699</v>
      </c>
      <c r="C121" s="58" t="s">
        <v>864</v>
      </c>
      <c r="D121" s="59">
        <v>495</v>
      </c>
      <c r="E121" s="95"/>
    </row>
    <row r="122" spans="1:5" s="57" customFormat="1" hidden="1" x14ac:dyDescent="0.25">
      <c r="A122" s="58">
        <v>112</v>
      </c>
      <c r="B122" s="58" t="s">
        <v>700</v>
      </c>
      <c r="C122" s="58" t="s">
        <v>864</v>
      </c>
      <c r="D122" s="59">
        <v>495</v>
      </c>
      <c r="E122" s="95"/>
    </row>
    <row r="123" spans="1:5" s="57" customFormat="1" hidden="1" x14ac:dyDescent="0.25">
      <c r="A123" s="58">
        <v>113</v>
      </c>
      <c r="B123" s="58" t="s">
        <v>524</v>
      </c>
      <c r="C123" s="58" t="s">
        <v>864</v>
      </c>
      <c r="D123" s="59">
        <v>495</v>
      </c>
      <c r="E123" s="95"/>
    </row>
    <row r="124" spans="1:5" s="57" customFormat="1" hidden="1" x14ac:dyDescent="0.25">
      <c r="A124" s="58">
        <v>114</v>
      </c>
      <c r="B124" s="58" t="s">
        <v>542</v>
      </c>
      <c r="C124" s="58" t="s">
        <v>864</v>
      </c>
      <c r="D124" s="59">
        <v>495</v>
      </c>
      <c r="E124" s="95"/>
    </row>
    <row r="125" spans="1:5" s="57" customFormat="1" hidden="1" x14ac:dyDescent="0.25">
      <c r="A125" s="58">
        <v>115</v>
      </c>
      <c r="B125" s="58" t="s">
        <v>543</v>
      </c>
      <c r="C125" s="58" t="s">
        <v>864</v>
      </c>
      <c r="D125" s="59">
        <v>495</v>
      </c>
      <c r="E125" s="95"/>
    </row>
    <row r="126" spans="1:5" s="57" customFormat="1" hidden="1" x14ac:dyDescent="0.25">
      <c r="A126" s="58">
        <v>116</v>
      </c>
      <c r="B126" s="58" t="s">
        <v>546</v>
      </c>
      <c r="C126" s="58" t="s">
        <v>864</v>
      </c>
      <c r="D126" s="59">
        <v>495</v>
      </c>
      <c r="E126" s="95"/>
    </row>
    <row r="127" spans="1:5" s="57" customFormat="1" hidden="1" x14ac:dyDescent="0.25">
      <c r="A127" s="58">
        <v>117</v>
      </c>
      <c r="B127" s="58" t="s">
        <v>537</v>
      </c>
      <c r="C127" s="58" t="s">
        <v>864</v>
      </c>
      <c r="D127" s="59">
        <v>495</v>
      </c>
      <c r="E127" s="95"/>
    </row>
    <row r="128" spans="1:5" s="57" customFormat="1" hidden="1" x14ac:dyDescent="0.25">
      <c r="A128" s="58">
        <v>118</v>
      </c>
      <c r="B128" s="58" t="s">
        <v>493</v>
      </c>
      <c r="C128" s="58" t="s">
        <v>864</v>
      </c>
      <c r="D128" s="59">
        <v>495</v>
      </c>
      <c r="E128" s="95"/>
    </row>
    <row r="129" spans="1:5" s="57" customFormat="1" hidden="1" x14ac:dyDescent="0.25">
      <c r="A129" s="58">
        <v>119</v>
      </c>
      <c r="B129" s="58" t="s">
        <v>477</v>
      </c>
      <c r="C129" s="58" t="s">
        <v>864</v>
      </c>
      <c r="D129" s="59">
        <v>1325</v>
      </c>
      <c r="E129" s="95"/>
    </row>
    <row r="130" spans="1:5" s="57" customFormat="1" hidden="1" x14ac:dyDescent="0.25">
      <c r="A130" s="58">
        <v>120</v>
      </c>
      <c r="B130" s="58" t="s">
        <v>703</v>
      </c>
      <c r="C130" s="58" t="s">
        <v>864</v>
      </c>
      <c r="D130" s="59">
        <v>495</v>
      </c>
      <c r="E130" s="95"/>
    </row>
    <row r="131" spans="1:5" s="57" customFormat="1" hidden="1" x14ac:dyDescent="0.25">
      <c r="A131" s="58">
        <v>121</v>
      </c>
      <c r="B131" s="58" t="s">
        <v>479</v>
      </c>
      <c r="C131" s="58" t="s">
        <v>864</v>
      </c>
      <c r="D131" s="59">
        <v>495</v>
      </c>
      <c r="E131" s="95"/>
    </row>
    <row r="132" spans="1:5" s="57" customFormat="1" hidden="1" x14ac:dyDescent="0.25">
      <c r="A132" s="58">
        <v>122</v>
      </c>
      <c r="B132" s="58" t="s">
        <v>436</v>
      </c>
      <c r="C132" s="58" t="s">
        <v>864</v>
      </c>
      <c r="D132" s="59">
        <v>11380</v>
      </c>
      <c r="E132" s="95"/>
    </row>
    <row r="133" spans="1:5" s="57" customFormat="1" hidden="1" x14ac:dyDescent="0.25">
      <c r="A133" s="58">
        <v>123</v>
      </c>
      <c r="B133" s="58" t="s">
        <v>420</v>
      </c>
      <c r="C133" s="58" t="s">
        <v>864</v>
      </c>
      <c r="D133" s="59">
        <v>495</v>
      </c>
      <c r="E133" s="95"/>
    </row>
    <row r="134" spans="1:5" s="57" customFormat="1" hidden="1" x14ac:dyDescent="0.25">
      <c r="A134" s="58">
        <v>124</v>
      </c>
      <c r="B134" s="58" t="s">
        <v>394</v>
      </c>
      <c r="C134" s="58" t="s">
        <v>864</v>
      </c>
      <c r="D134" s="59">
        <v>495</v>
      </c>
      <c r="E134" s="95"/>
    </row>
    <row r="135" spans="1:5" s="57" customFormat="1" hidden="1" x14ac:dyDescent="0.25">
      <c r="A135" s="58">
        <v>125</v>
      </c>
      <c r="B135" s="58" t="s">
        <v>417</v>
      </c>
      <c r="C135" s="58" t="s">
        <v>864</v>
      </c>
      <c r="D135" s="59">
        <v>1485</v>
      </c>
      <c r="E135" s="95"/>
    </row>
    <row r="136" spans="1:5" s="57" customFormat="1" hidden="1" x14ac:dyDescent="0.25">
      <c r="A136" s="58">
        <v>126</v>
      </c>
      <c r="B136" s="58" t="s">
        <v>458</v>
      </c>
      <c r="C136" s="58" t="s">
        <v>864</v>
      </c>
      <c r="D136" s="59">
        <v>495</v>
      </c>
      <c r="E136" s="95"/>
    </row>
    <row r="137" spans="1:5" s="57" customFormat="1" hidden="1" x14ac:dyDescent="0.25">
      <c r="A137" s="58">
        <v>127</v>
      </c>
      <c r="B137" s="58" t="s">
        <v>404</v>
      </c>
      <c r="C137" s="58" t="s">
        <v>864</v>
      </c>
      <c r="D137" s="59">
        <v>990</v>
      </c>
      <c r="E137" s="95"/>
    </row>
    <row r="138" spans="1:5" s="57" customFormat="1" hidden="1" x14ac:dyDescent="0.25">
      <c r="A138" s="58">
        <v>128</v>
      </c>
      <c r="B138" s="58" t="s">
        <v>430</v>
      </c>
      <c r="C138" s="58" t="s">
        <v>864</v>
      </c>
      <c r="D138" s="59">
        <v>495</v>
      </c>
      <c r="E138" s="95"/>
    </row>
    <row r="139" spans="1:5" s="57" customFormat="1" hidden="1" x14ac:dyDescent="0.25">
      <c r="A139" s="58">
        <v>129</v>
      </c>
      <c r="B139" s="58" t="s">
        <v>500</v>
      </c>
      <c r="C139" s="58" t="s">
        <v>864</v>
      </c>
      <c r="D139" s="59">
        <v>1447</v>
      </c>
      <c r="E139" s="58"/>
    </row>
    <row r="140" spans="1:5" s="57" customFormat="1" hidden="1" x14ac:dyDescent="0.25">
      <c r="A140" s="58">
        <v>130</v>
      </c>
      <c r="B140" s="58" t="s">
        <v>400</v>
      </c>
      <c r="C140" s="58" t="s">
        <v>864</v>
      </c>
      <c r="D140" s="59">
        <v>500</v>
      </c>
      <c r="E140" s="58"/>
    </row>
    <row r="141" spans="1:5" s="57" customFormat="1" ht="25.5" hidden="1" x14ac:dyDescent="0.25">
      <c r="A141" s="58">
        <v>131</v>
      </c>
      <c r="B141" s="58" t="s">
        <v>681</v>
      </c>
      <c r="C141" s="58" t="s">
        <v>864</v>
      </c>
      <c r="D141" s="59">
        <v>514</v>
      </c>
      <c r="E141" s="58" t="s">
        <v>872</v>
      </c>
    </row>
    <row r="142" spans="1:5" s="57" customFormat="1" hidden="1" x14ac:dyDescent="0.25">
      <c r="A142" s="58">
        <v>132</v>
      </c>
      <c r="B142" s="58" t="s">
        <v>505</v>
      </c>
      <c r="C142" s="58" t="s">
        <v>864</v>
      </c>
      <c r="D142" s="59">
        <v>500</v>
      </c>
      <c r="E142" s="58"/>
    </row>
    <row r="143" spans="1:5" s="57" customFormat="1" hidden="1" x14ac:dyDescent="0.25">
      <c r="A143" s="58">
        <v>133</v>
      </c>
      <c r="B143" s="58" t="s">
        <v>392</v>
      </c>
      <c r="C143" s="58" t="s">
        <v>864</v>
      </c>
      <c r="D143" s="59">
        <v>500</v>
      </c>
      <c r="E143" s="58"/>
    </row>
    <row r="144" spans="1:5" s="57" customFormat="1" hidden="1" x14ac:dyDescent="0.25">
      <c r="A144" s="58">
        <v>134</v>
      </c>
      <c r="B144" s="58" t="s">
        <v>701</v>
      </c>
      <c r="C144" s="58" t="s">
        <v>864</v>
      </c>
      <c r="D144" s="59">
        <v>2955</v>
      </c>
      <c r="E144" s="58"/>
    </row>
    <row r="145" spans="1:5" s="57" customFormat="1" hidden="1" x14ac:dyDescent="0.25">
      <c r="A145" s="58">
        <v>135</v>
      </c>
      <c r="B145" s="58" t="s">
        <v>873</v>
      </c>
      <c r="C145" s="58" t="s">
        <v>864</v>
      </c>
      <c r="D145" s="59">
        <v>1000</v>
      </c>
      <c r="E145" s="58"/>
    </row>
    <row r="146" spans="1:5" s="57" customFormat="1" x14ac:dyDescent="0.25">
      <c r="A146" s="60"/>
      <c r="B146" s="60"/>
      <c r="C146" s="60"/>
      <c r="D146" s="61"/>
      <c r="E146" s="62"/>
    </row>
    <row r="147" spans="1:5" s="57" customFormat="1" x14ac:dyDescent="0.25">
      <c r="A147" s="91" t="s">
        <v>874</v>
      </c>
      <c r="B147" s="91"/>
      <c r="C147" s="60"/>
      <c r="D147" s="91" t="s">
        <v>875</v>
      </c>
      <c r="E147" s="91"/>
    </row>
    <row r="148" spans="1:5" s="57" customFormat="1" ht="12.75" customHeight="1" x14ac:dyDescent="0.25">
      <c r="A148" s="96" t="s">
        <v>876</v>
      </c>
      <c r="B148" s="96"/>
      <c r="C148" s="63"/>
      <c r="D148" s="96" t="s">
        <v>876</v>
      </c>
      <c r="E148" s="96"/>
    </row>
    <row r="149" spans="1:5" s="57" customFormat="1" x14ac:dyDescent="0.25">
      <c r="A149" s="60"/>
      <c r="B149" s="60"/>
      <c r="C149" s="60"/>
      <c r="D149" s="60"/>
      <c r="E149" s="60"/>
    </row>
    <row r="150" spans="1:5" s="57" customFormat="1" x14ac:dyDescent="0.25">
      <c r="A150" s="60"/>
      <c r="B150" s="60"/>
      <c r="C150" s="60"/>
      <c r="D150" s="60"/>
      <c r="E150" s="60"/>
    </row>
    <row r="151" spans="1:5" s="57" customFormat="1" x14ac:dyDescent="0.25">
      <c r="A151" s="60"/>
      <c r="B151" s="60"/>
      <c r="C151" s="60"/>
      <c r="D151" s="60"/>
      <c r="E151" s="60"/>
    </row>
    <row r="152" spans="1:5" s="57" customFormat="1" x14ac:dyDescent="0.25">
      <c r="A152" s="60"/>
      <c r="B152" s="60"/>
      <c r="C152" s="60"/>
      <c r="D152" s="60"/>
      <c r="E152" s="60"/>
    </row>
    <row r="153" spans="1:5" s="57" customFormat="1" x14ac:dyDescent="0.25">
      <c r="A153" s="60"/>
      <c r="B153" s="60"/>
      <c r="C153" s="60"/>
      <c r="D153" s="60"/>
      <c r="E153" s="60"/>
    </row>
    <row r="154" spans="1:5" s="57" customFormat="1" ht="14.25" customHeight="1" x14ac:dyDescent="0.25">
      <c r="A154" s="91"/>
      <c r="B154" s="91"/>
      <c r="C154" s="60"/>
      <c r="D154" s="91"/>
      <c r="E154" s="91"/>
    </row>
    <row r="155" spans="1:5" s="57" customFormat="1" x14ac:dyDescent="0.25"/>
    <row r="156" spans="1:5" s="57" customFormat="1" x14ac:dyDescent="0.25">
      <c r="E156" s="64"/>
    </row>
    <row r="157" spans="1:5" s="57" customFormat="1" x14ac:dyDescent="0.25"/>
    <row r="158" spans="1:5" s="57" customFormat="1" x14ac:dyDescent="0.25"/>
    <row r="159" spans="1:5" s="57" customFormat="1" x14ac:dyDescent="0.25"/>
    <row r="160" spans="1:5" s="57" customFormat="1" ht="13.5" x14ac:dyDescent="0.25">
      <c r="D160" s="65"/>
      <c r="E160" s="65"/>
    </row>
    <row r="161" spans="5:5" s="57" customFormat="1" x14ac:dyDescent="0.25"/>
    <row r="162" spans="5:5" s="57" customFormat="1" x14ac:dyDescent="0.25"/>
    <row r="167" spans="5:5" ht="15.75" x14ac:dyDescent="0.2">
      <c r="E167" s="66"/>
    </row>
  </sheetData>
  <autoFilter ref="A11:D145" xr:uid="{00000000-0001-0000-0200-000000000000}">
    <filterColumn colId="1">
      <filters>
        <filter val="0805X106K160NT"/>
        <filter val="1206X106K500NT"/>
        <filter val="CS3225X7R106K500NRL"/>
      </filters>
    </filterColumn>
  </autoFilter>
  <mergeCells count="14">
    <mergeCell ref="A5:E5"/>
    <mergeCell ref="A1:B4"/>
    <mergeCell ref="C1:E1"/>
    <mergeCell ref="C2:E2"/>
    <mergeCell ref="C3:E3"/>
    <mergeCell ref="C4:E4"/>
    <mergeCell ref="A154:B154"/>
    <mergeCell ref="D154:E154"/>
    <mergeCell ref="A6:E6"/>
    <mergeCell ref="E12:E138"/>
    <mergeCell ref="A147:B147"/>
    <mergeCell ref="D147:E147"/>
    <mergeCell ref="A148:B148"/>
    <mergeCell ref="D148:E148"/>
  </mergeCells>
  <pageMargins left="0.5" right="0.25" top="1" bottom="1" header="0.3" footer="0.3"/>
  <pageSetup paperSize="9" fitToHeight="0" orientation="portrait" r:id="rId1"/>
  <rowBreaks count="2" manualBreakCount="2">
    <brk id="51" max="4" man="1"/>
    <brk id="102" max="4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C31BE-A581-446D-8EA7-09BD23617C01}">
  <dimension ref="A1:H42"/>
  <sheetViews>
    <sheetView workbookViewId="0">
      <selection activeCell="F38" sqref="F38"/>
    </sheetView>
  </sheetViews>
  <sheetFormatPr defaultColWidth="8.85546875" defaultRowHeight="15" x14ac:dyDescent="0.25"/>
  <cols>
    <col min="1" max="1" width="7.85546875" style="68" bestFit="1" customWidth="1"/>
    <col min="2" max="2" width="22.42578125" style="68" bestFit="1" customWidth="1"/>
    <col min="3" max="3" width="97.85546875" style="68" bestFit="1" customWidth="1"/>
    <col min="4" max="4" width="10.7109375" style="68" bestFit="1" customWidth="1"/>
    <col min="5" max="5" width="7.140625" style="68" bestFit="1" customWidth="1"/>
    <col min="6" max="6" width="24.42578125" style="68" customWidth="1"/>
    <col min="7" max="7" width="19.42578125" style="68" customWidth="1"/>
    <col min="8" max="8" width="27.140625" style="68" customWidth="1"/>
    <col min="9" max="16384" width="8.85546875" style="68"/>
  </cols>
  <sheetData>
    <row r="1" spans="1:8" x14ac:dyDescent="0.25">
      <c r="A1" s="67" t="s">
        <v>877</v>
      </c>
      <c r="B1" s="67" t="s">
        <v>878</v>
      </c>
      <c r="C1" s="67" t="s">
        <v>879</v>
      </c>
      <c r="D1" s="67" t="s">
        <v>880</v>
      </c>
      <c r="E1" s="67" t="s">
        <v>881</v>
      </c>
      <c r="F1" s="67" t="s">
        <v>915</v>
      </c>
      <c r="G1" s="68" t="s">
        <v>914</v>
      </c>
      <c r="H1" s="68" t="s">
        <v>916</v>
      </c>
    </row>
    <row r="2" spans="1:8" s="70" customFormat="1" x14ac:dyDescent="0.25">
      <c r="A2" s="69">
        <v>1</v>
      </c>
      <c r="B2" s="69" t="s">
        <v>660</v>
      </c>
      <c r="C2" s="69" t="s">
        <v>626</v>
      </c>
      <c r="D2" s="69">
        <v>500</v>
      </c>
      <c r="G2" s="70">
        <v>0</v>
      </c>
    </row>
    <row r="3" spans="1:8" x14ac:dyDescent="0.25">
      <c r="A3" s="67">
        <v>2</v>
      </c>
      <c r="B3" s="67" t="s">
        <v>500</v>
      </c>
      <c r="C3" s="67" t="s">
        <v>341</v>
      </c>
      <c r="D3" s="67">
        <v>500</v>
      </c>
      <c r="G3" s="67">
        <v>500</v>
      </c>
    </row>
    <row r="4" spans="1:8" x14ac:dyDescent="0.25">
      <c r="A4" s="67">
        <v>3</v>
      </c>
      <c r="B4" s="67" t="s">
        <v>400</v>
      </c>
      <c r="C4" s="67" t="s">
        <v>276</v>
      </c>
      <c r="D4" s="67">
        <v>1000</v>
      </c>
      <c r="G4" s="67">
        <v>500</v>
      </c>
    </row>
    <row r="5" spans="1:8" x14ac:dyDescent="0.25">
      <c r="A5" s="67">
        <v>4</v>
      </c>
      <c r="B5" s="67" t="s">
        <v>672</v>
      </c>
      <c r="C5" s="67" t="s">
        <v>882</v>
      </c>
      <c r="D5" s="67">
        <v>500</v>
      </c>
      <c r="G5" s="67">
        <v>495</v>
      </c>
    </row>
    <row r="6" spans="1:8" x14ac:dyDescent="0.25">
      <c r="A6" s="67">
        <v>5</v>
      </c>
      <c r="B6" s="67" t="s">
        <v>468</v>
      </c>
      <c r="C6" s="67" t="s">
        <v>318</v>
      </c>
      <c r="D6" s="67">
        <v>500</v>
      </c>
      <c r="G6" s="67">
        <v>0</v>
      </c>
    </row>
    <row r="7" spans="1:8" x14ac:dyDescent="0.25">
      <c r="A7" s="67">
        <v>6</v>
      </c>
      <c r="B7" s="67" t="s">
        <v>883</v>
      </c>
      <c r="C7" s="67" t="s">
        <v>345</v>
      </c>
      <c r="D7" s="67">
        <v>500</v>
      </c>
      <c r="F7" s="68" t="s">
        <v>505</v>
      </c>
      <c r="G7" s="67">
        <v>500</v>
      </c>
    </row>
    <row r="8" spans="1:8" x14ac:dyDescent="0.25">
      <c r="A8" s="67">
        <v>7</v>
      </c>
      <c r="B8" s="67" t="s">
        <v>701</v>
      </c>
      <c r="C8" s="67" t="s">
        <v>360</v>
      </c>
      <c r="D8" s="67">
        <v>500</v>
      </c>
      <c r="G8" s="67">
        <v>500</v>
      </c>
    </row>
    <row r="9" spans="1:8" x14ac:dyDescent="0.25">
      <c r="A9" s="67">
        <v>8</v>
      </c>
      <c r="B9" s="67" t="s">
        <v>884</v>
      </c>
      <c r="C9" s="67" t="s">
        <v>885</v>
      </c>
      <c r="D9" s="67">
        <v>1000</v>
      </c>
      <c r="G9" s="67">
        <v>0</v>
      </c>
      <c r="H9" s="68" t="s">
        <v>725</v>
      </c>
    </row>
    <row r="10" spans="1:8" x14ac:dyDescent="0.25">
      <c r="A10" s="67">
        <v>9</v>
      </c>
      <c r="B10" s="67" t="s">
        <v>886</v>
      </c>
      <c r="C10" s="67" t="s">
        <v>652</v>
      </c>
      <c r="D10" s="67">
        <v>500</v>
      </c>
      <c r="F10" s="68" t="s">
        <v>652</v>
      </c>
      <c r="G10" s="67">
        <v>0</v>
      </c>
      <c r="H10" s="67" t="s">
        <v>818</v>
      </c>
    </row>
    <row r="11" spans="1:8" x14ac:dyDescent="0.25">
      <c r="A11" s="67">
        <v>10</v>
      </c>
      <c r="B11" s="67" t="s">
        <v>887</v>
      </c>
      <c r="C11" s="67" t="s">
        <v>888</v>
      </c>
      <c r="D11" s="67">
        <v>500</v>
      </c>
      <c r="F11" s="68" t="s">
        <v>485</v>
      </c>
      <c r="G11" s="67">
        <v>0</v>
      </c>
    </row>
    <row r="12" spans="1:8" x14ac:dyDescent="0.25">
      <c r="A12" s="67">
        <v>11</v>
      </c>
      <c r="B12" s="67" t="s">
        <v>450</v>
      </c>
      <c r="C12" s="67" t="s">
        <v>305</v>
      </c>
      <c r="D12" s="67">
        <v>3000</v>
      </c>
      <c r="G12" s="67">
        <v>0</v>
      </c>
      <c r="H12" s="68" t="s">
        <v>706</v>
      </c>
    </row>
    <row r="13" spans="1:8" x14ac:dyDescent="0.25">
      <c r="A13" s="67">
        <v>12</v>
      </c>
      <c r="B13" s="67" t="s">
        <v>466</v>
      </c>
      <c r="C13" s="67" t="s">
        <v>317</v>
      </c>
      <c r="D13" s="67">
        <v>2000</v>
      </c>
      <c r="G13" s="67">
        <v>40570</v>
      </c>
      <c r="H13" s="68" t="s">
        <v>708</v>
      </c>
    </row>
    <row r="14" spans="1:8" x14ac:dyDescent="0.25">
      <c r="A14" s="67">
        <v>13</v>
      </c>
      <c r="B14" s="67" t="s">
        <v>508</v>
      </c>
      <c r="C14" s="67" t="s">
        <v>347</v>
      </c>
      <c r="D14" s="67">
        <v>1500</v>
      </c>
      <c r="G14" s="67">
        <v>3945</v>
      </c>
      <c r="H14" s="68" t="s">
        <v>712</v>
      </c>
    </row>
    <row r="15" spans="1:8" x14ac:dyDescent="0.25">
      <c r="A15" s="67">
        <v>14</v>
      </c>
      <c r="B15" s="67" t="s">
        <v>402</v>
      </c>
      <c r="C15" s="67" t="s">
        <v>277</v>
      </c>
      <c r="D15" s="67">
        <v>500</v>
      </c>
      <c r="G15" s="67">
        <v>13360</v>
      </c>
      <c r="H15" s="68" t="s">
        <v>913</v>
      </c>
    </row>
    <row r="16" spans="1:8" x14ac:dyDescent="0.25">
      <c r="A16" s="67">
        <v>15</v>
      </c>
      <c r="B16" s="67" t="s">
        <v>443</v>
      </c>
      <c r="C16" s="67" t="s">
        <v>889</v>
      </c>
      <c r="D16" s="67">
        <v>500</v>
      </c>
      <c r="G16" s="67">
        <v>985</v>
      </c>
    </row>
    <row r="17" spans="1:8" x14ac:dyDescent="0.25">
      <c r="A17" s="67">
        <v>16</v>
      </c>
      <c r="B17" s="67" t="s">
        <v>463</v>
      </c>
      <c r="C17" s="67" t="s">
        <v>890</v>
      </c>
      <c r="D17" s="67">
        <v>1000</v>
      </c>
      <c r="G17" s="67">
        <v>1500</v>
      </c>
    </row>
    <row r="18" spans="1:8" x14ac:dyDescent="0.25">
      <c r="A18" s="67">
        <v>17</v>
      </c>
      <c r="B18" s="67" t="s">
        <v>487</v>
      </c>
      <c r="C18" s="67" t="s">
        <v>891</v>
      </c>
      <c r="D18" s="67">
        <v>500</v>
      </c>
      <c r="G18" s="67">
        <v>490</v>
      </c>
    </row>
    <row r="19" spans="1:8" x14ac:dyDescent="0.25">
      <c r="A19" s="67">
        <v>18</v>
      </c>
      <c r="B19" s="67" t="s">
        <v>428</v>
      </c>
      <c r="C19" s="67" t="s">
        <v>292</v>
      </c>
      <c r="D19" s="67">
        <v>1500</v>
      </c>
      <c r="G19" s="67">
        <v>6915</v>
      </c>
    </row>
    <row r="20" spans="1:8" x14ac:dyDescent="0.25">
      <c r="A20" s="67">
        <v>19</v>
      </c>
      <c r="B20" s="67" t="s">
        <v>495</v>
      </c>
      <c r="C20" s="67" t="s">
        <v>892</v>
      </c>
      <c r="D20" s="67">
        <v>500</v>
      </c>
      <c r="E20" s="67"/>
      <c r="F20" s="67"/>
      <c r="G20" s="68">
        <v>1480</v>
      </c>
      <c r="H20" s="68" t="s">
        <v>719</v>
      </c>
    </row>
    <row r="21" spans="1:8" x14ac:dyDescent="0.25">
      <c r="A21" s="67">
        <v>20</v>
      </c>
      <c r="B21" s="67" t="s">
        <v>441</v>
      </c>
      <c r="C21" s="67" t="s">
        <v>893</v>
      </c>
      <c r="D21" s="67">
        <v>2000</v>
      </c>
      <c r="E21" s="67"/>
      <c r="F21" s="67"/>
      <c r="G21" s="68">
        <v>3455</v>
      </c>
    </row>
    <row r="22" spans="1:8" x14ac:dyDescent="0.25">
      <c r="A22" s="67">
        <v>21</v>
      </c>
      <c r="B22" s="67" t="s">
        <v>424</v>
      </c>
      <c r="C22" s="67" t="s">
        <v>894</v>
      </c>
      <c r="D22" s="67">
        <v>500</v>
      </c>
      <c r="E22" s="67"/>
      <c r="F22" s="67"/>
      <c r="G22" s="68">
        <v>2970</v>
      </c>
    </row>
    <row r="23" spans="1:8" x14ac:dyDescent="0.25">
      <c r="A23" s="67">
        <v>22</v>
      </c>
      <c r="B23" s="67" t="s">
        <v>516</v>
      </c>
      <c r="C23" s="67" t="s">
        <v>895</v>
      </c>
      <c r="D23" s="67">
        <v>2500</v>
      </c>
      <c r="E23" s="67"/>
      <c r="F23" s="67"/>
      <c r="G23" s="68">
        <v>16805</v>
      </c>
    </row>
    <row r="24" spans="1:8" x14ac:dyDescent="0.25">
      <c r="A24" s="67">
        <v>23</v>
      </c>
      <c r="B24" s="67" t="s">
        <v>519</v>
      </c>
      <c r="C24" s="67" t="s">
        <v>358</v>
      </c>
      <c r="D24" s="67">
        <v>2000</v>
      </c>
      <c r="E24" s="67"/>
      <c r="F24" s="67"/>
      <c r="G24" s="68">
        <v>9385</v>
      </c>
      <c r="H24" s="68" t="s">
        <v>722</v>
      </c>
    </row>
    <row r="25" spans="1:8" x14ac:dyDescent="0.25">
      <c r="A25" s="67">
        <v>24</v>
      </c>
      <c r="B25" s="67" t="s">
        <v>518</v>
      </c>
      <c r="C25" s="67" t="s">
        <v>896</v>
      </c>
      <c r="D25" s="67">
        <v>2500</v>
      </c>
      <c r="E25" s="67"/>
      <c r="F25" s="67"/>
      <c r="G25" s="68">
        <v>7400</v>
      </c>
    </row>
    <row r="26" spans="1:8" x14ac:dyDescent="0.25">
      <c r="A26" s="67">
        <v>25</v>
      </c>
      <c r="B26" s="67" t="s">
        <v>522</v>
      </c>
      <c r="C26" s="67" t="s">
        <v>897</v>
      </c>
      <c r="D26" s="67">
        <v>8500</v>
      </c>
      <c r="E26" s="67"/>
      <c r="F26" s="67"/>
      <c r="G26" s="68">
        <v>13365</v>
      </c>
      <c r="H26" s="68" t="s">
        <v>723</v>
      </c>
    </row>
    <row r="27" spans="1:8" x14ac:dyDescent="0.25">
      <c r="A27" s="67">
        <v>26</v>
      </c>
      <c r="B27" s="67" t="s">
        <v>514</v>
      </c>
      <c r="C27" s="67" t="s">
        <v>898</v>
      </c>
      <c r="D27" s="67">
        <v>1000</v>
      </c>
      <c r="E27" s="67"/>
      <c r="F27" s="67"/>
      <c r="G27" s="68">
        <v>10000</v>
      </c>
    </row>
    <row r="28" spans="1:8" x14ac:dyDescent="0.25">
      <c r="A28" s="67">
        <v>27</v>
      </c>
      <c r="B28" s="67" t="s">
        <v>517</v>
      </c>
      <c r="C28" s="67" t="s">
        <v>899</v>
      </c>
      <c r="D28" s="67">
        <v>500</v>
      </c>
      <c r="E28" s="67"/>
      <c r="F28" s="67"/>
      <c r="G28" s="68">
        <v>4450</v>
      </c>
    </row>
    <row r="29" spans="1:8" x14ac:dyDescent="0.25">
      <c r="A29" s="67">
        <v>28</v>
      </c>
      <c r="B29" s="67" t="s">
        <v>523</v>
      </c>
      <c r="C29" s="67" t="s">
        <v>900</v>
      </c>
      <c r="D29" s="67">
        <v>500</v>
      </c>
      <c r="E29" s="67"/>
      <c r="F29" s="67"/>
      <c r="G29" s="68">
        <v>8000</v>
      </c>
    </row>
    <row r="30" spans="1:8" x14ac:dyDescent="0.25">
      <c r="A30" s="67">
        <v>29</v>
      </c>
      <c r="B30" s="67" t="s">
        <v>477</v>
      </c>
      <c r="C30" s="67" t="s">
        <v>901</v>
      </c>
      <c r="D30" s="67">
        <v>160</v>
      </c>
      <c r="E30" s="67"/>
      <c r="F30" s="67"/>
      <c r="G30" s="68">
        <v>1325</v>
      </c>
    </row>
    <row r="31" spans="1:8" x14ac:dyDescent="0.25">
      <c r="A31" s="67">
        <v>30</v>
      </c>
      <c r="B31" s="67" t="s">
        <v>436</v>
      </c>
      <c r="C31" s="67" t="s">
        <v>297</v>
      </c>
      <c r="D31" s="67">
        <v>500</v>
      </c>
      <c r="E31" s="67"/>
      <c r="F31" s="67"/>
      <c r="G31" s="68">
        <v>11380</v>
      </c>
    </row>
    <row r="32" spans="1:8" s="70" customFormat="1" x14ac:dyDescent="0.25">
      <c r="A32" s="69">
        <v>31</v>
      </c>
      <c r="B32" s="69" t="s">
        <v>749</v>
      </c>
      <c r="C32" s="69" t="s">
        <v>738</v>
      </c>
      <c r="D32" s="69">
        <v>500</v>
      </c>
      <c r="E32" s="69"/>
      <c r="F32" s="69"/>
      <c r="G32" s="70">
        <v>0</v>
      </c>
    </row>
    <row r="33" spans="1:8" s="70" customFormat="1" x14ac:dyDescent="0.25">
      <c r="A33" s="69">
        <v>32</v>
      </c>
      <c r="B33" s="69" t="s">
        <v>750</v>
      </c>
      <c r="C33" s="69" t="s">
        <v>739</v>
      </c>
      <c r="D33" s="69">
        <v>2000</v>
      </c>
      <c r="E33" s="69"/>
      <c r="F33" s="69"/>
      <c r="G33" s="70">
        <v>0</v>
      </c>
    </row>
    <row r="34" spans="1:8" x14ac:dyDescent="0.25">
      <c r="A34" s="67">
        <v>33</v>
      </c>
      <c r="B34" s="67" t="s">
        <v>788</v>
      </c>
      <c r="C34" s="67" t="s">
        <v>768</v>
      </c>
      <c r="D34" s="67">
        <v>500</v>
      </c>
      <c r="E34" s="67"/>
      <c r="F34" s="67"/>
      <c r="G34" s="68">
        <v>0</v>
      </c>
      <c r="H34" s="68" t="s">
        <v>917</v>
      </c>
    </row>
    <row r="35" spans="1:8" x14ac:dyDescent="0.25">
      <c r="A35" s="67">
        <v>34</v>
      </c>
      <c r="B35" s="67" t="s">
        <v>902</v>
      </c>
      <c r="C35" s="67" t="s">
        <v>903</v>
      </c>
      <c r="D35" s="67">
        <v>1000</v>
      </c>
      <c r="E35" s="67"/>
      <c r="F35" s="67"/>
      <c r="H35" s="68" t="s">
        <v>918</v>
      </c>
    </row>
    <row r="36" spans="1:8" x14ac:dyDescent="0.25">
      <c r="A36" s="67">
        <v>35</v>
      </c>
      <c r="B36" s="67" t="s">
        <v>904</v>
      </c>
      <c r="C36" s="67" t="s">
        <v>905</v>
      </c>
      <c r="D36" s="67">
        <v>500</v>
      </c>
      <c r="E36" s="67"/>
      <c r="F36" s="67"/>
      <c r="H36" s="68" t="s">
        <v>918</v>
      </c>
    </row>
    <row r="37" spans="1:8" x14ac:dyDescent="0.25">
      <c r="A37" s="67">
        <v>36</v>
      </c>
      <c r="B37" s="67" t="s">
        <v>794</v>
      </c>
      <c r="C37" s="67" t="s">
        <v>906</v>
      </c>
      <c r="D37" s="67">
        <v>1000</v>
      </c>
      <c r="E37" s="67"/>
      <c r="F37" s="67"/>
      <c r="G37" s="68">
        <v>0</v>
      </c>
    </row>
    <row r="38" spans="1:8" x14ac:dyDescent="0.25">
      <c r="A38" s="67">
        <v>37</v>
      </c>
      <c r="B38" s="67" t="s">
        <v>795</v>
      </c>
      <c r="C38" s="67" t="s">
        <v>907</v>
      </c>
      <c r="D38" s="71">
        <v>2000</v>
      </c>
      <c r="G38" s="68">
        <v>0</v>
      </c>
    </row>
    <row r="39" spans="1:8" x14ac:dyDescent="0.25">
      <c r="A39" s="67">
        <v>38</v>
      </c>
      <c r="B39" s="67" t="s">
        <v>796</v>
      </c>
      <c r="C39" s="67" t="s">
        <v>908</v>
      </c>
      <c r="D39" s="71">
        <v>2000</v>
      </c>
      <c r="G39" s="68">
        <v>0</v>
      </c>
    </row>
    <row r="40" spans="1:8" x14ac:dyDescent="0.25">
      <c r="A40" s="67">
        <v>39</v>
      </c>
      <c r="B40" s="67" t="s">
        <v>797</v>
      </c>
      <c r="C40" s="67" t="s">
        <v>909</v>
      </c>
      <c r="D40" s="71">
        <v>500</v>
      </c>
      <c r="G40" s="68">
        <v>0</v>
      </c>
    </row>
    <row r="41" spans="1:8" x14ac:dyDescent="0.25">
      <c r="A41" s="67">
        <v>40</v>
      </c>
      <c r="B41" s="67" t="s">
        <v>798</v>
      </c>
      <c r="C41" s="67" t="s">
        <v>910</v>
      </c>
      <c r="D41" s="71">
        <v>2000</v>
      </c>
      <c r="G41" s="68">
        <v>0</v>
      </c>
    </row>
    <row r="42" spans="1:8" x14ac:dyDescent="0.25">
      <c r="A42" s="67">
        <v>41</v>
      </c>
      <c r="B42" s="67" t="s">
        <v>801</v>
      </c>
      <c r="C42" s="67" t="s">
        <v>911</v>
      </c>
      <c r="D42" s="71">
        <v>500</v>
      </c>
      <c r="G42" s="68">
        <v>0</v>
      </c>
    </row>
  </sheetData>
  <autoFilter ref="A1:G42" xr:uid="{3C1C31BE-A581-446D-8EA7-09BD23617C0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Board GX</vt:lpstr>
      <vt:lpstr>BOX_CAM</vt:lpstr>
      <vt:lpstr>Board RK3562</vt:lpstr>
      <vt:lpstr>REF</vt:lpstr>
      <vt:lpstr>VNET-XF-2105</vt:lpstr>
      <vt:lpstr>VNET-XF_dự kiến lần 2</vt:lpstr>
      <vt:lpstr>'VNET-XF-2105'!Print_Area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Nguyen</dc:creator>
  <cp:lastModifiedBy>TungNM</cp:lastModifiedBy>
  <dcterms:created xsi:type="dcterms:W3CDTF">2026-05-26T02:03:26Z</dcterms:created>
  <dcterms:modified xsi:type="dcterms:W3CDTF">2026-09-21T03:30:48Z</dcterms:modified>
</cp:coreProperties>
</file>