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3. G_Documents\4. Tài liệu\"/>
    </mc:Choice>
  </mc:AlternateContent>
  <xr:revisionPtr revIDLastSave="0" documentId="13_ncr:1_{F5C5B5C4-5474-4D70-958B-EBBDC85BD76C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GX Board" sheetId="3" r:id="rId1"/>
    <sheet name="Vat_tu_phu" sheetId="4" r:id="rId2"/>
    <sheet name="Cambox V4" sheetId="5" r:id="rId3"/>
    <sheet name="Board_RK3562" sheetId="2" r:id="rId4"/>
  </sheets>
  <definedNames>
    <definedName name="_xlnm._FilterDatabase" localSheetId="3" hidden="1">Board_RK3562!$A$5:$Q$141</definedName>
    <definedName name="_xlnm._FilterDatabase" localSheetId="2" hidden="1">'Cambox V4'!$A$5:$Q$8</definedName>
    <definedName name="_xlnm._FilterDatabase" localSheetId="0" hidden="1">'GX Board'!$A$5:$Q$17</definedName>
    <definedName name="_xlnm._FilterDatabase" localSheetId="1" hidden="1">Vat_tu_phu!$A$5:$Q$22</definedName>
    <definedName name="_xlnm.Print_Titles" localSheetId="3">Board_RK3562!$5:$5</definedName>
    <definedName name="_xlnm.Print_Titles" localSheetId="2">'Cambox V4'!$5:$5</definedName>
    <definedName name="_xlnm.Print_Titles" localSheetId="0">'GX Board'!$5:$5</definedName>
    <definedName name="_xlnm.Print_Titles" localSheetId="1">Vat_tu_phu!$5:$5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2" l="1"/>
  <c r="N4" i="2"/>
  <c r="O4" i="5"/>
  <c r="O4" i="4"/>
  <c r="O4" i="3"/>
  <c r="N4" i="3"/>
  <c r="N4" i="4"/>
  <c r="N4" i="5"/>
  <c r="A8" i="5"/>
  <c r="A7" i="5"/>
  <c r="A6" i="5"/>
  <c r="D1" i="5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D1" i="4"/>
  <c r="A17" i="3"/>
  <c r="A16" i="3"/>
  <c r="A15" i="3"/>
  <c r="A14" i="3"/>
  <c r="A13" i="3"/>
  <c r="A12" i="3"/>
  <c r="A11" i="3"/>
  <c r="A10" i="3"/>
  <c r="A9" i="3"/>
  <c r="A8" i="3"/>
  <c r="A7" i="3"/>
  <c r="A6" i="3"/>
  <c r="D1" i="3"/>
  <c r="D1" i="2"/>
</calcChain>
</file>

<file path=xl/sharedStrings.xml><?xml version="1.0" encoding="utf-8"?>
<sst xmlns="http://schemas.openxmlformats.org/spreadsheetml/2006/main" count="1264" uniqueCount="622">
  <si>
    <t>HW version:</t>
  </si>
  <si>
    <t>Manufacturer 2</t>
  </si>
  <si>
    <t>Internal Code</t>
  </si>
  <si>
    <t>Manufacturer's Part Number 2</t>
  </si>
  <si>
    <t>Prepared by:</t>
  </si>
  <si>
    <t>Approved by:</t>
  </si>
  <si>
    <t>Checked by:</t>
  </si>
  <si>
    <t>Date created:</t>
  </si>
  <si>
    <t>Rev:</t>
  </si>
  <si>
    <t>Production QTY</t>
  </si>
  <si>
    <t>Unit</t>
  </si>
  <si>
    <t>Board code:</t>
  </si>
  <si>
    <t>STT</t>
  </si>
  <si>
    <t>Customer:</t>
  </si>
  <si>
    <t>Note</t>
  </si>
  <si>
    <t>Cambox_2026</t>
  </si>
  <si>
    <t>Aithings</t>
  </si>
  <si>
    <t>4.0</t>
  </si>
  <si>
    <t>CameraBox</t>
  </si>
  <si>
    <t>Hainv</t>
  </si>
  <si>
    <t>14/04/2026</t>
  </si>
  <si>
    <t>Category</t>
  </si>
  <si>
    <t>IC</t>
  </si>
  <si>
    <t>Product</t>
  </si>
  <si>
    <t>Capacitor</t>
  </si>
  <si>
    <t>Connector</t>
  </si>
  <si>
    <t>Crystal</t>
  </si>
  <si>
    <t>Diode</t>
  </si>
  <si>
    <t>Ferrite Bead</t>
  </si>
  <si>
    <t>Inductor</t>
  </si>
  <si>
    <t>LED</t>
  </si>
  <si>
    <t>Module</t>
  </si>
  <si>
    <t>MOSFET</t>
  </si>
  <si>
    <t>Resistor</t>
  </si>
  <si>
    <t>Switch</t>
  </si>
  <si>
    <t>Thermistor</t>
  </si>
  <si>
    <t>Transistor</t>
  </si>
  <si>
    <t>Speaker</t>
  </si>
  <si>
    <t>Description</t>
  </si>
  <si>
    <t>4Ch HD/SD Analog Video Decoder</t>
  </si>
  <si>
    <t>62x62x15mm</t>
  </si>
  <si>
    <t>RK3562 SOM - System on Module</t>
  </si>
  <si>
    <t>CAP CER 1UF 50V X5R 0603</t>
  </si>
  <si>
    <t>100V 100nF X7R ±10% 1206 Multilayer Ceramic Capacitors MLCC - SMD/SMT ROHS</t>
  </si>
  <si>
    <t>10uF 100V 63mA@120Hz ±20% SMD,D6.3xL5.4mm Aluminum Electrolytic Capacitors - SMD ROHS</t>
  </si>
  <si>
    <t>10uF 50V Ceramic Capacitor X7R 1210</t>
  </si>
  <si>
    <t>50V 100nF X7R ±10% 0603 Multilayer Ceramic Capacitors MLCC - SMD/SMT ROHS</t>
  </si>
  <si>
    <t>22pF ±5% 50V Ceramic Capacitor NP0 0402</t>
  </si>
  <si>
    <t>680pF ±10% 50V Ceramic Capacitor X7R 0402</t>
  </si>
  <si>
    <t>16V 100nF X7R ±10% 0402 Multilayer Ceramic Capacitors MLCC - SMD/SMT ROHS</t>
  </si>
  <si>
    <t>100uF 50V 146mA@120Hz ±20% SMD,D8xL10.2mm Aluminum Electrolytic Capacitors - SMD ROHS</t>
  </si>
  <si>
    <t>8.2nF ±10% 50V Ceramic Capacitor X7R 0402</t>
  </si>
  <si>
    <t>16V 47uF X5R ±20% 1206 Multilayer Ceramic Capacitors MLCC - SMD/SMT ROHS</t>
  </si>
  <si>
    <t>50V 470nF X7R ±10% 0603 Multilayer Ceramic Capacitors MLCC - SMD/SMT ROHS</t>
  </si>
  <si>
    <t>560 pF ±10% 50V Ceramic Capacitor X7R 0603 (1608 Metric)</t>
  </si>
  <si>
    <t>50V 75pF NP0 ±5% 0603 Multilayer Ceramic Capacitors MLCC - SMD/SMT ROHS</t>
  </si>
  <si>
    <t>50V 56nF X7R ±10% 0603 Multilayer Ceramic Capacitors MLCC - SMD/SMT ROHS</t>
  </si>
  <si>
    <t>50V 100pF NP0 ±1% 0402 Multilayer Ceramic Capacitors MLCC - SMD/SMT ROHS</t>
  </si>
  <si>
    <t>CAP CER 0.1UF 50V X7R 0603</t>
  </si>
  <si>
    <t>CAP CER 10uF 16V X5R 0805</t>
  </si>
  <si>
    <t>4.7uF 35V ±10% 0603 Multilayer Ceramic Capacitors MLCC - SMD/SMT ROHS</t>
  </si>
  <si>
    <t>C0G 33pF 50V ±5% 0402 Multilayer Ceramic Capacitors MLCC - SMD/SMT ROHS</t>
  </si>
  <si>
    <t>CAP CER 22UF 6.3V X5R 0603</t>
  </si>
  <si>
    <t>CAP CER 10uF 50V X5R 1206</t>
  </si>
  <si>
    <t>50V 12pF NP0 ±1% 0402 Multilayer Ceramic Capacitors MLCC - SMD/SMT ROHS</t>
  </si>
  <si>
    <t>100uF ±20% 16V Ceramic Capacitor X5R 1210</t>
  </si>
  <si>
    <t>50V 33pF C0G ±5% 0805 Multilayer Ceramic Capacitors MLCC - SMD/SMT ROHS</t>
  </si>
  <si>
    <t>50V 10pF C0G ±5% 0805 Multilayer Ceramic Capacitors MLCC - SMD/SMT ROHS</t>
  </si>
  <si>
    <t>2.2uF ±10% 6.3V X5R 0603 Multilayer Ceramic Capacitors MLCC - SMD/SMT RoHS</t>
  </si>
  <si>
    <t>16V 1uF X5R ±10% 0402 Multilayer Ceramic Capacitors MLCC - SMD/SMT ROHS</t>
  </si>
  <si>
    <t>10V 1Ω@100kHz 47uF ±10% CASE-B-3528-21(mm) Tantalum Capacitors ROHS</t>
  </si>
  <si>
    <t>Battery Clip Nickel -25℃~+85℃ Phosphor Bronze CR2016 SMD Blade Type Power Connector Assemblies RoHS</t>
  </si>
  <si>
    <t>NANO SIM+TF /NANO SIM*2</t>
  </si>
  <si>
    <t>1 Inner pin IPEX Board-End 1.25mm -40℃~+90℃ 3GHz 50Ω 2mm SMD Coaxial Connectors (RF) ROHS</t>
  </si>
  <si>
    <t>67P Surface Mount, Right Angle SMD,P=0.5mm,Surface Mount,Right Angle Centronics Connectors ROHS</t>
  </si>
  <si>
    <t>Card Connector NANO SIM Hinged Lid Surface Mount</t>
  </si>
  <si>
    <t>Crystal 27MHz 10ppm 20pF 60Ω SMD2016-4P</t>
  </si>
  <si>
    <t>CRYSTAL 32.7680KHZ 12.5PF SMD</t>
  </si>
  <si>
    <t>25MHz 9pF ±10ppm SMD2016-4P Crystals ROHS</t>
  </si>
  <si>
    <t>Unidirectional 5V (Max) 6.2V 18.6V 9.4A SOD-523 TVS RoHs</t>
  </si>
  <si>
    <t>DFN1006-2 TVS Diodes ROHS</t>
  </si>
  <si>
    <t>275A 1 Independent 60V 620mV@7A 7A Power-DI-5 Single Diodes RoHS</t>
  </si>
  <si>
    <t>40V Independent 500mV@3A 3A SMA(DO-214AC) Schottky Diodes ROHS</t>
  </si>
  <si>
    <t>3A@8/20us 23V 70W@8/20us 6V 5V DFN1006-2L TVS Diodes RoHS</t>
  </si>
  <si>
    <t>0402 Varistors ROHS</t>
  </si>
  <si>
    <t>30V 400mV 200mA SOT-23 Schottky Diodes ROHS</t>
  </si>
  <si>
    <t>43.6A 9.2V 400W 6.4V Unidirectional 5V SOD-123 TVS Diodes RoHS</t>
  </si>
  <si>
    <t>DIODE GEN PURP 1KV 1A SMA</t>
  </si>
  <si>
    <t>Independent Type 10A 1.1V@10A 1kV SMC(DO-214AB) Diodes - General Purpose ROHS</t>
  </si>
  <si>
    <t>Unidirectional 36V 40V 58.1V 3.4A SOD-123FL TVS RoHS</t>
  </si>
  <si>
    <t>DIODE SCHOTTKY 60V 3A SMAF</t>
  </si>
  <si>
    <t>10mΩ ±25% 10Ω@100MHz 0603 Ferrite Beads and Chips RoHS</t>
  </si>
  <si>
    <t>FERRITE BEAD 1 KOHM 0805 1.5A</t>
  </si>
  <si>
    <t>60Ω@100MHz 1 Line Ferrite Bead 0402 600mA 150mΩ</t>
  </si>
  <si>
    <t>50mΩ ±25% 10Ω@100MHz 0603 Ferrite Beads and Chips RoHS</t>
  </si>
  <si>
    <t>2.5MHz Buck Adjustable 800mV~28V 5A SOIC-8-EP Voltage Regulators - DC DC Switching Regulators RoHS</t>
  </si>
  <si>
    <t>Buck 1MHz Adjustable 600mV~7.3V 3A SOT23-5 Voltage Regulators - DC DC Switching Regulators RoHS</t>
  </si>
  <si>
    <t>IC REG CTRLR MULT TOP 10MSOP</t>
  </si>
  <si>
    <t>LTE CAT 1 module, 4G + (GNSS)</t>
  </si>
  <si>
    <t>500mA, low IQ, high precision, adjustable ultra-low dropout voltage regulator with enable function</t>
  </si>
  <si>
    <t>IC DRVR/RCVR MULTCH RS232 16SOIC</t>
  </si>
  <si>
    <t>16-bit I2C-bus I/O port with interrupt</t>
  </si>
  <si>
    <t>SOP-8 Real Time Clocks ROHS</t>
  </si>
  <si>
    <t>SOT-363-6 ESD and Surge Protection (TVS/ESD) ROHS</t>
  </si>
  <si>
    <t>SOT-26 ESD and Surge Protection (TVS/ESD) ROHS</t>
  </si>
  <si>
    <t>Ethernet Transceiver 3.3V QFN-32-EP(5x5) Drivers, Receivers, Transceivers RoHS</t>
  </si>
  <si>
    <t>2mV 25nA Dual channel SOIC-8 Comparators ROHS</t>
  </si>
  <si>
    <t>8A 2.2uH ±20% 8.8A 12.5mΩ SMD,7x6.6mm Fixed Inductors RoHS</t>
  </si>
  <si>
    <t>6A 6.8uH ±20% 39mΩ 10A SMD,7.1x6.6mm Fixed Inductors RoHS</t>
  </si>
  <si>
    <t>3.3A 22uH ±20% 7A SMD,12.2x12.2mm Arrays, Signal Transformers RoHS</t>
  </si>
  <si>
    <t>2A 2.2uH Magnetic Shielded Inductor ±20% 2A 60mΩ SMD,3x3mm Fixed Inductors RoHS</t>
  </si>
  <si>
    <t>90Ω@100MHz 5Ω 2 SMD-4P,0.8x0.6mm Common Mode Filters ROHS</t>
  </si>
  <si>
    <t>700mA 47nH 160mΩ ±5% 0402 Fixed Inductors RoHS</t>
  </si>
  <si>
    <t>180mA 68nH ±5% 1.4Ω 0402 Fixed Inductors RoHS</t>
  </si>
  <si>
    <t>20mA 180mcd Colorless Transparent Lens 565nm~575nm -20℃~+85℃ Positive Stick Yellow-green 120° 50mW 2.4V 0603 LED Indication - Discrete ROH</t>
  </si>
  <si>
    <t>20mA 225mcd Colorless Transparent Lens -20℃~+85℃ Positive Stick 620nm~630nm Red 120° 50mW 2.3V 0603 LED Indication - Discrete ROH</t>
  </si>
  <si>
    <t>LED YELLOW CLEAR 0603 SMD</t>
  </si>
  <si>
    <t>GNSS Module with GPS, GLONASS, BDS, Galileo, QZSS, High Sensitivity, Low Power Consumption</t>
  </si>
  <si>
    <t>N-Channel 30V 0.1A 0.35W Surface Mount SOT-23</t>
  </si>
  <si>
    <t>100V 15A 49mΩ@10V,5A 2.8W 3.2V 1 N-Channel VSONP-8(3.1x3.1) MOSFETs ROHS</t>
  </si>
  <si>
    <t>SOT-23-3 MOSFETs P-Chanel ROHS</t>
  </si>
  <si>
    <t>50V 200mA 225mW 5.6Ω@2.75V,200mA 500mV 1 N-channel SOT-23 MOSFETs ROHS</t>
  </si>
  <si>
    <t>RES SMD 1 OHM 1% 1/10W 0603</t>
  </si>
  <si>
    <t>62.5mW Thick Film Resistor 50V ±100ppm/℃ ±1% 100kΩ 0402 Chip Resistor - Surface Mount ROHS</t>
  </si>
  <si>
    <t>62.5mW 8.45kΩ 50V Thick Film Resistor ±100ppm/℃ ±1% 0402 Chip Resistor - Surface Mount RoHS</t>
  </si>
  <si>
    <t>62.5mW Thick Film Resistor 50V ±100ppm/℃ ±1% 68kΩ 0402 Chip Resistor - Surface Mount ROHS</t>
  </si>
  <si>
    <t>62.5mW Thick Film Resistor 50V ±100ppm/℃ ±1% 10kΩ 0402 Chip Resistor - Surface Mount ROHS</t>
  </si>
  <si>
    <t>62.5mW Thick Film Resistors 50V ±100ppm/℃ ±1% 4.7kΩ 0402 Chip Resistor - Surface Mount ROHS</t>
  </si>
  <si>
    <t>51.1kΩ 62.5mW 50V Thick Film Resistor ±100ppm/℃ ±1% 0402 Chip Resistor - Surface Mount RoHS</t>
  </si>
  <si>
    <t>12kΩ 62.5mW 50V Thick Film Resistor ±100ppm/℃ ±1% 0402 Chip Resistor - Surface Mount RoHS</t>
  </si>
  <si>
    <t>RES 0 OHM 1206 JUMPER 1/4W SMD</t>
  </si>
  <si>
    <t>62.5mW Thick Film Resistor 50V ±100ppm/℃ ±1% 105kΩ 0402 Chip Resistor - Surface Mount ROHS</t>
  </si>
  <si>
    <t>62.5mW 52.3kΩ 50V Thick Film Resistor ±100ppm/℃ ±1% 0402 Chip Resistor - Surface Mount RoHS</t>
  </si>
  <si>
    <t>62.5mW Thick Film Resistor 50V ±100ppm/℃ ±1% 84.5kΩ 0402 Chip Resistor - Surface Mount ROHS</t>
  </si>
  <si>
    <t>62.5mW Thick Film Resistor 50V ±100ppm/℃ ±1% 100Ω 0402 Chip Resistor - Surface Mount ROHS</t>
  </si>
  <si>
    <t>62.5mW 0Ω 50V ±1% Thick Film Resistors 0402 Chip Resistor - Surface Mount ROHS</t>
  </si>
  <si>
    <t>25.5kΩ 62.5mW 50V ±100ppm/℃ Thick Film Resistor ±1% 0402 Chip Resistor - Surface Mount RoHS</t>
  </si>
  <si>
    <t>62.5mW Thick Film Resistor 50V ±100ppm/℃ ±1% 1.91kΩ 0402 Chip Resistor - Surface Mount ROHS</t>
  </si>
  <si>
    <t>500mW Thin Film Resistor ±100ppm/℃ ±0.5% 15mΩ 1206 Chip Resistor - Surface Mount ROHS</t>
  </si>
  <si>
    <t>62.5mW Thick Film Resistor 50V ±100ppm/℃ ±1% 34kΩ 0402 Chip Resistor - Surface Mount ROHS</t>
  </si>
  <si>
    <t>62.5mW Thick Film Resistor 50V ±100ppm/℃ ±1% 2.2kΩ 0402 Chip Resistor - Surface Mount ROHS</t>
  </si>
  <si>
    <t>62.5mW 499kΩ 50V Thick Film Resistor ±100ppm/℃ ±1% 0402 Chip Resistor - Surface Mount RoHS</t>
  </si>
  <si>
    <t>50V Thick Film Resistors 62.5mW 22Ω ±1% ±100ppm/℃ 0402 Chip Resistor - Surface Mount ROHS</t>
  </si>
  <si>
    <t>62.5mW 1MΩ 50V Thick Film Resistor ±100ppm/℃ ±1% 0402 Chip Resistor - Surface Mount RoHS</t>
  </si>
  <si>
    <t>62.5mW Thick Film Resistor 50V ±100ppm/℃ ±1% 15kΩ 0402 Chip Resistor - Surface Mount ROHS</t>
  </si>
  <si>
    <t>62.5mW Thick Film Resistor 50V ±100ppm/℃ ±1% 1kΩ 0402 Chip Resistor - Surface Mount ROHS</t>
  </si>
  <si>
    <t>62.5mW 4.02Ω 50V Thick Film Resistor ±1% ±200ppm/℃ 0402 Chip Resistor - Surface Mount RoHS</t>
  </si>
  <si>
    <t>1.2kΩ ±1% 62.5mW 0402 Thick Film Resistor</t>
  </si>
  <si>
    <t>62.5mW Thick Film Resistor 50V ±1% ±200ppm/℃ 10Ω 0402 Chip Resistor - Surface Mount ROHS</t>
  </si>
  <si>
    <t>62.5mW Thick Film Resistor 50V ±100ppm/℃ ±1% 75Ω 0402 Chip Resistor - Surface Mount ROHS</t>
  </si>
  <si>
    <t>220Ω 62.5mW 50V Thick Film Resistor ±100ppm/℃ ±1% 0402 Chip Resistor - Surface Mount RoHS</t>
  </si>
  <si>
    <t>62.5mW Thick Film Resistor 50V ±100ppm/℃ ±1% 47kΩ 0402 Chip Resistor - Surface Mount ROHS</t>
  </si>
  <si>
    <t>62.5mW 1.5kΩ 50V Thick Film Resistor ±100ppm/℃ ±1% 0402 Chip Resistor - Surface Mount RoHS</t>
  </si>
  <si>
    <t>1/16W Thick Film Resistors 50V ±100ppm/℃ ±1% 2.49kΩ 0402 Chip Resistor - Surface Mount ROHS</t>
  </si>
  <si>
    <t>62.5mW Thick Film Resistor 50V ±100ppm/℃ ±1% 5.6kΩ 0402 Chip Resistor - Surface Mount ROHS</t>
  </si>
  <si>
    <t>62.5mW Thick Film Resistor 50V ±100ppm/℃ ±1% 590kΩ 0402 Chip Resistor - Surface Mount ROHS</t>
  </si>
  <si>
    <t>62.5mW Thick Film Resistor 50V ±100ppm/℃ ±1% 3.3kΩ 0402 Chip Resistor - Surface Mount ROHS</t>
  </si>
  <si>
    <t>62.5mW Thick Film Resistor 50V ±100ppm/℃ ±1% 470Ω 0402 Chip Resistor - Surface Mount ROHS</t>
  </si>
  <si>
    <t>RES SMD 10K OHM 1% 1/10W 0603</t>
  </si>
  <si>
    <t>226kΩ 62.5mW 50V Thick Film Resistor ±100ppm/℃ ±1% 0402 Chip Resistor - Surface Mount RoHS</t>
  </si>
  <si>
    <t>62.5mW 118kΩ 50V Thick Film Resistor ±100ppm/℃ ±0.5% 0402 Chip Resistor - Surface Mount RoHS</t>
  </si>
  <si>
    <t>62.5mW 2.2Ω 50V Thick Film Resistor ±1% ±200ppm/℃ 0402 Chip Resistor - Surface Mount RoHS</t>
  </si>
  <si>
    <t>Without bracket 50mA 3.5mm 100000 Times 260gf 12V 3mm 2mm Round Button Standing paste SPST SMD Tactile Switches ROHS</t>
  </si>
  <si>
    <t>Tactile Switch 180gf 3.5mm 7.7mm x 3.55mm Surface Mount, Right Angle</t>
  </si>
  <si>
    <t>10kΩ ±1% 310uA 3435K 100mW ±1% 0603 NTC Thermistors ROHS</t>
  </si>
  <si>
    <t>TRANS NPN 40V 0.2A SOT23</t>
  </si>
  <si>
    <t>9P Male D-Sub Bend insert 2 3A -50℃~+105℃ Push-Pull D-Sub / VGA Connectors ROHS</t>
  </si>
  <si>
    <t>RJ45Receptacle 1 WithLED Plugin Ethernet Connectors / Modular Connectors (RJ45 RJ11) ROHS</t>
  </si>
  <si>
    <t>2mm 2mm 2 12P 2x6P -40℃~+105℃ 4.3mm Top 2A Square Hole Through Hole Through Hole,P=2mm Headers, Receptacles, Female Sockets RoHS</t>
  </si>
  <si>
    <t>XH Header Male Pin 0.098"(2.50mm) 2 Through Hole Wire To Board / Wire To Wire Connector RoHS</t>
  </si>
  <si>
    <t>JUMP-2.0-4PIN-FM-TH</t>
  </si>
  <si>
    <t>60mA Red Lens 615nm~635nm -20℃~+85℃ Red 50° 150mW 1.8V~2.2V DIP-6-2.54mm LED Indication - Discrete ROHS</t>
  </si>
  <si>
    <t>85dB Active Buzzer (Built-in Driving Circuit) Electromagnetic 3kHz Through Hole,D=9mm Buzzers ROHS</t>
  </si>
  <si>
    <t>Manufacture</t>
  </si>
  <si>
    <t>CHIPUP</t>
  </si>
  <si>
    <t>Promise</t>
  </si>
  <si>
    <t>RONGPIN</t>
  </si>
  <si>
    <t>Hottech</t>
  </si>
  <si>
    <t>Yageo</t>
  </si>
  <si>
    <t>ROQANG</t>
  </si>
  <si>
    <t>SAMWHA</t>
  </si>
  <si>
    <t>FOJAN</t>
  </si>
  <si>
    <t>Taiyo Yuden</t>
  </si>
  <si>
    <t>SANYEAR</t>
  </si>
  <si>
    <t>Samsung Electro-Mechanics</t>
  </si>
  <si>
    <t>FH(Guangdong Fenghua Advanced Tech)</t>
  </si>
  <si>
    <t>PSA(Prosperity Dielectrics)</t>
  </si>
  <si>
    <t xml:space="preserve">	Samsung Electro-Mechanics</t>
  </si>
  <si>
    <t>Kyocera AVX</t>
  </si>
  <si>
    <t>MYOUNG</t>
  </si>
  <si>
    <t>MUP</t>
  </si>
  <si>
    <t>Shenzhen Kinghelm Elec</t>
  </si>
  <si>
    <t>LOTES</t>
  </si>
  <si>
    <t>MDH</t>
  </si>
  <si>
    <t>Abracon LLC</t>
  </si>
  <si>
    <t>TKD</t>
  </si>
  <si>
    <t>Tak cheong</t>
  </si>
  <si>
    <t>Leiditech</t>
  </si>
  <si>
    <t>DIODES</t>
  </si>
  <si>
    <t>Guangdong Hottech</t>
  </si>
  <si>
    <t>Wayon</t>
  </si>
  <si>
    <t>TDK</t>
  </si>
  <si>
    <t>LRC</t>
  </si>
  <si>
    <t>FUXINSEMI</t>
  </si>
  <si>
    <t>GOODWORK</t>
  </si>
  <si>
    <t>MDD(Microdiode Semiconductor)</t>
  </si>
  <si>
    <t>HY</t>
  </si>
  <si>
    <t>YJYCOIN</t>
  </si>
  <si>
    <t>Sunlord</t>
  </si>
  <si>
    <t>FH</t>
  </si>
  <si>
    <t>TI</t>
  </si>
  <si>
    <t>etasolution</t>
  </si>
  <si>
    <t>Texas Instruments</t>
  </si>
  <si>
    <t>SIMCOM</t>
  </si>
  <si>
    <t>NOVOSENSE</t>
  </si>
  <si>
    <t>LANKE</t>
  </si>
  <si>
    <t>TECH PUBLIC</t>
  </si>
  <si>
    <t>Motorcomm</t>
  </si>
  <si>
    <t>zoomdo electronics</t>
  </si>
  <si>
    <t>PROD Tech</t>
  </si>
  <si>
    <t>Sumida</t>
  </si>
  <si>
    <t>ZE</t>
  </si>
  <si>
    <t>Murata Electronics</t>
  </si>
  <si>
    <t>XINGLIGHT</t>
  </si>
  <si>
    <t>Wurth Electronics Inc.</t>
  </si>
  <si>
    <t>SIMCom Wireless Solutions</t>
  </si>
  <si>
    <t>JSCJ</t>
  </si>
  <si>
    <t>YAGEO</t>
  </si>
  <si>
    <t>XUNPU</t>
  </si>
  <si>
    <t>BZCN</t>
  </si>
  <si>
    <t>Nanjing Shiheng Elec</t>
  </si>
  <si>
    <t>Micro Commercial Co</t>
  </si>
  <si>
    <t>Ckmtw(Shenzhen Cankemeng)</t>
  </si>
  <si>
    <t>HANRUN(Zhongshan HanRun Elec)</t>
  </si>
  <si>
    <t>XFCN</t>
  </si>
  <si>
    <t>BOOMELE(Boom Precision Elec)</t>
  </si>
  <si>
    <t xml:space="preserve"> 	BOOMELE(Boom Precision Elec)</t>
  </si>
  <si>
    <t>Huaneng</t>
  </si>
  <si>
    <t>Partnumber</t>
  </si>
  <si>
    <t>XS9922B</t>
  </si>
  <si>
    <t>TannhietSOM</t>
  </si>
  <si>
    <t>RK3562</t>
  </si>
  <si>
    <t>C0603X5R105K500NT</t>
  </si>
  <si>
    <t>CC1206KKX7R0BB104</t>
  </si>
  <si>
    <t>RVT2A100M0605</t>
  </si>
  <si>
    <t>CS3225X7R106K500NRL</t>
  </si>
  <si>
    <t>CC0603KRX7R9BB104</t>
  </si>
  <si>
    <t>CC0402JRNPO9BN220</t>
  </si>
  <si>
    <t>FCC0402B681K500AT</t>
  </si>
  <si>
    <t>CC0402KRX7R7BB104</t>
  </si>
  <si>
    <t>RT1H101M0810</t>
  </si>
  <si>
    <t>CC0402KRX7R9BB822</t>
  </si>
  <si>
    <t>EMK316BBJ476ML-T</t>
  </si>
  <si>
    <t>CC0603KRX7R9BB474</t>
  </si>
  <si>
    <t>CC0603KRX7R9BB561</t>
  </si>
  <si>
    <t>CC0603JRNPO9BN750</t>
  </si>
  <si>
    <t>CC0603KRX7R9BB563</t>
  </si>
  <si>
    <t>CC0402FRNPO9BN101</t>
  </si>
  <si>
    <t>C0603X7R104K500NT</t>
  </si>
  <si>
    <t>C0805X5R106K160NT</t>
  </si>
  <si>
    <t>C0603X5R475K350NT</t>
  </si>
  <si>
    <t>CL05C330JB5NNNC</t>
  </si>
  <si>
    <t>CL10A226MQ8NRNE</t>
  </si>
  <si>
    <t>C1206X5R106K500NT</t>
  </si>
  <si>
    <t>CC0402FRNPO9BN120</t>
  </si>
  <si>
    <t>EMK325ABJ107MM-T</t>
  </si>
  <si>
    <t>0805CG330J500NT</t>
  </si>
  <si>
    <t>FN21N100J500PAG</t>
  </si>
  <si>
    <t>CL10A225KQ8NNNC</t>
  </si>
  <si>
    <t>CL05A105KO5NNNC</t>
  </si>
  <si>
    <t>TAJB476K010RNJ</t>
  </si>
  <si>
    <t>MY-2016-02</t>
  </si>
  <si>
    <t>M6110-01</t>
  </si>
  <si>
    <t>KH-IPEX-K501-29</t>
  </si>
  <si>
    <t>APCI0146-P001A</t>
  </si>
  <si>
    <t>C7802-02</t>
  </si>
  <si>
    <t>2.D.1.270002002</t>
  </si>
  <si>
    <t>ABS07-32.768KHZ-T</t>
  </si>
  <si>
    <t>SX20Y025000B91T002</t>
  </si>
  <si>
    <t>ESD5Z5V0</t>
  </si>
  <si>
    <t>LM-AZ6118-01F</t>
  </si>
  <si>
    <t>PDS760-13</t>
  </si>
  <si>
    <t>SS34A</t>
  </si>
  <si>
    <t>WE05DGCF-B</t>
  </si>
  <si>
    <t>B72590D50H160</t>
  </si>
  <si>
    <t>LBAT54CLT1G</t>
  </si>
  <si>
    <t>PTVS5V0S1UR</t>
  </si>
  <si>
    <t>M7</t>
  </si>
  <si>
    <t>S10M</t>
  </si>
  <si>
    <t>SMF36A</t>
  </si>
  <si>
    <t>SS36F</t>
  </si>
  <si>
    <t>YI160808U100-5R0T</t>
  </si>
  <si>
    <t>UPZ2012E102-1R5TF</t>
  </si>
  <si>
    <t>CBW100505U600T</t>
  </si>
  <si>
    <t>CBG160808U100T</t>
  </si>
  <si>
    <t>LMR14050SDDAR</t>
  </si>
  <si>
    <t>ETA3409S2F</t>
  </si>
  <si>
    <t>LM3481MMX/NOPB</t>
  </si>
  <si>
    <t>A7677S</t>
  </si>
  <si>
    <t>TLV75801PDBVR</t>
  </si>
  <si>
    <t>MAX3232CDR</t>
  </si>
  <si>
    <t>NCA9555</t>
  </si>
  <si>
    <t>LK8563T</t>
  </si>
  <si>
    <t>SMF05CT1G-P</t>
  </si>
  <si>
    <t>SR05-04A</t>
  </si>
  <si>
    <t>YT8512H</t>
  </si>
  <si>
    <t>LM393DR</t>
  </si>
  <si>
    <t>ZD0650-2R2M</t>
  </si>
  <si>
    <t>PSPMAA0605H-6R8M-ANP</t>
  </si>
  <si>
    <t>CDRCH12D78BNP-220MC</t>
  </si>
  <si>
    <t>ZNR3015ST2R2M</t>
  </si>
  <si>
    <t>DLM0NSN900HY2D</t>
  </si>
  <si>
    <t>VHF100505HQ47NJT</t>
  </si>
  <si>
    <t>VHF100505HQ68NJT</t>
  </si>
  <si>
    <t>XL-1608SYGC-04</t>
  </si>
  <si>
    <t>XL-1608SURC-06</t>
  </si>
  <si>
    <t>150060YS75000</t>
  </si>
  <si>
    <t>SIM65M-C</t>
  </si>
  <si>
    <t>2SK3018</t>
  </si>
  <si>
    <t>CSD19538Q3A</t>
  </si>
  <si>
    <t>SI2333CDS</t>
  </si>
  <si>
    <t>LBSS139LT1G</t>
  </si>
  <si>
    <t>RI0603L1R00FT</t>
  </si>
  <si>
    <t>RC0402FR-07100KL</t>
  </si>
  <si>
    <t>RC0402FR-078K45L</t>
  </si>
  <si>
    <t>RC0402FR-0768KL</t>
  </si>
  <si>
    <t>RC0402FR-0710KL</t>
  </si>
  <si>
    <t>RC0402FR-074K7L</t>
  </si>
  <si>
    <t>RC0402FR-0751K1L</t>
  </si>
  <si>
    <t>RC0402FR-0712KL</t>
  </si>
  <si>
    <t>RI1206L000JT</t>
  </si>
  <si>
    <t>RC0402FR-07105KL</t>
  </si>
  <si>
    <t>RC0402FR-0752K3L</t>
  </si>
  <si>
    <t>RC0402FR-0784K5L</t>
  </si>
  <si>
    <t>RC0402FR-07100RL</t>
  </si>
  <si>
    <t>RC0402FR-070RL</t>
  </si>
  <si>
    <t>AC0402FR-0725K5L</t>
  </si>
  <si>
    <t>RC0402FR-071K91L</t>
  </si>
  <si>
    <t>PE1206DRF7W0R015L</t>
  </si>
  <si>
    <t>RC0402FR-0734KL</t>
  </si>
  <si>
    <t>RC0402FR-072K2L</t>
  </si>
  <si>
    <t>RC0402FR-07499KL</t>
  </si>
  <si>
    <t>RC0402FR-0722RL</t>
  </si>
  <si>
    <t>RC0402FR-071ML</t>
  </si>
  <si>
    <t>RC0402FR-0715KL</t>
  </si>
  <si>
    <t>RC0402FR-071KL</t>
  </si>
  <si>
    <t>RC0402FR-074R02L</t>
  </si>
  <si>
    <t>RC0402FR-071K2L</t>
  </si>
  <si>
    <t>RC0402FR-0710RL</t>
  </si>
  <si>
    <t>RC0402FR-0775RL</t>
  </si>
  <si>
    <t>RC0402FR-07220RL</t>
  </si>
  <si>
    <t>RC0402FR-0747KL</t>
  </si>
  <si>
    <t>RC0402FR-071K5L</t>
  </si>
  <si>
    <t>RC0402FR-072K49L</t>
  </si>
  <si>
    <t>RC0402FR-075K6L</t>
  </si>
  <si>
    <t>AC0402FR-07590KL</t>
  </si>
  <si>
    <t>RC0402FR-073K3L</t>
  </si>
  <si>
    <t>RC0402FR-07470RL</t>
  </si>
  <si>
    <t>RI0603L1002FT</t>
  </si>
  <si>
    <t>AC0402FR-07226KL</t>
  </si>
  <si>
    <t>RC0402FR-07357KL</t>
  </si>
  <si>
    <t>RC0402DR-07118KL</t>
  </si>
  <si>
    <t>YAGEO RC0402FR-072R2L</t>
  </si>
  <si>
    <t>TS-1090S-AR02026</t>
  </si>
  <si>
    <t>TSB001A3518A</t>
  </si>
  <si>
    <t>CMFA 103F3435</t>
  </si>
  <si>
    <t>MMBT3904-TP</t>
  </si>
  <si>
    <t>D-DMR009PM-D002</t>
  </si>
  <si>
    <t>HR911105A</t>
  </si>
  <si>
    <t>PM200V-12-12-H43</t>
  </si>
  <si>
    <t>XH-2AW</t>
  </si>
  <si>
    <t>XH-2A</t>
  </si>
  <si>
    <t>XL-DZ304SURD/3</t>
  </si>
  <si>
    <t>HNB09A05</t>
  </si>
  <si>
    <t>Designator</t>
  </si>
  <si>
    <t>U6</t>
  </si>
  <si>
    <t>H1</t>
  </si>
  <si>
    <t>M1</t>
  </si>
  <si>
    <t>C1, C15, C48, C49, C57, C59, C139</t>
  </si>
  <si>
    <t>C2, C19</t>
  </si>
  <si>
    <t>C3, C21</t>
  </si>
  <si>
    <t>C4, C7, C10, C16, C18</t>
  </si>
  <si>
    <t>C5, C8, C9, C22, C25, C35, C37, C106, C156, C158, C193</t>
  </si>
  <si>
    <t>C6, C17</t>
  </si>
  <si>
    <t>C11</t>
  </si>
  <si>
    <t>C12, C32, C33, C39, C42, C43, C50, C51, C52, C54, C56, C58, C60, C61, C62, C63, C64, C65, C66, C67, C68, C69, C72, C73, C74, C75, C76, C77, C78, C79, C80, C82, C84, C86, C87, C88, C89, C91, C93, C94, C96, C97, C98, C99, C100, C102, C103, C108, C111, C113, C116, C118, C119, C120, C121, C124, C125, C126, C127, C128, C129, C130, C131, C132, C135, C137, C144, C145, C148, C160, C166, C167, C169, C171, C172, C173, C175, C178, C181, C182, C183, C184, C186, C189, C191, C192</t>
  </si>
  <si>
    <t>C13, C45</t>
  </si>
  <si>
    <t>C14</t>
  </si>
  <si>
    <t>C20</t>
  </si>
  <si>
    <t>C23</t>
  </si>
  <si>
    <t>C24</t>
  </si>
  <si>
    <t>C26</t>
  </si>
  <si>
    <t>C27</t>
  </si>
  <si>
    <t>C28, C29, C40, C41, C44, C143, C152, C153, C161, C162, C194</t>
  </si>
  <si>
    <t>C30</t>
  </si>
  <si>
    <t>C31, C38, C55, C70, C71, C81, C83, C85, C90, C92, C95, C101, C104, C107, C110, C112, C115, C117, C122, C123, C136, C138, C155, C165, C168, C185, C188, C190</t>
  </si>
  <si>
    <t>C34, C36, C157</t>
  </si>
  <si>
    <t>C46, C47, C149, C150, C151, C159, C176, C177</t>
  </si>
  <si>
    <t>C53</t>
  </si>
  <si>
    <t>C105</t>
  </si>
  <si>
    <t>C133, C134</t>
  </si>
  <si>
    <t>C140, C146</t>
  </si>
  <si>
    <t>C141</t>
  </si>
  <si>
    <t>C142</t>
  </si>
  <si>
    <t>C154</t>
  </si>
  <si>
    <t>C170, C174</t>
  </si>
  <si>
    <t>C179, C180</t>
  </si>
  <si>
    <t>J5</t>
  </si>
  <si>
    <t>J6</t>
  </si>
  <si>
    <t>J7, J8, J9</t>
  </si>
  <si>
    <t>J13</t>
  </si>
  <si>
    <t>J23</t>
  </si>
  <si>
    <t>X1</t>
  </si>
  <si>
    <t>X2</t>
  </si>
  <si>
    <t>X3</t>
  </si>
  <si>
    <t>D1, D5, D8, D9, D10, D11, D14, D15, D16, D17, D30</t>
  </si>
  <si>
    <t>D2, D4, D42, D43, D50, D51</t>
  </si>
  <si>
    <t>D3</t>
  </si>
  <si>
    <t>D6</t>
  </si>
  <si>
    <t>D7, D35</t>
  </si>
  <si>
    <t>D12, D13, D18, D20, D23, D24, D25, D26, D27, D28, D29, D32, D37, D38, D49, D57, D58</t>
  </si>
  <si>
    <t>D19</t>
  </si>
  <si>
    <t>D39, D40, D41, D44, D45</t>
  </si>
  <si>
    <t>D47, D48</t>
  </si>
  <si>
    <t>D52</t>
  </si>
  <si>
    <t>D53</t>
  </si>
  <si>
    <t>D54, D55</t>
  </si>
  <si>
    <t>E1, E2, E3, E4, E16, E22, E30, E31, E32, E33</t>
  </si>
  <si>
    <t>E6, E15, E25, E26, E27, E28</t>
  </si>
  <si>
    <t>E7, E8, E9, E10, E11, E12, E13, E14, E17, E18, E19, E20, E21</t>
  </si>
  <si>
    <t>E23, E24</t>
  </si>
  <si>
    <t>U1</t>
  </si>
  <si>
    <t>U2, U7</t>
  </si>
  <si>
    <t>U3</t>
  </si>
  <si>
    <t>U4</t>
  </si>
  <si>
    <t>U5, U8, U9, U10</t>
  </si>
  <si>
    <t>U11, U14, U15</t>
  </si>
  <si>
    <t>U12, U13</t>
  </si>
  <si>
    <t>U16</t>
  </si>
  <si>
    <t>U18</t>
  </si>
  <si>
    <t>U19</t>
  </si>
  <si>
    <t>U20</t>
  </si>
  <si>
    <t>U21</t>
  </si>
  <si>
    <t>L1</t>
  </si>
  <si>
    <t>L2</t>
  </si>
  <si>
    <t>L3</t>
  </si>
  <si>
    <t>L4, L6</t>
  </si>
  <si>
    <t>L5</t>
  </si>
  <si>
    <t>L7</t>
  </si>
  <si>
    <t>L9</t>
  </si>
  <si>
    <t>[NoValue], D21, D36, D56</t>
  </si>
  <si>
    <t>D22, D33, D46</t>
  </si>
  <si>
    <t>D31</t>
  </si>
  <si>
    <t>M2</t>
  </si>
  <si>
    <t>Q1, Q2, Q5, Q6, Q7, Q8, Q9, Q10, Q11, Q42, Q43</t>
  </si>
  <si>
    <t>Q3</t>
  </si>
  <si>
    <t>Q13, Q14, Q20, Q35, Q36, Q39</t>
  </si>
  <si>
    <t>Q22</t>
  </si>
  <si>
    <t>R1</t>
  </si>
  <si>
    <t>R2, R27, R40, R44, R46, R71, R114, R238, R240, R242</t>
  </si>
  <si>
    <t>R3</t>
  </si>
  <si>
    <t>R4</t>
  </si>
  <si>
    <t>R5, R16, R18, R29, R39, R49, R100, R104, R105, R106, R113, R115, R116, R120, R121, R128, R140, R142, R147, R155, R158, R185, R186, R187, R191, R192, R193, R194, R195, R198, R199, R201, R202, R205, R228, R229, R230, R234, R246</t>
  </si>
  <si>
    <t>R6, R25, R37, R38, R45, R64, R73, R74, R80, R103, R107, R108, R132, R134, R135, R141, R143, R144, R148, R175, R178, R179, R181, R182, R206, R211, R213, R218, R220, R221, R244, R247, R257, R260, R262</t>
  </si>
  <si>
    <t>R7</t>
  </si>
  <si>
    <t>R8</t>
  </si>
  <si>
    <t>R9, R166</t>
  </si>
  <si>
    <t>R11</t>
  </si>
  <si>
    <t>R12</t>
  </si>
  <si>
    <t>R14</t>
  </si>
  <si>
    <t>R15, R33, R36, R152, R153</t>
  </si>
  <si>
    <t>R17, R23, R30, R31, R56, R57, R58, R59, R61, R65, R66, R67, R68, R70, R119, R138, R154, R226, R227, R231, R232, R254, R255</t>
  </si>
  <si>
    <t>R19</t>
  </si>
  <si>
    <t>R20</t>
  </si>
  <si>
    <t>R21</t>
  </si>
  <si>
    <t>R22</t>
  </si>
  <si>
    <t>R24, R34, R35, R51, R52, R63, R72, R76, R129, R130, R131, R208, R209, R210, R215, R216, R217, R256, R259, R261</t>
  </si>
  <si>
    <t>R26, R241</t>
  </si>
  <si>
    <t>R41, R43, R47, R48, R60, R62, R69, R96, R97, R98, R99, R109, R110, R122, R123, R124, R125, R126, R127, R162, R163, R164, R165, R167, R168, R171, R172</t>
  </si>
  <si>
    <t>R42</t>
  </si>
  <si>
    <t>R50, R139</t>
  </si>
  <si>
    <t>R53, R78, R83, R86, R90, R94, R95, R102, R111, R112, R149, R156, R159, R161, R188, R189, R190, R196, R204, R233, R249, R251, R252, R263, R264</t>
  </si>
  <si>
    <t>R54</t>
  </si>
  <si>
    <t>R55</t>
  </si>
  <si>
    <t>R77, R81, R82, R85, R87, R88, R91, R92, R151, R253</t>
  </si>
  <si>
    <t>R79, R84, R89, R93</t>
  </si>
  <si>
    <t>R101</t>
  </si>
  <si>
    <t>R133, R136, R137, R145, R146, R150, R207, R212, R214, R219, R222, R223, R243, R245, R248, R258</t>
  </si>
  <si>
    <t>R169</t>
  </si>
  <si>
    <t>R173</t>
  </si>
  <si>
    <t>R197</t>
  </si>
  <si>
    <t>R200</t>
  </si>
  <si>
    <t>R203</t>
  </si>
  <si>
    <t>R224</t>
  </si>
  <si>
    <t>R235</t>
  </si>
  <si>
    <t>R237</t>
  </si>
  <si>
    <t>R239</t>
  </si>
  <si>
    <t>R250</t>
  </si>
  <si>
    <t>R265, R266</t>
  </si>
  <si>
    <t>K1, K3, K4</t>
  </si>
  <si>
    <t>SW1</t>
  </si>
  <si>
    <t>R236</t>
  </si>
  <si>
    <t>Q4, Q12, Q15, Q16, Q17, Q18, Q19, Q21, Q23, Q24, Q25, Q26, Q27, Q28, Q29, Q30, Q31, Q32, Q33, Q34, Q37, Q38, Q40, Q41</t>
  </si>
  <si>
    <t>J4</t>
  </si>
  <si>
    <t>J10</t>
  </si>
  <si>
    <t>J14, J15, J16</t>
  </si>
  <si>
    <t>J17</t>
  </si>
  <si>
    <t>J18</t>
  </si>
  <si>
    <t>J26</t>
  </si>
  <si>
    <t>LED1, LED2</t>
  </si>
  <si>
    <t>BZ1</t>
  </si>
  <si>
    <t>Quantity</t>
  </si>
  <si>
    <t>Mounting type</t>
  </si>
  <si>
    <t>ASM</t>
  </si>
  <si>
    <t>LGA</t>
  </si>
  <si>
    <t>SMD</t>
  </si>
  <si>
    <t>TH</t>
  </si>
  <si>
    <t>357kΩ 62.5mW 50V Thick Film Resistor ±100ppm/℃ ±1% 0402 Chip Resistor - Surface Mount RoHS</t>
  </si>
  <si>
    <t>Ducdv</t>
  </si>
  <si>
    <t>Camera_box_gx</t>
  </si>
  <si>
    <t>&lt;Parameter Ver not found&gt;</t>
  </si>
  <si>
    <t/>
  </si>
  <si>
    <t>26/03/2026</t>
  </si>
  <si>
    <t>CL10A105KB8NNNC</t>
  </si>
  <si>
    <t>C1, C2, C3, C4</t>
  </si>
  <si>
    <t>2x2P 4P Micro-Fit(MX 3.0) 3mm 2 2 3mm Direct Insert Plugin,P=3mm Wire To Board Connector ROHS</t>
  </si>
  <si>
    <t>3.0-2*2A</t>
  </si>
  <si>
    <t>J7, J9, J10, J11, J12, J13</t>
  </si>
  <si>
    <t>2x6P 12P Gold Brass -40℃~+105℃ Pin Header Black 2mm 2mm 250V 3A 2 2mm SMD,P=2mm Headers, Male Pins ROHS</t>
  </si>
  <si>
    <t>XKB Connection</t>
  </si>
  <si>
    <t>X4621WRS-2x06I-C40D64</t>
  </si>
  <si>
    <t>X4621WRS-2x03I-C40D64</t>
  </si>
  <si>
    <t>J8, J14, J15</t>
  </si>
  <si>
    <t>Q1, Q2, Q5, Q6</t>
  </si>
  <si>
    <t>R1, R2, R7, R8</t>
  </si>
  <si>
    <t>R3, R4, R9, R10</t>
  </si>
  <si>
    <t>R5, R6, R11, R12</t>
  </si>
  <si>
    <t>TRANS NPN 60V 0.5A SOT23</t>
  </si>
  <si>
    <t>ON Semiconductor</t>
  </si>
  <si>
    <t>MMBTA05LT1G</t>
  </si>
  <si>
    <t>Q3, Q4, Q7, Q8</t>
  </si>
  <si>
    <t>Giắc GX12-2P 2 Chân (Đực)</t>
  </si>
  <si>
    <t>LKTC</t>
  </si>
  <si>
    <t>GX12-2P</t>
  </si>
  <si>
    <t>J1</t>
  </si>
  <si>
    <t>Giắc GX12-4P 12mm 4 Chân (Đực)</t>
  </si>
  <si>
    <t>GX12-4P</t>
  </si>
  <si>
    <t>J2, J3, J5, J6</t>
  </si>
  <si>
    <t>PCB</t>
  </si>
  <si>
    <t>PCB, 2 layer, 113.94 mm* 23.58 mm, PCB Thickness: 1.6mm, Gerber_Camerabox-gx_2025-11-24_Y2413</t>
  </si>
  <si>
    <t>JLC</t>
  </si>
  <si>
    <t>Y2413</t>
  </si>
  <si>
    <t>Stencil</t>
  </si>
  <si>
    <t>Camera_box_vật tư phụ</t>
  </si>
  <si>
    <t>Vật tư phụ</t>
  </si>
  <si>
    <t>Quantity/kit</t>
  </si>
  <si>
    <t>Antenna</t>
  </si>
  <si>
    <t>AHGG.101 Ăng Ten GPS/BD Box Đầu SMA Đực Dây Dài 2m</t>
  </si>
  <si>
    <t>TGIC</t>
  </si>
  <si>
    <t>AHGG.101</t>
  </si>
  <si>
    <t>AH3G.403 Ăng Ten 2G/3G/4G Đầu SMA Đực Dây Dài 2m</t>
  </si>
  <si>
    <t>AH3G.403</t>
  </si>
  <si>
    <t>Battery</t>
  </si>
  <si>
    <t>Pin CR2016</t>
  </si>
  <si>
    <t>Linh kiện điện tử SMD</t>
  </si>
  <si>
    <t>CR2016</t>
  </si>
  <si>
    <t>BOX</t>
  </si>
  <si>
    <t xml:space="preserve">Vỏ hộp </t>
  </si>
  <si>
    <t>Kadotech</t>
  </si>
  <si>
    <t>KDT-2526</t>
  </si>
  <si>
    <t>Cáp RF Đầu SMA Cái Nối 1.13Ipex Dài 10cm</t>
  </si>
  <si>
    <t>1.13Ipex</t>
  </si>
  <si>
    <t>Set 10, 5 Miếng Nhôm tản nhiệt 9x9x12mm CNC có keo silicone thermal pad dẫn nhiệt dán trực tiếp tản nhiệt cho IC0</t>
  </si>
  <si>
    <t>9x9x12mm</t>
  </si>
  <si>
    <t>Miếng dẫn nhiệt thermal pad 5W/mK cho vga, chipset, ic dày 0.5, 1, 1.5, 2, 2.5, 3, 5mm .kienstore358</t>
  </si>
  <si>
    <t>Shopee
kienstore358</t>
  </si>
  <si>
    <t>100x100x2mm</t>
  </si>
  <si>
    <t>Quạt</t>
  </si>
  <si>
    <t>Quạt làm mát Mini EIbbkg 12V 25mm 2510 25x25x10mm 2 chân DC Nhỏ Micro Cooler 2 gói mới</t>
  </si>
  <si>
    <t>Shopee Eibbkg</t>
  </si>
  <si>
    <t>Mini Eibbkg 5V</t>
  </si>
  <si>
    <t>Screw</t>
  </si>
  <si>
    <t>EIbbkg 10 Chiếc 17.6mm 13.8mm Nhựa Móng Tay Southbridge Northbridge Quạt Làm Mát Lò Xo Kẹp Mới</t>
  </si>
  <si>
    <t>Lò Xo Kẹp 17.6mm</t>
  </si>
  <si>
    <t>10 cái M3 M4 M5 Bulong lục giác chìm đầu bằng đen thép mạ cấp bền 10.9 M3 M4 M5</t>
  </si>
  <si>
    <t>Shopee Khôi Fasten</t>
  </si>
  <si>
    <t>M3x16mm</t>
  </si>
  <si>
    <t>Vít cho quạt</t>
  </si>
  <si>
    <t>Set 50, 20 Tán Dẹp Ecu Inox 304, thép thôi, thép mạ Cho ốc M3, M4, M5, M6, M8 Set 10 con đai ốc inox loại tốt</t>
  </si>
  <si>
    <t>M3 Inox304</t>
  </si>
  <si>
    <t>Bulong hàn cho quạt</t>
  </si>
  <si>
    <t>Ốc vít Máy tính Laptop PC ổ cứng SSD HDD Main fan Linh kiện | M2 M2x3 M2.5x5 M3x5 M3.5x6 M4 M5</t>
  </si>
  <si>
    <t>Shopee GONO Tech</t>
  </si>
  <si>
    <t>M2x4mm</t>
  </si>
  <si>
    <t>Vít M2 SSD</t>
  </si>
  <si>
    <t>Set 50, 20 cái long đền vênh vòng đệm vênh ốc M2 M3 M4 M5 M6 các loại</t>
  </si>
  <si>
    <t>M3</t>
  </si>
  <si>
    <t>Vênh cho quạt</t>
  </si>
  <si>
    <t>Wire</t>
  </si>
  <si>
    <t>Dây điện connector 4P</t>
  </si>
  <si>
    <t>Vietkai</t>
  </si>
  <si>
    <t>MAV-WH161</t>
  </si>
  <si>
    <t>Dây Cáp Nhôm 4 Lõi UL2464-24AWG-4C 4x0.2mm2 Vỏ PVC</t>
  </si>
  <si>
    <t>L2464-24AWG-4C</t>
  </si>
  <si>
    <t>M</t>
  </si>
  <si>
    <t>Giắc GX12-2P 2 Chân (Cái) Đấu Dây</t>
  </si>
  <si>
    <t>GX12-2P (Cái)</t>
  </si>
  <si>
    <t>Board</t>
  </si>
  <si>
    <t>Board kết nối các connector</t>
  </si>
  <si>
    <t>MKP</t>
  </si>
  <si>
    <t xml:space="preserve">Board chính chứa các linh kiện khối tính năng </t>
  </si>
  <si>
    <t>Số lượng</t>
  </si>
  <si>
    <t>Đã đủ</t>
  </si>
  <si>
    <t>Chưa đủ</t>
  </si>
  <si>
    <t>Không có</t>
  </si>
  <si>
    <t>5, kèm mã M6110-31</t>
  </si>
  <si>
    <t>Thay bằng mã: 0603X105K500NT</t>
  </si>
  <si>
    <t>Thay bằng mã: 0805X106K160NT</t>
  </si>
  <si>
    <t>Thay bằng mã: 1206X106K500NT</t>
  </si>
  <si>
    <t>Trả lại kho</t>
  </si>
  <si>
    <t>Hỏi lại</t>
  </si>
  <si>
    <t>Thay bằng mã: 1X027000CP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</si>
</sst>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5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2" borderId="5" xfId="1" applyNumberFormat="1" applyFont="1" applyFill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0" fontId="5" fillId="0" borderId="2" xfId="1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11" xfId="1" applyNumberFormat="1" applyFont="1" applyBorder="1" applyAlignment="1">
      <alignment horizontal="right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1" quotePrefix="1" applyNumberFormat="1" applyFont="1" applyBorder="1" applyAlignment="1">
      <alignment horizontal="center" vertical="center" wrapText="1"/>
    </xf>
    <xf numFmtId="49" fontId="4" fillId="0" borderId="2" xfId="1" quotePrefix="1" applyNumberFormat="1" applyFont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5" fillId="0" borderId="3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6" xfId="1" applyNumberFormat="1" applyFont="1" applyBorder="1" applyAlignment="1">
      <alignment horizontal="center" vertical="center" wrapText="1"/>
    </xf>
    <xf numFmtId="0" fontId="2" fillId="0" borderId="7" xfId="1" applyNumberFormat="1" applyFont="1" applyBorder="1" applyAlignment="1">
      <alignment horizontal="center" vertical="center" wrapText="1"/>
    </xf>
    <xf numFmtId="0" fontId="2" fillId="0" borderId="9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3" borderId="9" xfId="0" quotePrefix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10 2 2" xfId="1" xr:uid="{00000000-0005-0000-0000-000001000000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2</xdr:col>
      <xdr:colOff>602315</xdr:colOff>
      <xdr:row>1</xdr:row>
      <xdr:rowOff>432519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C7E2CDBE-C577-43F7-8300-CFB6FE6C4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1594820" cy="904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0</xdr:rowOff>
    </xdr:from>
    <xdr:to>
      <xdr:col>2</xdr:col>
      <xdr:colOff>537881</xdr:colOff>
      <xdr:row>1</xdr:row>
      <xdr:rowOff>426916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E5624575-EB14-4764-9013-77928F511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0"/>
          <a:ext cx="1594820" cy="899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22412</xdr:rowOff>
    </xdr:from>
    <xdr:to>
      <xdr:col>2</xdr:col>
      <xdr:colOff>526676</xdr:colOff>
      <xdr:row>1</xdr:row>
      <xdr:rowOff>449328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97F29EF2-6F3D-4525-874E-F85CEF6BA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22412"/>
          <a:ext cx="1594820" cy="899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161365</xdr:colOff>
      <xdr:row>0</xdr:row>
      <xdr:rowOff>26894</xdr:rowOff>
    </xdr:from>
    <xdr:to>
      <xdr:col>2</xdr:col>
      <xdr:colOff>654423</xdr:colOff>
      <xdr:row>2</xdr:row>
      <xdr:rowOff>3340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1F601A55-9500-4709-BE9B-89EB9EC2E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65" y="26894"/>
          <a:ext cx="1631576" cy="92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"/>
  <sheetViews>
    <sheetView showWhiteSpace="0" zoomScaleNormal="100" workbookViewId="0">
      <selection activeCell="T8" sqref="T8"/>
    </sheetView>
  </sheetViews>
  <sheetFormatPr defaultColWidth="9.140625" defaultRowHeight="15" x14ac:dyDescent="0.25"/>
  <cols>
    <col min="1" max="1" width="5.140625" style="1" customWidth="1"/>
    <col min="2" max="2" width="9.7109375" style="1" customWidth="1"/>
    <col min="3" max="3" width="10.7109375" style="3" customWidth="1"/>
    <col min="4" max="4" width="16.140625" style="2" customWidth="1"/>
    <col min="5" max="5" width="12.140625" style="3" customWidth="1"/>
    <col min="6" max="6" width="14.85546875" style="3" customWidth="1"/>
    <col min="7" max="7" width="12.140625" style="3" customWidth="1"/>
    <col min="8" max="8" width="14.85546875" style="3" customWidth="1"/>
    <col min="9" max="9" width="14.140625" style="2" customWidth="1"/>
    <col min="10" max="12" width="4.85546875" style="3" customWidth="1"/>
    <col min="13" max="13" width="7.140625" style="3" customWidth="1"/>
    <col min="14" max="17" width="9.140625" style="27"/>
    <col min="18" max="16384" width="9.140625" style="1"/>
  </cols>
  <sheetData>
    <row r="1" spans="1:19" ht="37.5" customHeight="1" x14ac:dyDescent="0.25">
      <c r="A1" s="47"/>
      <c r="B1" s="48"/>
      <c r="C1" s="48"/>
      <c r="D1" s="51" t="str">
        <f>UPPER("Bill of Materials")</f>
        <v>BILL OF MATERIALS</v>
      </c>
      <c r="E1" s="52"/>
      <c r="F1" s="52"/>
      <c r="G1" s="52"/>
      <c r="H1" s="52"/>
      <c r="I1" s="53"/>
      <c r="J1" s="54" t="s">
        <v>8</v>
      </c>
      <c r="K1" s="45"/>
      <c r="L1" s="46"/>
      <c r="M1" s="13"/>
    </row>
    <row r="2" spans="1:19" ht="37.5" customHeight="1" x14ac:dyDescent="0.25">
      <c r="A2" s="49"/>
      <c r="B2" s="50"/>
      <c r="C2" s="50"/>
      <c r="D2" s="55" t="s">
        <v>519</v>
      </c>
      <c r="E2" s="56"/>
      <c r="F2" s="56"/>
      <c r="G2" s="56"/>
      <c r="H2" s="56"/>
      <c r="I2" s="57"/>
      <c r="J2" s="54" t="s">
        <v>9</v>
      </c>
      <c r="K2" s="45"/>
      <c r="L2" s="46"/>
      <c r="M2" s="13"/>
    </row>
    <row r="3" spans="1:19" ht="37.5" customHeight="1" x14ac:dyDescent="0.25">
      <c r="A3" s="42" t="s">
        <v>13</v>
      </c>
      <c r="B3" s="43"/>
      <c r="C3" s="14" t="s">
        <v>16</v>
      </c>
      <c r="D3" s="11" t="s">
        <v>0</v>
      </c>
      <c r="E3" s="16" t="s">
        <v>520</v>
      </c>
      <c r="F3" s="12"/>
      <c r="G3" s="11" t="s">
        <v>6</v>
      </c>
      <c r="H3" s="12"/>
      <c r="I3" s="12"/>
      <c r="J3" s="54" t="s">
        <v>7</v>
      </c>
      <c r="K3" s="45"/>
      <c r="L3" s="45"/>
      <c r="M3" s="46"/>
    </row>
    <row r="4" spans="1:19" ht="37.5" customHeight="1" x14ac:dyDescent="0.25">
      <c r="A4" s="42" t="s">
        <v>11</v>
      </c>
      <c r="B4" s="43"/>
      <c r="C4" s="14" t="s">
        <v>519</v>
      </c>
      <c r="D4" s="7" t="s">
        <v>4</v>
      </c>
      <c r="E4" s="15" t="s">
        <v>521</v>
      </c>
      <c r="F4" s="6"/>
      <c r="G4" s="7" t="s">
        <v>5</v>
      </c>
      <c r="H4" s="6"/>
      <c r="I4" s="6"/>
      <c r="J4" s="44" t="s">
        <v>522</v>
      </c>
      <c r="K4" s="45"/>
      <c r="L4" s="45"/>
      <c r="M4" s="46"/>
      <c r="N4" s="27">
        <f>COUNTIFS(N6:N500,"Đã đủ")</f>
        <v>1</v>
      </c>
      <c r="O4" s="27">
        <f>COUNTIFS(O6:O500,"Chưa đủ")</f>
        <v>0</v>
      </c>
    </row>
    <row r="5" spans="1:19" s="8" customFormat="1" ht="33" customHeight="1" x14ac:dyDescent="0.25">
      <c r="A5" s="4" t="s">
        <v>12</v>
      </c>
      <c r="B5" s="4" t="s">
        <v>2</v>
      </c>
      <c r="C5" s="4" t="s">
        <v>21</v>
      </c>
      <c r="D5" s="4" t="s">
        <v>38</v>
      </c>
      <c r="E5" s="4" t="s">
        <v>173</v>
      </c>
      <c r="F5" s="5" t="s">
        <v>238</v>
      </c>
      <c r="G5" s="4" t="s">
        <v>1</v>
      </c>
      <c r="H5" s="5" t="s">
        <v>3</v>
      </c>
      <c r="I5" s="5" t="s">
        <v>374</v>
      </c>
      <c r="J5" s="4" t="s">
        <v>511</v>
      </c>
      <c r="K5" s="4" t="s">
        <v>10</v>
      </c>
      <c r="L5" s="4" t="s">
        <v>512</v>
      </c>
      <c r="M5" s="4" t="s">
        <v>14</v>
      </c>
      <c r="N5" s="10" t="s">
        <v>612</v>
      </c>
      <c r="O5" s="29" t="s">
        <v>613</v>
      </c>
      <c r="P5" s="29" t="s">
        <v>614</v>
      </c>
      <c r="Q5" s="29" t="s">
        <v>611</v>
      </c>
      <c r="R5" s="10"/>
    </row>
    <row r="6" spans="1:19" ht="38.25" x14ac:dyDescent="0.25">
      <c r="A6" s="36">
        <f t="shared" ref="A6:A17" si="0">ROW(A6)-ROW($A$5)</f>
        <v>1</v>
      </c>
      <c r="B6" s="36"/>
      <c r="C6" s="37" t="s">
        <v>24</v>
      </c>
      <c r="D6" s="37" t="s">
        <v>42</v>
      </c>
      <c r="E6" s="37" t="s">
        <v>177</v>
      </c>
      <c r="F6" s="37" t="s">
        <v>242</v>
      </c>
      <c r="G6" s="37" t="s">
        <v>184</v>
      </c>
      <c r="H6" s="37" t="s">
        <v>523</v>
      </c>
      <c r="I6" s="37" t="s">
        <v>524</v>
      </c>
      <c r="J6" s="37">
        <v>4</v>
      </c>
      <c r="K6" s="37"/>
      <c r="L6" s="37" t="s">
        <v>515</v>
      </c>
      <c r="M6" s="37"/>
      <c r="N6" s="30" t="s">
        <v>619</v>
      </c>
      <c r="O6" s="30"/>
      <c r="P6" s="30"/>
      <c r="Q6" s="30">
        <v>20</v>
      </c>
      <c r="R6" s="31"/>
      <c r="S6" s="1" t="s">
        <v>616</v>
      </c>
    </row>
    <row r="7" spans="1:19" ht="76.5" x14ac:dyDescent="0.25">
      <c r="A7" s="36">
        <f t="shared" si="0"/>
        <v>2</v>
      </c>
      <c r="B7" s="36"/>
      <c r="C7" s="37" t="s">
        <v>25</v>
      </c>
      <c r="D7" s="37" t="s">
        <v>525</v>
      </c>
      <c r="E7" s="37" t="s">
        <v>235</v>
      </c>
      <c r="F7" s="37" t="s">
        <v>526</v>
      </c>
      <c r="G7" s="37"/>
      <c r="H7" s="37"/>
      <c r="I7" s="37" t="s">
        <v>527</v>
      </c>
      <c r="J7" s="37">
        <v>6</v>
      </c>
      <c r="K7" s="37"/>
      <c r="L7" s="37" t="s">
        <v>515</v>
      </c>
      <c r="M7" s="37"/>
      <c r="N7" s="30" t="s">
        <v>619</v>
      </c>
      <c r="O7" s="30"/>
      <c r="P7" s="30"/>
      <c r="Q7" s="30">
        <v>30</v>
      </c>
      <c r="R7" s="31"/>
    </row>
    <row r="8" spans="1:19" ht="102" x14ac:dyDescent="0.25">
      <c r="A8" s="36">
        <f t="shared" si="0"/>
        <v>3</v>
      </c>
      <c r="B8" s="36"/>
      <c r="C8" s="37" t="s">
        <v>25</v>
      </c>
      <c r="D8" s="37" t="s">
        <v>528</v>
      </c>
      <c r="E8" s="37" t="s">
        <v>529</v>
      </c>
      <c r="F8" s="37" t="s">
        <v>530</v>
      </c>
      <c r="G8" s="37" t="s">
        <v>529</v>
      </c>
      <c r="H8" s="37" t="s">
        <v>531</v>
      </c>
      <c r="I8" s="37" t="s">
        <v>532</v>
      </c>
      <c r="J8" s="37">
        <v>3</v>
      </c>
      <c r="K8" s="37"/>
      <c r="L8" s="37" t="s">
        <v>515</v>
      </c>
      <c r="M8" s="37"/>
      <c r="N8" s="30" t="s">
        <v>619</v>
      </c>
      <c r="O8" s="30"/>
      <c r="P8" s="30"/>
      <c r="Q8" s="30">
        <v>15</v>
      </c>
      <c r="R8" s="31"/>
    </row>
    <row r="9" spans="1:19" ht="38.25" x14ac:dyDescent="0.25">
      <c r="A9" s="36">
        <f t="shared" si="0"/>
        <v>4</v>
      </c>
      <c r="B9" s="36"/>
      <c r="C9" s="37" t="s">
        <v>32</v>
      </c>
      <c r="D9" s="37" t="s">
        <v>120</v>
      </c>
      <c r="E9" s="37" t="s">
        <v>216</v>
      </c>
      <c r="F9" s="37" t="s">
        <v>320</v>
      </c>
      <c r="G9" s="37"/>
      <c r="H9" s="37"/>
      <c r="I9" s="37" t="s">
        <v>533</v>
      </c>
      <c r="J9" s="37">
        <v>4</v>
      </c>
      <c r="K9" s="37"/>
      <c r="L9" s="37" t="s">
        <v>515</v>
      </c>
      <c r="M9" s="37"/>
      <c r="N9" s="30" t="s">
        <v>619</v>
      </c>
      <c r="O9" s="30"/>
      <c r="P9" s="30"/>
      <c r="Q9" s="30">
        <v>20</v>
      </c>
      <c r="R9" s="31"/>
    </row>
    <row r="10" spans="1:19" ht="76.5" x14ac:dyDescent="0.25">
      <c r="A10" s="36">
        <f t="shared" si="0"/>
        <v>5</v>
      </c>
      <c r="B10" s="36"/>
      <c r="C10" s="37" t="s">
        <v>33</v>
      </c>
      <c r="D10" s="37" t="s">
        <v>126</v>
      </c>
      <c r="E10" s="37" t="s">
        <v>178</v>
      </c>
      <c r="F10" s="37" t="s">
        <v>326</v>
      </c>
      <c r="G10" s="37"/>
      <c r="H10" s="37"/>
      <c r="I10" s="37" t="s">
        <v>534</v>
      </c>
      <c r="J10" s="37">
        <v>4</v>
      </c>
      <c r="K10" s="37"/>
      <c r="L10" s="37" t="s">
        <v>515</v>
      </c>
      <c r="M10" s="37"/>
      <c r="N10" s="30" t="s">
        <v>619</v>
      </c>
      <c r="O10" s="30"/>
      <c r="P10" s="30"/>
      <c r="Q10" s="30">
        <v>20</v>
      </c>
      <c r="R10" s="31"/>
    </row>
    <row r="11" spans="1:19" ht="76.5" x14ac:dyDescent="0.25">
      <c r="A11" s="36">
        <f t="shared" si="0"/>
        <v>6</v>
      </c>
      <c r="B11" s="36"/>
      <c r="C11" s="37" t="s">
        <v>33</v>
      </c>
      <c r="D11" s="37" t="s">
        <v>127</v>
      </c>
      <c r="E11" s="37" t="s">
        <v>178</v>
      </c>
      <c r="F11" s="37" t="s">
        <v>327</v>
      </c>
      <c r="G11" s="37"/>
      <c r="H11" s="37"/>
      <c r="I11" s="37" t="s">
        <v>535</v>
      </c>
      <c r="J11" s="37">
        <v>4</v>
      </c>
      <c r="K11" s="37"/>
      <c r="L11" s="37" t="s">
        <v>515</v>
      </c>
      <c r="M11" s="37"/>
      <c r="N11" s="30" t="s">
        <v>619</v>
      </c>
      <c r="O11" s="30"/>
      <c r="P11" s="30"/>
      <c r="Q11" s="30">
        <v>20</v>
      </c>
      <c r="R11" s="31"/>
    </row>
    <row r="12" spans="1:19" ht="76.5" x14ac:dyDescent="0.25">
      <c r="A12" s="36">
        <f t="shared" si="0"/>
        <v>7</v>
      </c>
      <c r="B12" s="36"/>
      <c r="C12" s="37" t="s">
        <v>33</v>
      </c>
      <c r="D12" s="37" t="s">
        <v>151</v>
      </c>
      <c r="E12" s="37" t="s">
        <v>178</v>
      </c>
      <c r="F12" s="37" t="s">
        <v>351</v>
      </c>
      <c r="G12" s="37"/>
      <c r="H12" s="37"/>
      <c r="I12" s="37" t="s">
        <v>536</v>
      </c>
      <c r="J12" s="37">
        <v>4</v>
      </c>
      <c r="K12" s="37"/>
      <c r="L12" s="37" t="s">
        <v>515</v>
      </c>
      <c r="M12" s="37"/>
      <c r="N12" s="30" t="s">
        <v>619</v>
      </c>
      <c r="O12" s="30"/>
      <c r="P12" s="30"/>
      <c r="Q12" s="30">
        <v>20</v>
      </c>
      <c r="R12" s="31"/>
    </row>
    <row r="13" spans="1:19" ht="38.25" x14ac:dyDescent="0.25">
      <c r="A13" s="36">
        <f t="shared" si="0"/>
        <v>8</v>
      </c>
      <c r="B13" s="36"/>
      <c r="C13" s="37" t="s">
        <v>36</v>
      </c>
      <c r="D13" s="37" t="s">
        <v>537</v>
      </c>
      <c r="E13" s="37" t="s">
        <v>538</v>
      </c>
      <c r="F13" s="37" t="s">
        <v>539</v>
      </c>
      <c r="G13" s="37"/>
      <c r="H13" s="37"/>
      <c r="I13" s="37" t="s">
        <v>540</v>
      </c>
      <c r="J13" s="37">
        <v>4</v>
      </c>
      <c r="K13" s="37"/>
      <c r="L13" s="37" t="s">
        <v>515</v>
      </c>
      <c r="M13" s="37"/>
      <c r="N13" s="30" t="s">
        <v>612</v>
      </c>
      <c r="O13" s="30"/>
      <c r="P13" s="30"/>
      <c r="Q13" s="30">
        <v>20</v>
      </c>
      <c r="R13" s="31"/>
    </row>
    <row r="14" spans="1:19" ht="25.5" x14ac:dyDescent="0.25">
      <c r="A14" s="21">
        <f t="shared" si="0"/>
        <v>9</v>
      </c>
      <c r="B14" s="21"/>
      <c r="C14" s="22" t="s">
        <v>25</v>
      </c>
      <c r="D14" s="22" t="s">
        <v>541</v>
      </c>
      <c r="E14" s="22" t="s">
        <v>542</v>
      </c>
      <c r="F14" s="22" t="s">
        <v>543</v>
      </c>
      <c r="G14" s="22"/>
      <c r="H14" s="22"/>
      <c r="I14" s="22" t="s">
        <v>544</v>
      </c>
      <c r="J14" s="22">
        <v>1</v>
      </c>
      <c r="K14" s="22"/>
      <c r="L14" s="22" t="s">
        <v>516</v>
      </c>
      <c r="M14" s="22"/>
      <c r="N14" s="30"/>
      <c r="O14" s="30"/>
      <c r="P14" s="30"/>
      <c r="Q14" s="30"/>
      <c r="R14" s="31"/>
    </row>
    <row r="15" spans="1:19" ht="25.5" x14ac:dyDescent="0.25">
      <c r="A15" s="19">
        <f t="shared" si="0"/>
        <v>10</v>
      </c>
      <c r="B15" s="19"/>
      <c r="C15" s="20" t="s">
        <v>25</v>
      </c>
      <c r="D15" s="20" t="s">
        <v>545</v>
      </c>
      <c r="E15" s="20" t="s">
        <v>542</v>
      </c>
      <c r="F15" s="20" t="s">
        <v>546</v>
      </c>
      <c r="G15" s="20"/>
      <c r="H15" s="20"/>
      <c r="I15" s="20" t="s">
        <v>547</v>
      </c>
      <c r="J15" s="20">
        <v>4</v>
      </c>
      <c r="K15" s="20"/>
      <c r="L15" s="20" t="s">
        <v>516</v>
      </c>
      <c r="M15" s="20"/>
      <c r="N15" s="30"/>
      <c r="O15" s="30"/>
      <c r="P15" s="30"/>
      <c r="Q15" s="30"/>
      <c r="R15" s="31"/>
    </row>
    <row r="16" spans="1:19" ht="120" x14ac:dyDescent="0.25">
      <c r="A16" s="19">
        <f t="shared" si="0"/>
        <v>11</v>
      </c>
      <c r="B16" s="23"/>
      <c r="C16" s="24" t="s">
        <v>548</v>
      </c>
      <c r="D16" s="25" t="s">
        <v>549</v>
      </c>
      <c r="E16" s="24" t="s">
        <v>550</v>
      </c>
      <c r="F16" s="24" t="s">
        <v>551</v>
      </c>
      <c r="G16" s="24"/>
      <c r="H16" s="24"/>
      <c r="I16" s="25"/>
      <c r="J16" s="24">
        <v>1</v>
      </c>
      <c r="K16" s="24"/>
      <c r="L16" s="24" t="s">
        <v>513</v>
      </c>
      <c r="M16" s="24"/>
      <c r="N16" s="30"/>
      <c r="O16" s="30"/>
      <c r="P16" s="30"/>
      <c r="Q16" s="30"/>
      <c r="R16" s="31"/>
    </row>
    <row r="17" spans="1:18" ht="30" x14ac:dyDescent="0.25">
      <c r="A17" s="19">
        <f t="shared" si="0"/>
        <v>12</v>
      </c>
      <c r="B17" s="23"/>
      <c r="C17" s="24" t="s">
        <v>552</v>
      </c>
      <c r="D17" s="25"/>
      <c r="E17" s="24"/>
      <c r="F17" s="24"/>
      <c r="G17" s="24"/>
      <c r="H17" s="24"/>
      <c r="I17" s="25"/>
      <c r="J17" s="24">
        <v>1</v>
      </c>
      <c r="K17" s="24"/>
      <c r="L17" s="24" t="s">
        <v>513</v>
      </c>
      <c r="M17" s="24"/>
      <c r="N17" s="30"/>
      <c r="O17" s="30"/>
      <c r="P17" s="30"/>
      <c r="Q17" s="30"/>
      <c r="R17" s="31"/>
    </row>
  </sheetData>
  <sheetProtection formatCells="0" sort="0" autoFilter="0"/>
  <autoFilter ref="A5:Q17" xr:uid="{00000000-0001-0000-0000-000000000000}"/>
  <mergeCells count="9">
    <mergeCell ref="A4:B4"/>
    <mergeCell ref="J4:M4"/>
    <mergeCell ref="A1:C2"/>
    <mergeCell ref="D1:I1"/>
    <mergeCell ref="J1:L1"/>
    <mergeCell ref="D2:I2"/>
    <mergeCell ref="J2:L2"/>
    <mergeCell ref="A3:B3"/>
    <mergeCell ref="J3:M3"/>
  </mergeCells>
  <conditionalFormatting sqref="D3:D5">
    <cfRule type="duplicateValues" dxfId="51" priority="13"/>
  </conditionalFormatting>
  <conditionalFormatting sqref="D8:D9">
    <cfRule type="duplicateValues" dxfId="50" priority="5"/>
    <cfRule type="duplicateValues" dxfId="49" priority="6"/>
  </conditionalFormatting>
  <conditionalFormatting sqref="D10:D11">
    <cfRule type="duplicateValues" dxfId="48" priority="3"/>
    <cfRule type="duplicateValues" dxfId="47" priority="4"/>
  </conditionalFormatting>
  <conditionalFormatting sqref="D12:D13">
    <cfRule type="duplicateValues" dxfId="46" priority="1"/>
    <cfRule type="duplicateValues" dxfId="45" priority="2"/>
  </conditionalFormatting>
  <conditionalFormatting sqref="D14:D15">
    <cfRule type="duplicateValues" dxfId="44" priority="15"/>
    <cfRule type="duplicateValues" dxfId="43" priority="16"/>
  </conditionalFormatting>
  <conditionalFormatting sqref="D16:D1048576 D1:D7">
    <cfRule type="duplicateValues" dxfId="42" priority="7"/>
    <cfRule type="duplicateValues" dxfId="41" priority="14"/>
  </conditionalFormatting>
  <conditionalFormatting sqref="E4">
    <cfRule type="duplicateValues" dxfId="40" priority="8"/>
  </conditionalFormatting>
  <conditionalFormatting sqref="F3:F4">
    <cfRule type="duplicateValues" dxfId="39" priority="11"/>
  </conditionalFormatting>
  <conditionalFormatting sqref="F5">
    <cfRule type="duplicateValues" dxfId="38" priority="12"/>
  </conditionalFormatting>
  <conditionalFormatting sqref="H3:H4">
    <cfRule type="duplicateValues" dxfId="37" priority="9"/>
  </conditionalFormatting>
  <conditionalFormatting sqref="H5">
    <cfRule type="duplicateValues" dxfId="36" priority="10"/>
  </conditionalFormatting>
  <pageMargins left="0.59055118110236227" right="0.39370078740157483" top="0.78740157480314965" bottom="0.39370078740157483" header="0" footer="0.19685039370078741"/>
  <pageSetup paperSize="9" scale="76" fitToHeight="0" orientation="landscape" r:id="rId1"/>
  <headerFooter>
    <oddFooter>&amp;C&amp;"Times New Roman,Regular"&amp;P/&amp;N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2"/>
  <sheetViews>
    <sheetView showWhiteSpace="0" topLeftCell="A4" zoomScale="115" zoomScaleNormal="115" workbookViewId="0">
      <selection activeCell="Q9" sqref="Q9"/>
    </sheetView>
  </sheetViews>
  <sheetFormatPr defaultColWidth="9.140625" defaultRowHeight="15" x14ac:dyDescent="0.25"/>
  <cols>
    <col min="1" max="1" width="5.140625" style="1" customWidth="1"/>
    <col min="2" max="2" width="9.7109375" style="1" customWidth="1"/>
    <col min="3" max="3" width="10.7109375" style="3" customWidth="1"/>
    <col min="4" max="4" width="16.140625" style="2" customWidth="1"/>
    <col min="5" max="5" width="12.140625" style="3" customWidth="1"/>
    <col min="6" max="6" width="14.85546875" style="3" customWidth="1"/>
    <col min="7" max="7" width="12.140625" style="3" customWidth="1"/>
    <col min="8" max="8" width="14.85546875" style="3" customWidth="1"/>
    <col min="9" max="9" width="14.140625" style="2" customWidth="1"/>
    <col min="10" max="12" width="4.85546875" style="3" customWidth="1"/>
    <col min="13" max="13" width="7.140625" style="3" customWidth="1"/>
    <col min="14" max="16384" width="9.140625" style="1"/>
  </cols>
  <sheetData>
    <row r="1" spans="1:17" ht="37.5" customHeight="1" x14ac:dyDescent="0.25">
      <c r="A1" s="47"/>
      <c r="B1" s="48"/>
      <c r="C1" s="48"/>
      <c r="D1" s="51" t="str">
        <f>UPPER("Bill of Materials")</f>
        <v>BILL OF MATERIALS</v>
      </c>
      <c r="E1" s="52"/>
      <c r="F1" s="52"/>
      <c r="G1" s="52"/>
      <c r="H1" s="52"/>
      <c r="I1" s="53"/>
      <c r="J1" s="54" t="s">
        <v>8</v>
      </c>
      <c r="K1" s="45"/>
      <c r="L1" s="46"/>
      <c r="M1" s="13"/>
    </row>
    <row r="2" spans="1:17" ht="37.5" customHeight="1" x14ac:dyDescent="0.25">
      <c r="A2" s="49"/>
      <c r="B2" s="50"/>
      <c r="C2" s="50"/>
      <c r="D2" s="55" t="s">
        <v>553</v>
      </c>
      <c r="E2" s="56"/>
      <c r="F2" s="56"/>
      <c r="G2" s="56"/>
      <c r="H2" s="56"/>
      <c r="I2" s="57"/>
      <c r="J2" s="54" t="s">
        <v>9</v>
      </c>
      <c r="K2" s="45"/>
      <c r="L2" s="46"/>
      <c r="M2" s="13"/>
    </row>
    <row r="3" spans="1:17" ht="37.5" customHeight="1" x14ac:dyDescent="0.25">
      <c r="A3" s="42" t="s">
        <v>13</v>
      </c>
      <c r="B3" s="43"/>
      <c r="C3" s="14" t="s">
        <v>16</v>
      </c>
      <c r="D3" s="11" t="s">
        <v>0</v>
      </c>
      <c r="E3" s="16"/>
      <c r="F3" s="12"/>
      <c r="G3" s="11" t="s">
        <v>6</v>
      </c>
      <c r="H3" s="12"/>
      <c r="I3" s="12"/>
      <c r="J3" s="54" t="s">
        <v>7</v>
      </c>
      <c r="K3" s="45"/>
      <c r="L3" s="45"/>
      <c r="M3" s="46"/>
    </row>
    <row r="4" spans="1:17" ht="37.5" customHeight="1" x14ac:dyDescent="0.25">
      <c r="A4" s="42" t="s">
        <v>11</v>
      </c>
      <c r="B4" s="43"/>
      <c r="C4" s="14" t="s">
        <v>554</v>
      </c>
      <c r="D4" s="7" t="s">
        <v>4</v>
      </c>
      <c r="E4" s="15" t="s">
        <v>521</v>
      </c>
      <c r="F4" s="6"/>
      <c r="G4" s="7" t="s">
        <v>5</v>
      </c>
      <c r="H4" s="6"/>
      <c r="I4" s="6"/>
      <c r="J4" s="44" t="s">
        <v>522</v>
      </c>
      <c r="K4" s="45"/>
      <c r="L4" s="45"/>
      <c r="M4" s="46"/>
      <c r="N4" s="1">
        <f>COUNTIFS(N6:N500,"Đã đủ")</f>
        <v>0</v>
      </c>
      <c r="O4" s="1">
        <f>COUNTIFS(O6:O500,"Chưa đủ")</f>
        <v>0</v>
      </c>
    </row>
    <row r="5" spans="1:17" s="8" customFormat="1" ht="33" customHeight="1" x14ac:dyDescent="0.25">
      <c r="A5" s="4" t="s">
        <v>12</v>
      </c>
      <c r="B5" s="4" t="s">
        <v>2</v>
      </c>
      <c r="C5" s="4" t="s">
        <v>21</v>
      </c>
      <c r="D5" s="4" t="s">
        <v>38</v>
      </c>
      <c r="E5" s="4" t="s">
        <v>173</v>
      </c>
      <c r="F5" s="5" t="s">
        <v>238</v>
      </c>
      <c r="G5" s="4" t="s">
        <v>1</v>
      </c>
      <c r="H5" s="5" t="s">
        <v>3</v>
      </c>
      <c r="I5" s="5" t="s">
        <v>374</v>
      </c>
      <c r="J5" s="4" t="s">
        <v>555</v>
      </c>
      <c r="K5" s="4" t="s">
        <v>10</v>
      </c>
      <c r="L5" s="4" t="s">
        <v>512</v>
      </c>
      <c r="M5" s="4" t="s">
        <v>14</v>
      </c>
      <c r="N5" s="10" t="s">
        <v>612</v>
      </c>
      <c r="O5" s="29" t="s">
        <v>613</v>
      </c>
      <c r="P5" s="29" t="s">
        <v>614</v>
      </c>
      <c r="Q5" s="29" t="s">
        <v>611</v>
      </c>
    </row>
    <row r="6" spans="1:17" ht="51" x14ac:dyDescent="0.25">
      <c r="A6" s="36">
        <f t="shared" ref="A6:A22" si="0">ROW(A6)-ROW($A$5)</f>
        <v>1</v>
      </c>
      <c r="B6" s="36"/>
      <c r="C6" s="37" t="s">
        <v>556</v>
      </c>
      <c r="D6" s="37" t="s">
        <v>557</v>
      </c>
      <c r="E6" s="37" t="s">
        <v>558</v>
      </c>
      <c r="F6" s="37" t="s">
        <v>559</v>
      </c>
      <c r="G6" s="37"/>
      <c r="H6" s="37"/>
      <c r="I6" s="37"/>
      <c r="J6" s="37">
        <v>1</v>
      </c>
      <c r="K6" s="37"/>
      <c r="L6" s="37" t="s">
        <v>513</v>
      </c>
      <c r="M6" s="37"/>
      <c r="N6" s="10" t="s">
        <v>619</v>
      </c>
      <c r="O6" s="31"/>
      <c r="P6" s="31"/>
      <c r="Q6" s="31">
        <v>5</v>
      </c>
    </row>
    <row r="7" spans="1:17" ht="51" x14ac:dyDescent="0.25">
      <c r="A7" s="36">
        <f t="shared" si="0"/>
        <v>2</v>
      </c>
      <c r="B7" s="36"/>
      <c r="C7" s="37" t="s">
        <v>556</v>
      </c>
      <c r="D7" s="37" t="s">
        <v>560</v>
      </c>
      <c r="E7" s="37" t="s">
        <v>558</v>
      </c>
      <c r="F7" s="37" t="s">
        <v>561</v>
      </c>
      <c r="G7" s="37"/>
      <c r="H7" s="37"/>
      <c r="I7" s="37"/>
      <c r="J7" s="37">
        <v>1</v>
      </c>
      <c r="K7" s="37"/>
      <c r="L7" s="37" t="s">
        <v>513</v>
      </c>
      <c r="M7" s="37"/>
      <c r="N7" s="10" t="s">
        <v>619</v>
      </c>
      <c r="O7" s="31"/>
      <c r="P7" s="31"/>
      <c r="Q7" s="31">
        <v>5</v>
      </c>
    </row>
    <row r="8" spans="1:17" ht="25.5" x14ac:dyDescent="0.25">
      <c r="A8" s="19">
        <f t="shared" si="0"/>
        <v>3</v>
      </c>
      <c r="B8" s="19"/>
      <c r="C8" s="20" t="s">
        <v>562</v>
      </c>
      <c r="D8" s="20" t="s">
        <v>563</v>
      </c>
      <c r="E8" s="20" t="s">
        <v>564</v>
      </c>
      <c r="F8" s="20" t="s">
        <v>565</v>
      </c>
      <c r="G8" s="20"/>
      <c r="H8" s="20"/>
      <c r="I8" s="20"/>
      <c r="J8" s="20">
        <v>1</v>
      </c>
      <c r="K8" s="20"/>
      <c r="L8" s="20" t="s">
        <v>513</v>
      </c>
      <c r="M8" s="20"/>
      <c r="N8" s="31"/>
      <c r="O8" s="31"/>
      <c r="P8" s="31"/>
      <c r="Q8" s="31"/>
    </row>
    <row r="9" spans="1:17" ht="25.5" x14ac:dyDescent="0.25">
      <c r="A9" s="19">
        <f t="shared" si="0"/>
        <v>4</v>
      </c>
      <c r="B9" s="19"/>
      <c r="C9" s="20" t="s">
        <v>566</v>
      </c>
      <c r="D9" s="20" t="s">
        <v>567</v>
      </c>
      <c r="E9" s="20" t="s">
        <v>568</v>
      </c>
      <c r="F9" s="20" t="s">
        <v>569</v>
      </c>
      <c r="G9" s="20"/>
      <c r="H9" s="20"/>
      <c r="I9" s="20"/>
      <c r="J9" s="20">
        <v>1</v>
      </c>
      <c r="K9" s="20"/>
      <c r="L9" s="20" t="s">
        <v>513</v>
      </c>
      <c r="M9" s="20"/>
      <c r="N9" s="31"/>
      <c r="O9" s="31"/>
      <c r="P9" s="31"/>
      <c r="Q9" s="31"/>
    </row>
    <row r="10" spans="1:17" ht="38.25" x14ac:dyDescent="0.25">
      <c r="A10" s="19">
        <f t="shared" si="0"/>
        <v>5</v>
      </c>
      <c r="B10" s="19"/>
      <c r="C10" s="20" t="s">
        <v>25</v>
      </c>
      <c r="D10" s="20" t="s">
        <v>570</v>
      </c>
      <c r="E10" s="20" t="s">
        <v>558</v>
      </c>
      <c r="F10" s="26" t="s">
        <v>571</v>
      </c>
      <c r="G10" s="20"/>
      <c r="H10" s="20"/>
      <c r="I10" s="20"/>
      <c r="J10" s="20">
        <v>2</v>
      </c>
      <c r="K10" s="20"/>
      <c r="L10" s="20" t="s">
        <v>513</v>
      </c>
      <c r="M10" s="20"/>
      <c r="N10" s="31"/>
      <c r="O10" s="31"/>
      <c r="P10" s="31"/>
      <c r="Q10" s="31"/>
    </row>
    <row r="11" spans="1:17" ht="25.5" x14ac:dyDescent="0.25">
      <c r="A11" s="19">
        <f t="shared" si="0"/>
        <v>6</v>
      </c>
      <c r="B11" s="19"/>
      <c r="C11" s="20" t="s">
        <v>23</v>
      </c>
      <c r="D11" s="20" t="s">
        <v>40</v>
      </c>
      <c r="E11" s="20" t="s">
        <v>175</v>
      </c>
      <c r="F11" s="20" t="s">
        <v>240</v>
      </c>
      <c r="G11" s="20"/>
      <c r="H11" s="20"/>
      <c r="I11" s="20"/>
      <c r="J11" s="20">
        <v>1</v>
      </c>
      <c r="K11" s="20"/>
      <c r="L11" s="20" t="s">
        <v>513</v>
      </c>
      <c r="M11" s="20"/>
      <c r="N11" s="31"/>
      <c r="O11" s="31"/>
      <c r="P11" s="31"/>
      <c r="Q11" s="31"/>
    </row>
    <row r="12" spans="1:17" ht="89.25" x14ac:dyDescent="0.25">
      <c r="A12" s="19">
        <f t="shared" si="0"/>
        <v>7</v>
      </c>
      <c r="B12" s="19"/>
      <c r="C12" s="20" t="s">
        <v>23</v>
      </c>
      <c r="D12" s="20" t="s">
        <v>572</v>
      </c>
      <c r="E12" s="20" t="s">
        <v>564</v>
      </c>
      <c r="F12" s="20" t="s">
        <v>573</v>
      </c>
      <c r="G12" s="20"/>
      <c r="H12" s="20"/>
      <c r="I12" s="20"/>
      <c r="J12" s="20">
        <v>1</v>
      </c>
      <c r="K12" s="20"/>
      <c r="L12" s="20" t="s">
        <v>513</v>
      </c>
      <c r="M12" s="20"/>
      <c r="N12" s="31"/>
      <c r="O12" s="31"/>
      <c r="P12" s="31"/>
      <c r="Q12" s="31"/>
    </row>
    <row r="13" spans="1:17" ht="76.5" x14ac:dyDescent="0.25">
      <c r="A13" s="19">
        <f t="shared" si="0"/>
        <v>8</v>
      </c>
      <c r="B13" s="19"/>
      <c r="C13" s="20" t="s">
        <v>23</v>
      </c>
      <c r="D13" s="20" t="s">
        <v>574</v>
      </c>
      <c r="E13" s="20" t="s">
        <v>575</v>
      </c>
      <c r="F13" s="20" t="s">
        <v>576</v>
      </c>
      <c r="G13" s="20"/>
      <c r="H13" s="20"/>
      <c r="I13" s="20"/>
      <c r="J13" s="20">
        <v>1</v>
      </c>
      <c r="K13" s="20"/>
      <c r="L13" s="20" t="s">
        <v>513</v>
      </c>
      <c r="M13" s="20"/>
      <c r="N13" s="31"/>
      <c r="O13" s="31"/>
      <c r="P13" s="31"/>
      <c r="Q13" s="31"/>
    </row>
    <row r="14" spans="1:17" ht="76.5" x14ac:dyDescent="0.25">
      <c r="A14" s="19">
        <f t="shared" si="0"/>
        <v>9</v>
      </c>
      <c r="B14" s="19"/>
      <c r="C14" s="20" t="s">
        <v>577</v>
      </c>
      <c r="D14" s="20" t="s">
        <v>578</v>
      </c>
      <c r="E14" s="20" t="s">
        <v>579</v>
      </c>
      <c r="F14" s="20" t="s">
        <v>580</v>
      </c>
      <c r="G14" s="20"/>
      <c r="H14" s="20"/>
      <c r="I14" s="20"/>
      <c r="J14" s="20">
        <v>1</v>
      </c>
      <c r="K14" s="20"/>
      <c r="L14" s="20" t="s">
        <v>513</v>
      </c>
      <c r="M14" s="20"/>
      <c r="N14" s="31"/>
      <c r="O14" s="31"/>
      <c r="P14" s="31"/>
      <c r="Q14" s="31"/>
    </row>
    <row r="15" spans="1:17" ht="89.25" x14ac:dyDescent="0.25">
      <c r="A15" s="19">
        <f t="shared" si="0"/>
        <v>10</v>
      </c>
      <c r="B15" s="19"/>
      <c r="C15" s="20" t="s">
        <v>581</v>
      </c>
      <c r="D15" s="20" t="s">
        <v>582</v>
      </c>
      <c r="E15" s="20" t="s">
        <v>579</v>
      </c>
      <c r="F15" s="20" t="s">
        <v>583</v>
      </c>
      <c r="G15" s="20"/>
      <c r="H15" s="20"/>
      <c r="I15" s="20"/>
      <c r="J15" s="20">
        <v>2</v>
      </c>
      <c r="K15" s="20"/>
      <c r="L15" s="20" t="s">
        <v>513</v>
      </c>
      <c r="M15" s="20"/>
      <c r="N15" s="31"/>
      <c r="O15" s="31"/>
      <c r="P15" s="31"/>
      <c r="Q15" s="31"/>
    </row>
    <row r="16" spans="1:17" ht="63.75" x14ac:dyDescent="0.25">
      <c r="A16" s="19">
        <f t="shared" si="0"/>
        <v>11</v>
      </c>
      <c r="B16" s="19"/>
      <c r="C16" s="20" t="s">
        <v>581</v>
      </c>
      <c r="D16" s="20" t="s">
        <v>584</v>
      </c>
      <c r="E16" s="20" t="s">
        <v>585</v>
      </c>
      <c r="F16" s="20" t="s">
        <v>586</v>
      </c>
      <c r="G16" s="20"/>
      <c r="H16" s="20"/>
      <c r="I16" s="20"/>
      <c r="J16" s="20">
        <v>4</v>
      </c>
      <c r="K16" s="20"/>
      <c r="L16" s="20" t="s">
        <v>513</v>
      </c>
      <c r="M16" s="20" t="s">
        <v>587</v>
      </c>
      <c r="N16" s="31"/>
      <c r="O16" s="32"/>
      <c r="P16" s="31"/>
      <c r="Q16" s="31"/>
    </row>
    <row r="17" spans="1:17" ht="120" x14ac:dyDescent="0.25">
      <c r="A17" s="19">
        <f t="shared" si="0"/>
        <v>12</v>
      </c>
      <c r="B17" s="23"/>
      <c r="C17" s="24" t="s">
        <v>581</v>
      </c>
      <c r="D17" s="25" t="s">
        <v>588</v>
      </c>
      <c r="E17" s="24" t="s">
        <v>564</v>
      </c>
      <c r="F17" s="24" t="s">
        <v>589</v>
      </c>
      <c r="G17" s="24"/>
      <c r="H17" s="24"/>
      <c r="I17" s="25"/>
      <c r="J17" s="24">
        <v>4</v>
      </c>
      <c r="K17" s="24"/>
      <c r="L17" s="24" t="s">
        <v>513</v>
      </c>
      <c r="M17" s="24" t="s">
        <v>590</v>
      </c>
      <c r="N17" s="31"/>
      <c r="O17" s="31"/>
      <c r="P17" s="31"/>
      <c r="Q17" s="31"/>
    </row>
    <row r="18" spans="1:17" ht="105" x14ac:dyDescent="0.25">
      <c r="A18" s="19">
        <f t="shared" si="0"/>
        <v>13</v>
      </c>
      <c r="B18" s="23"/>
      <c r="C18" s="24" t="s">
        <v>581</v>
      </c>
      <c r="D18" s="25" t="s">
        <v>591</v>
      </c>
      <c r="E18" s="24" t="s">
        <v>592</v>
      </c>
      <c r="F18" s="24" t="s">
        <v>593</v>
      </c>
      <c r="G18" s="24"/>
      <c r="H18" s="24"/>
      <c r="I18" s="25"/>
      <c r="J18" s="24">
        <v>1</v>
      </c>
      <c r="K18" s="24"/>
      <c r="L18" s="24" t="s">
        <v>513</v>
      </c>
      <c r="M18" s="24" t="s">
        <v>594</v>
      </c>
      <c r="N18" s="31"/>
      <c r="O18" s="31"/>
      <c r="P18" s="31"/>
      <c r="Q18" s="31"/>
    </row>
    <row r="19" spans="1:17" ht="75" x14ac:dyDescent="0.25">
      <c r="A19" s="19">
        <f t="shared" si="0"/>
        <v>14</v>
      </c>
      <c r="B19" s="23"/>
      <c r="C19" s="24" t="s">
        <v>581</v>
      </c>
      <c r="D19" s="25" t="s">
        <v>595</v>
      </c>
      <c r="E19" s="24" t="s">
        <v>564</v>
      </c>
      <c r="F19" s="24" t="s">
        <v>596</v>
      </c>
      <c r="G19" s="24"/>
      <c r="H19" s="24"/>
      <c r="I19" s="25"/>
      <c r="J19" s="24">
        <v>4</v>
      </c>
      <c r="K19" s="24"/>
      <c r="L19" s="24" t="s">
        <v>513</v>
      </c>
      <c r="M19" s="24" t="s">
        <v>597</v>
      </c>
      <c r="N19" s="31"/>
      <c r="O19" s="31"/>
      <c r="P19" s="31"/>
      <c r="Q19" s="31"/>
    </row>
    <row r="20" spans="1:17" ht="30" x14ac:dyDescent="0.25">
      <c r="A20" s="19">
        <f t="shared" si="0"/>
        <v>15</v>
      </c>
      <c r="B20" s="23"/>
      <c r="C20" s="24" t="s">
        <v>598</v>
      </c>
      <c r="D20" s="25" t="s">
        <v>599</v>
      </c>
      <c r="E20" s="24" t="s">
        <v>600</v>
      </c>
      <c r="F20" s="24" t="s">
        <v>601</v>
      </c>
      <c r="G20" s="24"/>
      <c r="H20" s="24"/>
      <c r="I20" s="25"/>
      <c r="J20" s="24">
        <v>1</v>
      </c>
      <c r="K20" s="24"/>
      <c r="L20" s="24" t="s">
        <v>513</v>
      </c>
      <c r="M20" s="24"/>
      <c r="N20" s="31"/>
      <c r="O20" s="31"/>
      <c r="P20" s="31"/>
      <c r="Q20" s="31"/>
    </row>
    <row r="21" spans="1:17" ht="75" x14ac:dyDescent="0.25">
      <c r="A21" s="19">
        <f t="shared" si="0"/>
        <v>16</v>
      </c>
      <c r="B21" s="23"/>
      <c r="C21" s="24" t="s">
        <v>598</v>
      </c>
      <c r="D21" s="25" t="s">
        <v>602</v>
      </c>
      <c r="E21" s="24" t="s">
        <v>558</v>
      </c>
      <c r="F21" s="24" t="s">
        <v>603</v>
      </c>
      <c r="G21" s="24"/>
      <c r="H21" s="24"/>
      <c r="I21" s="25"/>
      <c r="J21" s="24">
        <v>100</v>
      </c>
      <c r="K21" s="24" t="s">
        <v>604</v>
      </c>
      <c r="L21" s="24" t="s">
        <v>513</v>
      </c>
      <c r="M21" s="24"/>
      <c r="N21" s="31"/>
      <c r="O21" s="31"/>
      <c r="P21" s="31"/>
      <c r="Q21" s="31"/>
    </row>
    <row r="22" spans="1:17" ht="45" x14ac:dyDescent="0.25">
      <c r="A22" s="19">
        <f t="shared" si="0"/>
        <v>17</v>
      </c>
      <c r="B22" s="23"/>
      <c r="C22" s="24" t="s">
        <v>25</v>
      </c>
      <c r="D22" s="25" t="s">
        <v>605</v>
      </c>
      <c r="E22" s="24" t="s">
        <v>542</v>
      </c>
      <c r="F22" s="24" t="s">
        <v>606</v>
      </c>
      <c r="G22" s="24"/>
      <c r="H22" s="24"/>
      <c r="I22" s="25"/>
      <c r="J22" s="24">
        <v>1</v>
      </c>
      <c r="K22" s="24"/>
      <c r="L22" s="24" t="s">
        <v>513</v>
      </c>
      <c r="M22" s="24"/>
      <c r="N22" s="31"/>
      <c r="O22" s="31"/>
      <c r="P22" s="31"/>
      <c r="Q22" s="31"/>
    </row>
  </sheetData>
  <sheetProtection formatCells="0" sort="0" autoFilter="0"/>
  <autoFilter ref="A5:Q22" xr:uid="{00000000-0001-0000-0100-000000000000}"/>
  <mergeCells count="9">
    <mergeCell ref="A4:B4"/>
    <mergeCell ref="J4:M4"/>
    <mergeCell ref="A1:C2"/>
    <mergeCell ref="D1:I1"/>
    <mergeCell ref="J1:L1"/>
    <mergeCell ref="D2:I2"/>
    <mergeCell ref="J2:L2"/>
    <mergeCell ref="A3:B3"/>
    <mergeCell ref="J3:M3"/>
  </mergeCells>
  <conditionalFormatting sqref="D3:D5">
    <cfRule type="duplicateValues" dxfId="35" priority="13"/>
  </conditionalFormatting>
  <conditionalFormatting sqref="D6:D8">
    <cfRule type="duplicateValues" dxfId="34" priority="1"/>
    <cfRule type="duplicateValues" dxfId="33" priority="2"/>
  </conditionalFormatting>
  <conditionalFormatting sqref="D9:D10">
    <cfRule type="duplicateValues" dxfId="32" priority="5"/>
    <cfRule type="duplicateValues" dxfId="31" priority="6"/>
  </conditionalFormatting>
  <conditionalFormatting sqref="D11">
    <cfRule type="duplicateValues" dxfId="30" priority="15"/>
    <cfRule type="duplicateValues" dxfId="29" priority="16"/>
  </conditionalFormatting>
  <conditionalFormatting sqref="D12:D16">
    <cfRule type="duplicateValues" dxfId="28" priority="3"/>
    <cfRule type="duplicateValues" dxfId="27" priority="4"/>
  </conditionalFormatting>
  <conditionalFormatting sqref="D17:D1048576 D1:D5">
    <cfRule type="duplicateValues" dxfId="26" priority="7"/>
    <cfRule type="duplicateValues" dxfId="25" priority="14"/>
  </conditionalFormatting>
  <conditionalFormatting sqref="E4">
    <cfRule type="duplicateValues" dxfId="24" priority="8"/>
  </conditionalFormatting>
  <conditionalFormatting sqref="F3:F4">
    <cfRule type="duplicateValues" dxfId="23" priority="11"/>
  </conditionalFormatting>
  <conditionalFormatting sqref="F5">
    <cfRule type="duplicateValues" dxfId="22" priority="12"/>
  </conditionalFormatting>
  <conditionalFormatting sqref="H3:H4">
    <cfRule type="duplicateValues" dxfId="21" priority="9"/>
  </conditionalFormatting>
  <conditionalFormatting sqref="H5">
    <cfRule type="duplicateValues" dxfId="20" priority="10"/>
  </conditionalFormatting>
  <pageMargins left="0.59055118110236227" right="0.39370078740157483" top="0.78740157480314965" bottom="0.39370078740157483" header="0" footer="0.19685039370078741"/>
  <pageSetup paperSize="9" scale="81" fitToHeight="0" orientation="landscape" r:id="rId1"/>
  <headerFooter>
    <oddFooter>&amp;C&amp;"Times New Roman,Regular"&amp;P/&amp;N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8"/>
  <sheetViews>
    <sheetView showWhiteSpace="0" zoomScale="85" zoomScaleNormal="85" workbookViewId="0">
      <selection activeCell="R19" sqref="R19"/>
    </sheetView>
  </sheetViews>
  <sheetFormatPr defaultColWidth="9.140625" defaultRowHeight="15" x14ac:dyDescent="0.25"/>
  <cols>
    <col min="1" max="1" width="5.140625" style="1" customWidth="1"/>
    <col min="2" max="2" width="9.7109375" style="1" customWidth="1"/>
    <col min="3" max="3" width="10.7109375" style="3" customWidth="1"/>
    <col min="4" max="4" width="16.140625" style="2" customWidth="1"/>
    <col min="5" max="5" width="12.140625" style="3" customWidth="1"/>
    <col min="6" max="6" width="14.85546875" style="3" customWidth="1"/>
    <col min="7" max="7" width="12.140625" style="3" customWidth="1"/>
    <col min="8" max="8" width="14.85546875" style="3" customWidth="1"/>
    <col min="9" max="9" width="14.140625" style="2" customWidth="1"/>
    <col min="10" max="12" width="4.85546875" style="3" customWidth="1"/>
    <col min="13" max="13" width="7.140625" style="3" customWidth="1"/>
    <col min="14" max="16384" width="9.140625" style="1"/>
  </cols>
  <sheetData>
    <row r="1" spans="1:17" ht="37.5" customHeight="1" x14ac:dyDescent="0.25">
      <c r="A1" s="47"/>
      <c r="B1" s="48"/>
      <c r="C1" s="48"/>
      <c r="D1" s="51" t="str">
        <f>UPPER("Bill of Materials")</f>
        <v>BILL OF MATERIALS</v>
      </c>
      <c r="E1" s="52"/>
      <c r="F1" s="52"/>
      <c r="G1" s="52"/>
      <c r="H1" s="52"/>
      <c r="I1" s="53"/>
      <c r="J1" s="54" t="s">
        <v>8</v>
      </c>
      <c r="K1" s="45"/>
      <c r="L1" s="46"/>
      <c r="M1" s="13"/>
    </row>
    <row r="2" spans="1:17" ht="37.5" customHeight="1" x14ac:dyDescent="0.25">
      <c r="A2" s="49"/>
      <c r="B2" s="50"/>
      <c r="C2" s="50"/>
      <c r="D2" s="55" t="s">
        <v>15</v>
      </c>
      <c r="E2" s="56"/>
      <c r="F2" s="56"/>
      <c r="G2" s="56"/>
      <c r="H2" s="56"/>
      <c r="I2" s="57"/>
      <c r="J2" s="54" t="s">
        <v>9</v>
      </c>
      <c r="K2" s="45"/>
      <c r="L2" s="46"/>
      <c r="M2" s="13"/>
    </row>
    <row r="3" spans="1:17" ht="37.5" customHeight="1" x14ac:dyDescent="0.25">
      <c r="A3" s="42" t="s">
        <v>13</v>
      </c>
      <c r="B3" s="43"/>
      <c r="C3" s="14" t="s">
        <v>16</v>
      </c>
      <c r="D3" s="11" t="s">
        <v>0</v>
      </c>
      <c r="E3" s="14" t="s">
        <v>17</v>
      </c>
      <c r="F3" s="12"/>
      <c r="G3" s="11" t="s">
        <v>6</v>
      </c>
      <c r="H3" s="12"/>
      <c r="I3" s="12"/>
      <c r="J3" s="54" t="s">
        <v>7</v>
      </c>
      <c r="K3" s="45"/>
      <c r="L3" s="45"/>
      <c r="M3" s="46"/>
    </row>
    <row r="4" spans="1:17" ht="37.5" customHeight="1" x14ac:dyDescent="0.25">
      <c r="A4" s="42" t="s">
        <v>11</v>
      </c>
      <c r="B4" s="43"/>
      <c r="C4" s="14" t="s">
        <v>18</v>
      </c>
      <c r="D4" s="7" t="s">
        <v>4</v>
      </c>
      <c r="E4" s="15" t="s">
        <v>19</v>
      </c>
      <c r="F4" s="6"/>
      <c r="G4" s="7" t="s">
        <v>5</v>
      </c>
      <c r="H4" s="6"/>
      <c r="I4" s="6"/>
      <c r="J4" s="44" t="s">
        <v>522</v>
      </c>
      <c r="K4" s="45"/>
      <c r="L4" s="45"/>
      <c r="M4" s="46"/>
      <c r="N4" s="1">
        <f>COUNTIFS(N6:N500,"Đã đủ")</f>
        <v>1</v>
      </c>
      <c r="O4" s="1">
        <f>COUNTIFS(O6:O500,"Chưa đủ")</f>
        <v>0</v>
      </c>
    </row>
    <row r="5" spans="1:17" s="8" customFormat="1" ht="33" customHeight="1" x14ac:dyDescent="0.25">
      <c r="A5" s="4" t="s">
        <v>12</v>
      </c>
      <c r="B5" s="4" t="s">
        <v>2</v>
      </c>
      <c r="C5" s="4" t="s">
        <v>21</v>
      </c>
      <c r="D5" s="4" t="s">
        <v>38</v>
      </c>
      <c r="E5" s="4" t="s">
        <v>173</v>
      </c>
      <c r="F5" s="5" t="s">
        <v>238</v>
      </c>
      <c r="G5" s="4" t="s">
        <v>1</v>
      </c>
      <c r="H5" s="5" t="s">
        <v>3</v>
      </c>
      <c r="I5" s="5" t="s">
        <v>374</v>
      </c>
      <c r="J5" s="4" t="s">
        <v>511</v>
      </c>
      <c r="K5" s="4" t="s">
        <v>10</v>
      </c>
      <c r="L5" s="4" t="s">
        <v>512</v>
      </c>
      <c r="M5" s="4" t="s">
        <v>14</v>
      </c>
      <c r="N5" s="10" t="s">
        <v>612</v>
      </c>
      <c r="O5" s="29" t="s">
        <v>613</v>
      </c>
      <c r="P5" s="29" t="s">
        <v>614</v>
      </c>
      <c r="Q5" s="29" t="s">
        <v>611</v>
      </c>
    </row>
    <row r="6" spans="1:17" ht="25.5" x14ac:dyDescent="0.25">
      <c r="A6" s="19">
        <f>ROW(A6)-ROW($A$5)</f>
        <v>1</v>
      </c>
      <c r="B6" s="19"/>
      <c r="C6" s="20" t="s">
        <v>607</v>
      </c>
      <c r="D6" s="20" t="s">
        <v>608</v>
      </c>
      <c r="E6" s="20" t="s">
        <v>609</v>
      </c>
      <c r="F6" s="20"/>
      <c r="G6" s="20"/>
      <c r="H6" s="20"/>
      <c r="I6" s="20"/>
      <c r="J6" s="20">
        <v>1</v>
      </c>
      <c r="K6" s="20"/>
      <c r="L6" s="20"/>
      <c r="M6" s="20"/>
      <c r="N6" s="31"/>
      <c r="O6" s="31"/>
      <c r="P6" s="31"/>
      <c r="Q6" s="31"/>
    </row>
    <row r="7" spans="1:17" ht="38.25" x14ac:dyDescent="0.25">
      <c r="A7" s="17">
        <f>ROW(A7)-ROW($A$5)</f>
        <v>2</v>
      </c>
      <c r="B7" s="17"/>
      <c r="C7" s="18" t="s">
        <v>607</v>
      </c>
      <c r="D7" s="18" t="s">
        <v>610</v>
      </c>
      <c r="E7" s="18" t="s">
        <v>609</v>
      </c>
      <c r="F7" s="18"/>
      <c r="G7" s="18"/>
      <c r="H7" s="18"/>
      <c r="I7" s="18"/>
      <c r="J7" s="18">
        <v>1</v>
      </c>
      <c r="K7" s="18"/>
      <c r="L7" s="18"/>
      <c r="M7" s="18"/>
      <c r="N7" s="31" t="s">
        <v>612</v>
      </c>
      <c r="O7" s="31"/>
      <c r="P7" s="31"/>
      <c r="Q7" s="31">
        <v>5</v>
      </c>
    </row>
    <row r="8" spans="1:17" x14ac:dyDescent="0.25">
      <c r="A8" s="9">
        <f>ROW(A8)-ROW($A$5)</f>
        <v>3</v>
      </c>
      <c r="B8" s="9"/>
      <c r="C8" s="10" t="s">
        <v>554</v>
      </c>
      <c r="D8" s="44" t="s">
        <v>522</v>
      </c>
      <c r="E8" s="45"/>
      <c r="F8" s="45"/>
      <c r="G8" s="46"/>
      <c r="H8" s="10"/>
      <c r="I8" s="10"/>
      <c r="J8" s="10">
        <v>1</v>
      </c>
      <c r="K8" s="10"/>
      <c r="L8" s="10"/>
      <c r="M8" s="10"/>
      <c r="N8" s="31"/>
      <c r="O8" s="31"/>
      <c r="P8" s="31"/>
      <c r="Q8" s="31"/>
    </row>
  </sheetData>
  <sheetProtection formatCells="0" sort="0" autoFilter="0"/>
  <autoFilter ref="A5:Q8" xr:uid="{00000000-0001-0000-0200-000000000000}"/>
  <mergeCells count="10">
    <mergeCell ref="A4:B4"/>
    <mergeCell ref="J4:M4"/>
    <mergeCell ref="D8:G8"/>
    <mergeCell ref="A1:C2"/>
    <mergeCell ref="D1:I1"/>
    <mergeCell ref="J1:L1"/>
    <mergeCell ref="D2:I2"/>
    <mergeCell ref="J2:L2"/>
    <mergeCell ref="A3:B3"/>
    <mergeCell ref="J3:M3"/>
  </mergeCells>
  <conditionalFormatting sqref="D3:D5">
    <cfRule type="duplicateValues" dxfId="19" priority="9"/>
  </conditionalFormatting>
  <conditionalFormatting sqref="D6">
    <cfRule type="duplicateValues" dxfId="18" priority="11"/>
    <cfRule type="duplicateValues" dxfId="17" priority="12"/>
  </conditionalFormatting>
  <conditionalFormatting sqref="D7">
    <cfRule type="duplicateValues" dxfId="16" priority="1"/>
    <cfRule type="duplicateValues" dxfId="15" priority="2"/>
  </conditionalFormatting>
  <conditionalFormatting sqref="D9:D1048576 D1:D5">
    <cfRule type="duplicateValues" dxfId="14" priority="3"/>
    <cfRule type="duplicateValues" dxfId="13" priority="10"/>
  </conditionalFormatting>
  <conditionalFormatting sqref="E4">
    <cfRule type="duplicateValues" dxfId="12" priority="4"/>
  </conditionalFormatting>
  <conditionalFormatting sqref="F3:F4">
    <cfRule type="duplicateValues" dxfId="11" priority="7"/>
  </conditionalFormatting>
  <conditionalFormatting sqref="F5">
    <cfRule type="duplicateValues" dxfId="10" priority="8"/>
  </conditionalFormatting>
  <conditionalFormatting sqref="H3:H4">
    <cfRule type="duplicateValues" dxfId="9" priority="5"/>
  </conditionalFormatting>
  <conditionalFormatting sqref="H5">
    <cfRule type="duplicateValues" dxfId="8" priority="6"/>
  </conditionalFormatting>
  <pageMargins left="0.25" right="0.25" top="0.75" bottom="0.75" header="0.3" footer="0.3"/>
  <pageSetup paperSize="9" scale="84" fitToHeight="0" orientation="landscape" r:id="rId1"/>
  <headerFooter>
    <oddFooter>&amp;C&amp;"Times New Roman,Regular"&amp;P/&amp;N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42"/>
  <sheetViews>
    <sheetView tabSelected="1" showWhiteSpace="0" zoomScale="85" zoomScaleNormal="85" workbookViewId="0">
      <selection activeCell="T4" sqref="T4"/>
    </sheetView>
  </sheetViews>
  <sheetFormatPr defaultColWidth="9.140625" defaultRowHeight="15" x14ac:dyDescent="0.25"/>
  <cols>
    <col min="1" max="1" width="5.28515625" style="1" customWidth="1"/>
    <col min="2" max="2" width="9.7109375" style="1" customWidth="1"/>
    <col min="3" max="3" width="10.7109375" style="3" customWidth="1"/>
    <col min="4" max="4" width="16.28515625" style="2" customWidth="1"/>
    <col min="5" max="5" width="12.140625" style="3" customWidth="1"/>
    <col min="6" max="6" width="14.85546875" style="3" customWidth="1"/>
    <col min="7" max="7" width="12.140625" style="3" customWidth="1"/>
    <col min="8" max="8" width="14.85546875" style="3" customWidth="1"/>
    <col min="9" max="9" width="14.28515625" style="2" customWidth="1"/>
    <col min="10" max="12" width="4.85546875" style="3" customWidth="1"/>
    <col min="13" max="13" width="7.28515625" style="3" customWidth="1"/>
    <col min="14" max="17" width="9.140625" style="27"/>
    <col min="18" max="16384" width="9.140625" style="1"/>
  </cols>
  <sheetData>
    <row r="1" spans="1:18" ht="37.5" customHeight="1" x14ac:dyDescent="0.25">
      <c r="A1" s="47"/>
      <c r="B1" s="48"/>
      <c r="C1" s="48"/>
      <c r="D1" s="51" t="str">
        <f>UPPER("Bill of Materials")</f>
        <v>BILL OF MATERIALS</v>
      </c>
      <c r="E1" s="52"/>
      <c r="F1" s="52"/>
      <c r="G1" s="52"/>
      <c r="H1" s="52"/>
      <c r="I1" s="53"/>
      <c r="J1" s="54" t="s">
        <v>8</v>
      </c>
      <c r="K1" s="45"/>
      <c r="L1" s="46"/>
      <c r="M1" s="13"/>
    </row>
    <row r="2" spans="1:18" ht="37.5" customHeight="1" x14ac:dyDescent="0.25">
      <c r="A2" s="49"/>
      <c r="B2" s="50"/>
      <c r="C2" s="50"/>
      <c r="D2" s="55" t="s">
        <v>15</v>
      </c>
      <c r="E2" s="56"/>
      <c r="F2" s="56"/>
      <c r="G2" s="56"/>
      <c r="H2" s="56"/>
      <c r="I2" s="57"/>
      <c r="J2" s="54" t="s">
        <v>9</v>
      </c>
      <c r="K2" s="45"/>
      <c r="L2" s="46"/>
      <c r="M2" s="13"/>
    </row>
    <row r="3" spans="1:18" ht="37.5" customHeight="1" x14ac:dyDescent="0.25">
      <c r="A3" s="42" t="s">
        <v>13</v>
      </c>
      <c r="B3" s="43"/>
      <c r="C3" s="14" t="s">
        <v>16</v>
      </c>
      <c r="D3" s="11" t="s">
        <v>0</v>
      </c>
      <c r="E3" s="14" t="s">
        <v>17</v>
      </c>
      <c r="F3" s="12"/>
      <c r="G3" s="11" t="s">
        <v>6</v>
      </c>
      <c r="H3" s="12"/>
      <c r="I3" s="12"/>
      <c r="J3" s="54" t="s">
        <v>7</v>
      </c>
      <c r="K3" s="45"/>
      <c r="L3" s="45"/>
      <c r="M3" s="46"/>
      <c r="O3" s="28"/>
    </row>
    <row r="4" spans="1:18" ht="37.5" customHeight="1" x14ac:dyDescent="0.25">
      <c r="A4" s="42" t="s">
        <v>11</v>
      </c>
      <c r="B4" s="43"/>
      <c r="C4" s="14" t="s">
        <v>18</v>
      </c>
      <c r="D4" s="7" t="s">
        <v>4</v>
      </c>
      <c r="E4" s="15" t="s">
        <v>518</v>
      </c>
      <c r="F4" s="6"/>
      <c r="G4" s="7" t="s">
        <v>5</v>
      </c>
      <c r="H4" s="6"/>
      <c r="I4" s="6"/>
      <c r="J4" s="44" t="s">
        <v>20</v>
      </c>
      <c r="K4" s="45"/>
      <c r="L4" s="45"/>
      <c r="M4" s="46"/>
      <c r="N4" s="27">
        <f>COUNTIFS(N6:N141,"Đã đủ")</f>
        <v>125</v>
      </c>
      <c r="O4" s="27">
        <f>COUNTIFS(O6:O141,"Chưa đủ")</f>
        <v>11</v>
      </c>
    </row>
    <row r="5" spans="1:18" s="8" customFormat="1" ht="33" customHeight="1" x14ac:dyDescent="0.25">
      <c r="A5" s="4" t="s">
        <v>12</v>
      </c>
      <c r="B5" s="4" t="s">
        <v>2</v>
      </c>
      <c r="C5" s="4" t="s">
        <v>21</v>
      </c>
      <c r="D5" s="4" t="s">
        <v>38</v>
      </c>
      <c r="E5" s="4" t="s">
        <v>173</v>
      </c>
      <c r="F5" s="5" t="s">
        <v>238</v>
      </c>
      <c r="G5" s="4" t="s">
        <v>1</v>
      </c>
      <c r="H5" s="5" t="s">
        <v>3</v>
      </c>
      <c r="I5" s="5" t="s">
        <v>374</v>
      </c>
      <c r="J5" s="4" t="s">
        <v>511</v>
      </c>
      <c r="K5" s="4" t="s">
        <v>10</v>
      </c>
      <c r="L5" s="4" t="s">
        <v>512</v>
      </c>
      <c r="M5" s="4" t="s">
        <v>14</v>
      </c>
      <c r="N5" s="29" t="s">
        <v>612</v>
      </c>
      <c r="O5" s="29" t="s">
        <v>613</v>
      </c>
      <c r="P5" s="29" t="s">
        <v>614</v>
      </c>
      <c r="Q5" s="29" t="s">
        <v>611</v>
      </c>
    </row>
    <row r="6" spans="1:18" ht="25.5" x14ac:dyDescent="0.25">
      <c r="A6" s="19">
        <v>1</v>
      </c>
      <c r="B6" s="19"/>
      <c r="C6" s="20" t="s">
        <v>22</v>
      </c>
      <c r="D6" s="20" t="s">
        <v>39</v>
      </c>
      <c r="E6" s="20" t="s">
        <v>174</v>
      </c>
      <c r="F6" s="20" t="s">
        <v>239</v>
      </c>
      <c r="G6" s="20"/>
      <c r="H6" s="20"/>
      <c r="I6" s="20" t="s">
        <v>375</v>
      </c>
      <c r="J6" s="20">
        <v>1</v>
      </c>
      <c r="K6" s="20"/>
      <c r="L6" s="20" t="s">
        <v>513</v>
      </c>
      <c r="M6" s="20"/>
      <c r="N6" s="29" t="s">
        <v>612</v>
      </c>
      <c r="O6" s="30"/>
      <c r="P6" s="30"/>
      <c r="Q6" s="30">
        <v>5</v>
      </c>
    </row>
    <row r="7" spans="1:18" ht="25.5" x14ac:dyDescent="0.25">
      <c r="A7" s="19">
        <v>2</v>
      </c>
      <c r="B7" s="19"/>
      <c r="C7" s="20" t="s">
        <v>23</v>
      </c>
      <c r="D7" s="20" t="s">
        <v>40</v>
      </c>
      <c r="E7" s="20" t="s">
        <v>175</v>
      </c>
      <c r="F7" s="20" t="s">
        <v>240</v>
      </c>
      <c r="G7" s="20"/>
      <c r="H7" s="20"/>
      <c r="I7" s="38" t="s">
        <v>376</v>
      </c>
      <c r="J7" s="20">
        <v>1</v>
      </c>
      <c r="K7" s="20"/>
      <c r="L7" s="20" t="s">
        <v>513</v>
      </c>
      <c r="M7" s="20"/>
      <c r="N7" s="33"/>
      <c r="O7" s="33" t="s">
        <v>613</v>
      </c>
      <c r="P7" s="34"/>
      <c r="Q7" s="34"/>
    </row>
    <row r="8" spans="1:18" ht="25.5" x14ac:dyDescent="0.25">
      <c r="A8" s="19">
        <v>3</v>
      </c>
      <c r="B8" s="19"/>
      <c r="C8" s="20" t="s">
        <v>22</v>
      </c>
      <c r="D8" s="20" t="s">
        <v>41</v>
      </c>
      <c r="E8" s="20" t="s">
        <v>176</v>
      </c>
      <c r="F8" s="20" t="s">
        <v>241</v>
      </c>
      <c r="G8" s="20"/>
      <c r="H8" s="20"/>
      <c r="I8" s="20" t="s">
        <v>377</v>
      </c>
      <c r="J8" s="20">
        <v>1</v>
      </c>
      <c r="K8" s="20"/>
      <c r="L8" s="20" t="s">
        <v>514</v>
      </c>
      <c r="M8" s="20"/>
      <c r="N8" s="29" t="s">
        <v>612</v>
      </c>
      <c r="O8" s="30"/>
      <c r="P8" s="30"/>
      <c r="Q8" s="30">
        <v>5</v>
      </c>
    </row>
    <row r="9" spans="1:18" ht="38.25" x14ac:dyDescent="0.25">
      <c r="A9" s="19">
        <v>4</v>
      </c>
      <c r="B9" s="19"/>
      <c r="C9" s="20" t="s">
        <v>24</v>
      </c>
      <c r="D9" s="20" t="s">
        <v>42</v>
      </c>
      <c r="E9" s="20" t="s">
        <v>177</v>
      </c>
      <c r="F9" s="20" t="s">
        <v>242</v>
      </c>
      <c r="G9" s="20"/>
      <c r="H9" s="20"/>
      <c r="I9" s="20" t="s">
        <v>378</v>
      </c>
      <c r="J9" s="20">
        <v>7</v>
      </c>
      <c r="K9" s="20"/>
      <c r="L9" s="20" t="s">
        <v>515</v>
      </c>
      <c r="M9" s="20"/>
      <c r="N9" s="29" t="s">
        <v>612</v>
      </c>
      <c r="O9" s="30"/>
      <c r="P9" s="30"/>
      <c r="Q9" s="30">
        <v>35</v>
      </c>
      <c r="R9" s="1" t="s">
        <v>616</v>
      </c>
    </row>
    <row r="10" spans="1:18" ht="63.75" x14ac:dyDescent="0.25">
      <c r="A10" s="19">
        <v>5</v>
      </c>
      <c r="B10" s="19"/>
      <c r="C10" s="20" t="s">
        <v>24</v>
      </c>
      <c r="D10" s="20" t="s">
        <v>43</v>
      </c>
      <c r="E10" s="20" t="s">
        <v>178</v>
      </c>
      <c r="F10" s="20" t="s">
        <v>243</v>
      </c>
      <c r="G10" s="20"/>
      <c r="H10" s="20"/>
      <c r="I10" s="20" t="s">
        <v>379</v>
      </c>
      <c r="J10" s="20">
        <v>2</v>
      </c>
      <c r="K10" s="20"/>
      <c r="L10" s="20" t="s">
        <v>515</v>
      </c>
      <c r="M10" s="20"/>
      <c r="N10" s="29" t="s">
        <v>612</v>
      </c>
      <c r="O10" s="30"/>
      <c r="P10" s="30"/>
      <c r="Q10" s="30">
        <v>10</v>
      </c>
    </row>
    <row r="11" spans="1:18" ht="102" x14ac:dyDescent="0.25">
      <c r="A11" s="19">
        <v>6</v>
      </c>
      <c r="B11" s="19"/>
      <c r="C11" s="20" t="s">
        <v>24</v>
      </c>
      <c r="D11" s="20" t="s">
        <v>44</v>
      </c>
      <c r="E11" s="20" t="s">
        <v>179</v>
      </c>
      <c r="F11" s="20" t="s">
        <v>244</v>
      </c>
      <c r="G11" s="20"/>
      <c r="H11" s="20"/>
      <c r="I11" s="20" t="s">
        <v>380</v>
      </c>
      <c r="J11" s="20">
        <v>2</v>
      </c>
      <c r="K11" s="20"/>
      <c r="L11" s="20" t="s">
        <v>515</v>
      </c>
      <c r="M11" s="20"/>
      <c r="N11" s="29" t="s">
        <v>612</v>
      </c>
      <c r="O11" s="30"/>
      <c r="P11" s="30"/>
      <c r="Q11" s="30">
        <v>10</v>
      </c>
    </row>
    <row r="12" spans="1:18" ht="25.5" x14ac:dyDescent="0.25">
      <c r="A12" s="19">
        <v>7</v>
      </c>
      <c r="B12" s="19"/>
      <c r="C12" s="20" t="s">
        <v>24</v>
      </c>
      <c r="D12" s="20" t="s">
        <v>45</v>
      </c>
      <c r="E12" s="20" t="s">
        <v>180</v>
      </c>
      <c r="F12" s="20" t="s">
        <v>245</v>
      </c>
      <c r="G12" s="20"/>
      <c r="H12" s="20"/>
      <c r="I12" s="20" t="s">
        <v>381</v>
      </c>
      <c r="J12" s="20">
        <v>5</v>
      </c>
      <c r="K12" s="20"/>
      <c r="L12" s="20" t="s">
        <v>515</v>
      </c>
      <c r="M12" s="20"/>
      <c r="N12" s="29" t="s">
        <v>612</v>
      </c>
      <c r="O12" s="30"/>
      <c r="P12" s="30"/>
      <c r="Q12" s="30">
        <v>25</v>
      </c>
    </row>
    <row r="13" spans="1:18" ht="63.75" x14ac:dyDescent="0.25">
      <c r="A13" s="19">
        <v>8</v>
      </c>
      <c r="B13" s="19"/>
      <c r="C13" s="20" t="s">
        <v>24</v>
      </c>
      <c r="D13" s="20" t="s">
        <v>46</v>
      </c>
      <c r="E13" s="20" t="s">
        <v>178</v>
      </c>
      <c r="F13" s="20" t="s">
        <v>246</v>
      </c>
      <c r="G13" s="20"/>
      <c r="H13" s="20"/>
      <c r="I13" s="20" t="s">
        <v>382</v>
      </c>
      <c r="J13" s="20">
        <v>11</v>
      </c>
      <c r="K13" s="20"/>
      <c r="L13" s="20" t="s">
        <v>515</v>
      </c>
      <c r="M13" s="20"/>
      <c r="N13" s="29" t="s">
        <v>612</v>
      </c>
      <c r="O13" s="30"/>
      <c r="P13" s="30"/>
      <c r="Q13" s="30">
        <v>55</v>
      </c>
    </row>
    <row r="14" spans="1:18" ht="38.25" x14ac:dyDescent="0.25">
      <c r="A14" s="19">
        <v>9</v>
      </c>
      <c r="B14" s="19"/>
      <c r="C14" s="20" t="s">
        <v>24</v>
      </c>
      <c r="D14" s="20" t="s">
        <v>47</v>
      </c>
      <c r="E14" s="20" t="s">
        <v>178</v>
      </c>
      <c r="F14" s="20" t="s">
        <v>247</v>
      </c>
      <c r="G14" s="20"/>
      <c r="H14" s="20"/>
      <c r="I14" s="20" t="s">
        <v>383</v>
      </c>
      <c r="J14" s="20">
        <v>2</v>
      </c>
      <c r="K14" s="20"/>
      <c r="L14" s="20" t="s">
        <v>515</v>
      </c>
      <c r="M14" s="20"/>
      <c r="N14" s="29" t="s">
        <v>612</v>
      </c>
      <c r="O14" s="30"/>
      <c r="P14" s="30"/>
      <c r="Q14" s="30">
        <v>10</v>
      </c>
    </row>
    <row r="15" spans="1:18" ht="38.25" x14ac:dyDescent="0.25">
      <c r="A15" s="19">
        <v>10</v>
      </c>
      <c r="B15" s="19"/>
      <c r="C15" s="20" t="s">
        <v>24</v>
      </c>
      <c r="D15" s="20" t="s">
        <v>48</v>
      </c>
      <c r="E15" s="20" t="s">
        <v>181</v>
      </c>
      <c r="F15" s="20" t="s">
        <v>248</v>
      </c>
      <c r="G15" s="20"/>
      <c r="H15" s="20"/>
      <c r="I15" s="20" t="s">
        <v>384</v>
      </c>
      <c r="J15" s="20">
        <v>1</v>
      </c>
      <c r="K15" s="20"/>
      <c r="L15" s="20" t="s">
        <v>515</v>
      </c>
      <c r="M15" s="20"/>
      <c r="N15" s="29" t="s">
        <v>612</v>
      </c>
      <c r="O15" s="30"/>
      <c r="P15" s="30"/>
      <c r="Q15" s="30">
        <v>5</v>
      </c>
    </row>
    <row r="16" spans="1:18" ht="409.5" x14ac:dyDescent="0.25">
      <c r="A16" s="19">
        <v>11</v>
      </c>
      <c r="B16" s="19"/>
      <c r="C16" s="20" t="s">
        <v>24</v>
      </c>
      <c r="D16" s="20" t="s">
        <v>49</v>
      </c>
      <c r="E16" s="20" t="s">
        <v>178</v>
      </c>
      <c r="F16" s="20" t="s">
        <v>249</v>
      </c>
      <c r="G16" s="20"/>
      <c r="H16" s="20"/>
      <c r="I16" s="20" t="s">
        <v>385</v>
      </c>
      <c r="J16" s="20">
        <v>86</v>
      </c>
      <c r="K16" s="20"/>
      <c r="L16" s="20" t="s">
        <v>515</v>
      </c>
      <c r="M16" s="20"/>
      <c r="N16" s="29" t="s">
        <v>612</v>
      </c>
      <c r="O16" s="30"/>
      <c r="P16" s="30"/>
      <c r="Q16" s="30">
        <v>430</v>
      </c>
    </row>
    <row r="17" spans="1:18" ht="102" x14ac:dyDescent="0.25">
      <c r="A17" s="19">
        <v>12</v>
      </c>
      <c r="B17" s="19"/>
      <c r="C17" s="20" t="s">
        <v>24</v>
      </c>
      <c r="D17" s="20" t="s">
        <v>50</v>
      </c>
      <c r="E17" s="20" t="s">
        <v>179</v>
      </c>
      <c r="F17" s="20" t="s">
        <v>250</v>
      </c>
      <c r="G17" s="20"/>
      <c r="H17" s="20"/>
      <c r="I17" s="20" t="s">
        <v>386</v>
      </c>
      <c r="J17" s="20">
        <v>2</v>
      </c>
      <c r="K17" s="20"/>
      <c r="L17" s="20" t="s">
        <v>515</v>
      </c>
      <c r="M17" s="20"/>
      <c r="N17" s="29" t="s">
        <v>612</v>
      </c>
      <c r="O17" s="30"/>
      <c r="P17" s="30"/>
      <c r="Q17" s="30">
        <v>10</v>
      </c>
    </row>
    <row r="18" spans="1:18" ht="38.25" x14ac:dyDescent="0.25">
      <c r="A18" s="19">
        <v>13</v>
      </c>
      <c r="B18" s="19"/>
      <c r="C18" s="20" t="s">
        <v>24</v>
      </c>
      <c r="D18" s="20" t="s">
        <v>51</v>
      </c>
      <c r="E18" s="20" t="s">
        <v>178</v>
      </c>
      <c r="F18" s="20" t="s">
        <v>251</v>
      </c>
      <c r="G18" s="20"/>
      <c r="H18" s="20"/>
      <c r="I18" s="20" t="s">
        <v>387</v>
      </c>
      <c r="J18" s="20">
        <v>1</v>
      </c>
      <c r="K18" s="20"/>
      <c r="L18" s="20" t="s">
        <v>515</v>
      </c>
      <c r="M18" s="20"/>
      <c r="N18" s="29" t="s">
        <v>612</v>
      </c>
      <c r="O18" s="30"/>
      <c r="P18" s="30"/>
      <c r="Q18" s="30">
        <v>5</v>
      </c>
    </row>
    <row r="19" spans="1:18" ht="63.75" x14ac:dyDescent="0.25">
      <c r="A19" s="19">
        <v>14</v>
      </c>
      <c r="B19" s="19"/>
      <c r="C19" s="20" t="s">
        <v>24</v>
      </c>
      <c r="D19" s="20" t="s">
        <v>52</v>
      </c>
      <c r="E19" s="20" t="s">
        <v>182</v>
      </c>
      <c r="F19" s="20" t="s">
        <v>252</v>
      </c>
      <c r="G19" s="20"/>
      <c r="H19" s="20"/>
      <c r="I19" s="20" t="s">
        <v>388</v>
      </c>
      <c r="J19" s="20">
        <v>1</v>
      </c>
      <c r="K19" s="20"/>
      <c r="L19" s="20" t="s">
        <v>515</v>
      </c>
      <c r="M19" s="20"/>
      <c r="N19" s="29" t="s">
        <v>612</v>
      </c>
      <c r="O19" s="30"/>
      <c r="P19" s="30"/>
      <c r="Q19" s="30">
        <v>5</v>
      </c>
    </row>
    <row r="20" spans="1:18" ht="63.75" x14ac:dyDescent="0.25">
      <c r="A20" s="19">
        <v>15</v>
      </c>
      <c r="B20" s="19"/>
      <c r="C20" s="20" t="s">
        <v>24</v>
      </c>
      <c r="D20" s="20" t="s">
        <v>53</v>
      </c>
      <c r="E20" s="20" t="s">
        <v>178</v>
      </c>
      <c r="F20" s="20" t="s">
        <v>253</v>
      </c>
      <c r="G20" s="20"/>
      <c r="H20" s="20"/>
      <c r="I20" s="20" t="s">
        <v>389</v>
      </c>
      <c r="J20" s="20">
        <v>1</v>
      </c>
      <c r="K20" s="20"/>
      <c r="L20" s="20" t="s">
        <v>515</v>
      </c>
      <c r="M20" s="20"/>
      <c r="N20" s="29" t="s">
        <v>612</v>
      </c>
      <c r="O20" s="30"/>
      <c r="P20" s="30"/>
      <c r="Q20" s="30">
        <v>5</v>
      </c>
    </row>
    <row r="21" spans="1:18" ht="51" x14ac:dyDescent="0.25">
      <c r="A21" s="19">
        <v>16</v>
      </c>
      <c r="B21" s="19"/>
      <c r="C21" s="20" t="s">
        <v>24</v>
      </c>
      <c r="D21" s="20" t="s">
        <v>54</v>
      </c>
      <c r="E21" s="20" t="s">
        <v>178</v>
      </c>
      <c r="F21" s="20" t="s">
        <v>254</v>
      </c>
      <c r="G21" s="20"/>
      <c r="H21" s="20"/>
      <c r="I21" s="20" t="s">
        <v>390</v>
      </c>
      <c r="J21" s="20">
        <v>1</v>
      </c>
      <c r="K21" s="20"/>
      <c r="L21" s="20" t="s">
        <v>515</v>
      </c>
      <c r="M21" s="20"/>
      <c r="N21" s="29" t="s">
        <v>612</v>
      </c>
      <c r="O21" s="30"/>
      <c r="P21" s="30"/>
      <c r="Q21" s="30">
        <v>5</v>
      </c>
    </row>
    <row r="22" spans="1:18" ht="63.75" x14ac:dyDescent="0.25">
      <c r="A22" s="19">
        <v>17</v>
      </c>
      <c r="B22" s="19"/>
      <c r="C22" s="20" t="s">
        <v>24</v>
      </c>
      <c r="D22" s="20" t="s">
        <v>55</v>
      </c>
      <c r="E22" s="20" t="s">
        <v>178</v>
      </c>
      <c r="F22" s="20" t="s">
        <v>255</v>
      </c>
      <c r="G22" s="20"/>
      <c r="H22" s="20"/>
      <c r="I22" s="20" t="s">
        <v>391</v>
      </c>
      <c r="J22" s="20">
        <v>1</v>
      </c>
      <c r="K22" s="20"/>
      <c r="L22" s="20" t="s">
        <v>515</v>
      </c>
      <c r="M22" s="20"/>
      <c r="N22" s="29" t="s">
        <v>612</v>
      </c>
      <c r="O22" s="30"/>
      <c r="P22" s="30"/>
      <c r="Q22" s="30">
        <v>5</v>
      </c>
    </row>
    <row r="23" spans="1:18" ht="63.75" x14ac:dyDescent="0.25">
      <c r="A23" s="19">
        <v>18</v>
      </c>
      <c r="B23" s="19"/>
      <c r="C23" s="20" t="s">
        <v>24</v>
      </c>
      <c r="D23" s="20" t="s">
        <v>56</v>
      </c>
      <c r="E23" s="20" t="s">
        <v>178</v>
      </c>
      <c r="F23" s="20" t="s">
        <v>256</v>
      </c>
      <c r="G23" s="20"/>
      <c r="H23" s="20"/>
      <c r="I23" s="20" t="s">
        <v>392</v>
      </c>
      <c r="J23" s="20">
        <v>1</v>
      </c>
      <c r="K23" s="20"/>
      <c r="L23" s="20" t="s">
        <v>515</v>
      </c>
      <c r="M23" s="20"/>
      <c r="N23" s="29" t="s">
        <v>612</v>
      </c>
      <c r="O23" s="30"/>
      <c r="P23" s="30"/>
      <c r="Q23" s="30">
        <v>5</v>
      </c>
    </row>
    <row r="24" spans="1:18" ht="63.75" x14ac:dyDescent="0.25">
      <c r="A24" s="19">
        <v>19</v>
      </c>
      <c r="B24" s="19"/>
      <c r="C24" s="20" t="s">
        <v>24</v>
      </c>
      <c r="D24" s="20" t="s">
        <v>57</v>
      </c>
      <c r="E24" s="20" t="s">
        <v>178</v>
      </c>
      <c r="F24" s="20" t="s">
        <v>257</v>
      </c>
      <c r="G24" s="20"/>
      <c r="H24" s="20"/>
      <c r="I24" s="20" t="s">
        <v>393</v>
      </c>
      <c r="J24" s="20">
        <v>11</v>
      </c>
      <c r="K24" s="20"/>
      <c r="L24" s="20" t="s">
        <v>515</v>
      </c>
      <c r="M24" s="20"/>
      <c r="N24" s="29" t="s">
        <v>612</v>
      </c>
      <c r="O24" s="30"/>
      <c r="P24" s="30"/>
      <c r="Q24" s="30">
        <v>55</v>
      </c>
    </row>
    <row r="25" spans="1:18" ht="25.5" x14ac:dyDescent="0.25">
      <c r="A25" s="19">
        <v>20</v>
      </c>
      <c r="B25" s="19"/>
      <c r="C25" s="20" t="s">
        <v>24</v>
      </c>
      <c r="D25" s="20" t="s">
        <v>58</v>
      </c>
      <c r="E25" s="20" t="s">
        <v>177</v>
      </c>
      <c r="F25" s="20" t="s">
        <v>258</v>
      </c>
      <c r="G25" s="20"/>
      <c r="H25" s="20"/>
      <c r="I25" s="38" t="s">
        <v>394</v>
      </c>
      <c r="J25" s="20">
        <v>1</v>
      </c>
      <c r="K25" s="20"/>
      <c r="L25" s="20" t="s">
        <v>515</v>
      </c>
      <c r="M25" s="20"/>
      <c r="N25" s="34"/>
      <c r="O25" s="33" t="s">
        <v>613</v>
      </c>
      <c r="P25" s="34"/>
      <c r="Q25" s="34"/>
    </row>
    <row r="26" spans="1:18" ht="153" x14ac:dyDescent="0.25">
      <c r="A26" s="19">
        <v>21</v>
      </c>
      <c r="B26" s="19"/>
      <c r="C26" s="20" t="s">
        <v>24</v>
      </c>
      <c r="D26" s="20" t="s">
        <v>59</v>
      </c>
      <c r="E26" s="20" t="s">
        <v>177</v>
      </c>
      <c r="F26" s="20" t="s">
        <v>259</v>
      </c>
      <c r="G26" s="20"/>
      <c r="H26" s="20"/>
      <c r="I26" s="20" t="s">
        <v>395</v>
      </c>
      <c r="J26" s="20">
        <v>28</v>
      </c>
      <c r="K26" s="20"/>
      <c r="L26" s="20" t="s">
        <v>515</v>
      </c>
      <c r="M26" s="20"/>
      <c r="N26" s="29" t="s">
        <v>612</v>
      </c>
      <c r="O26" s="30"/>
      <c r="P26" s="30"/>
      <c r="Q26" s="30">
        <v>140</v>
      </c>
      <c r="R26" s="1" t="s">
        <v>617</v>
      </c>
    </row>
    <row r="27" spans="1:18" ht="63.75" x14ac:dyDescent="0.25">
      <c r="A27" s="19">
        <v>22</v>
      </c>
      <c r="B27" s="19"/>
      <c r="C27" s="20" t="s">
        <v>24</v>
      </c>
      <c r="D27" s="20" t="s">
        <v>60</v>
      </c>
      <c r="E27" s="20" t="s">
        <v>183</v>
      </c>
      <c r="F27" s="20" t="s">
        <v>260</v>
      </c>
      <c r="G27" s="20"/>
      <c r="H27" s="20"/>
      <c r="I27" s="20" t="s">
        <v>396</v>
      </c>
      <c r="J27" s="20">
        <v>3</v>
      </c>
      <c r="K27" s="20"/>
      <c r="L27" s="20" t="s">
        <v>515</v>
      </c>
      <c r="M27" s="20"/>
      <c r="N27" s="29" t="s">
        <v>612</v>
      </c>
      <c r="O27" s="30"/>
      <c r="P27" s="30"/>
      <c r="Q27" s="30">
        <v>15</v>
      </c>
    </row>
    <row r="28" spans="1:18" ht="63.75" x14ac:dyDescent="0.25">
      <c r="A28" s="19">
        <v>23</v>
      </c>
      <c r="B28" s="19"/>
      <c r="C28" s="20" t="s">
        <v>24</v>
      </c>
      <c r="D28" s="20" t="s">
        <v>61</v>
      </c>
      <c r="E28" s="20" t="s">
        <v>184</v>
      </c>
      <c r="F28" s="20" t="s">
        <v>261</v>
      </c>
      <c r="G28" s="20"/>
      <c r="H28" s="20"/>
      <c r="I28" s="20" t="s">
        <v>397</v>
      </c>
      <c r="J28" s="20">
        <v>8</v>
      </c>
      <c r="K28" s="20"/>
      <c r="L28" s="20" t="s">
        <v>515</v>
      </c>
      <c r="M28" s="20"/>
      <c r="N28" s="29" t="s">
        <v>612</v>
      </c>
      <c r="O28" s="30"/>
      <c r="P28" s="30"/>
      <c r="Q28" s="30">
        <v>40</v>
      </c>
    </row>
    <row r="29" spans="1:18" ht="38.25" x14ac:dyDescent="0.25">
      <c r="A29" s="19">
        <v>24</v>
      </c>
      <c r="B29" s="19"/>
      <c r="C29" s="20" t="s">
        <v>24</v>
      </c>
      <c r="D29" s="20" t="s">
        <v>62</v>
      </c>
      <c r="E29" s="20" t="s">
        <v>184</v>
      </c>
      <c r="F29" s="20" t="s">
        <v>262</v>
      </c>
      <c r="G29" s="20"/>
      <c r="H29" s="20"/>
      <c r="I29" s="20" t="s">
        <v>398</v>
      </c>
      <c r="J29" s="20">
        <v>1</v>
      </c>
      <c r="K29" s="20"/>
      <c r="L29" s="20" t="s">
        <v>515</v>
      </c>
      <c r="M29" s="20"/>
      <c r="N29" s="29" t="s">
        <v>612</v>
      </c>
      <c r="O29" s="30"/>
      <c r="P29" s="30"/>
      <c r="Q29" s="30">
        <v>5</v>
      </c>
    </row>
    <row r="30" spans="1:18" ht="25.5" x14ac:dyDescent="0.25">
      <c r="A30" s="19">
        <v>25</v>
      </c>
      <c r="B30" s="19"/>
      <c r="C30" s="20" t="s">
        <v>24</v>
      </c>
      <c r="D30" s="20" t="s">
        <v>63</v>
      </c>
      <c r="E30" s="20" t="s">
        <v>177</v>
      </c>
      <c r="F30" s="20" t="s">
        <v>263</v>
      </c>
      <c r="G30" s="20"/>
      <c r="H30" s="20"/>
      <c r="I30" s="20" t="s">
        <v>399</v>
      </c>
      <c r="J30" s="20">
        <v>1</v>
      </c>
      <c r="K30" s="20"/>
      <c r="L30" s="20" t="s">
        <v>515</v>
      </c>
      <c r="M30" s="20"/>
      <c r="N30" s="29" t="s">
        <v>612</v>
      </c>
      <c r="O30" s="30"/>
      <c r="P30" s="30"/>
      <c r="Q30" s="30">
        <v>5</v>
      </c>
      <c r="R30" s="1" t="s">
        <v>618</v>
      </c>
    </row>
    <row r="31" spans="1:18" ht="63.75" x14ac:dyDescent="0.25">
      <c r="A31" s="19">
        <v>26</v>
      </c>
      <c r="B31" s="19"/>
      <c r="C31" s="20" t="s">
        <v>24</v>
      </c>
      <c r="D31" s="20" t="s">
        <v>64</v>
      </c>
      <c r="E31" s="20" t="s">
        <v>178</v>
      </c>
      <c r="F31" s="20" t="s">
        <v>264</v>
      </c>
      <c r="G31" s="20"/>
      <c r="H31" s="20"/>
      <c r="I31" s="20" t="s">
        <v>400</v>
      </c>
      <c r="J31" s="20">
        <v>2</v>
      </c>
      <c r="K31" s="20"/>
      <c r="L31" s="20" t="s">
        <v>515</v>
      </c>
      <c r="M31" s="20"/>
      <c r="N31" s="29" t="s">
        <v>612</v>
      </c>
      <c r="O31" s="30"/>
      <c r="P31" s="30"/>
      <c r="Q31" s="30">
        <v>10</v>
      </c>
    </row>
    <row r="32" spans="1:18" ht="38.25" x14ac:dyDescent="0.25">
      <c r="A32" s="19">
        <v>27</v>
      </c>
      <c r="B32" s="19"/>
      <c r="C32" s="20" t="s">
        <v>24</v>
      </c>
      <c r="D32" s="20" t="s">
        <v>65</v>
      </c>
      <c r="E32" s="20" t="s">
        <v>182</v>
      </c>
      <c r="F32" s="20" t="s">
        <v>265</v>
      </c>
      <c r="G32" s="20"/>
      <c r="H32" s="20"/>
      <c r="I32" s="38" t="s">
        <v>401</v>
      </c>
      <c r="J32" s="20">
        <v>2</v>
      </c>
      <c r="K32" s="20"/>
      <c r="L32" s="20" t="s">
        <v>515</v>
      </c>
      <c r="M32" s="20"/>
      <c r="N32" s="34"/>
      <c r="O32" s="33" t="s">
        <v>613</v>
      </c>
      <c r="P32" s="34"/>
      <c r="Q32" s="34"/>
    </row>
    <row r="33" spans="1:21" ht="63.75" x14ac:dyDescent="0.25">
      <c r="A33" s="19">
        <v>28</v>
      </c>
      <c r="B33" s="19"/>
      <c r="C33" s="20" t="s">
        <v>24</v>
      </c>
      <c r="D33" s="20" t="s">
        <v>66</v>
      </c>
      <c r="E33" s="20" t="s">
        <v>185</v>
      </c>
      <c r="F33" s="20" t="s">
        <v>266</v>
      </c>
      <c r="G33" s="20"/>
      <c r="H33" s="20"/>
      <c r="I33" s="20" t="s">
        <v>402</v>
      </c>
      <c r="J33" s="20">
        <v>1</v>
      </c>
      <c r="K33" s="20"/>
      <c r="L33" s="20" t="s">
        <v>515</v>
      </c>
      <c r="M33" s="20"/>
      <c r="N33" s="29" t="s">
        <v>612</v>
      </c>
      <c r="O33" s="30"/>
      <c r="P33" s="30"/>
      <c r="Q33" s="30">
        <v>5</v>
      </c>
    </row>
    <row r="34" spans="1:21" ht="63.75" x14ac:dyDescent="0.25">
      <c r="A34" s="19">
        <v>29</v>
      </c>
      <c r="B34" s="19"/>
      <c r="C34" s="20" t="s">
        <v>24</v>
      </c>
      <c r="D34" s="20" t="s">
        <v>67</v>
      </c>
      <c r="E34" s="20" t="s">
        <v>186</v>
      </c>
      <c r="F34" s="20" t="s">
        <v>267</v>
      </c>
      <c r="G34" s="20"/>
      <c r="H34" s="20"/>
      <c r="I34" s="20" t="s">
        <v>403</v>
      </c>
      <c r="J34" s="20">
        <v>1</v>
      </c>
      <c r="K34" s="20"/>
      <c r="L34" s="20" t="s">
        <v>515</v>
      </c>
      <c r="M34" s="20"/>
      <c r="N34" s="29" t="s">
        <v>612</v>
      </c>
      <c r="O34" s="30"/>
      <c r="P34" s="30"/>
      <c r="Q34" s="30">
        <v>5</v>
      </c>
    </row>
    <row r="35" spans="1:21" ht="63.75" x14ac:dyDescent="0.25">
      <c r="A35" s="19">
        <v>30</v>
      </c>
      <c r="B35" s="19"/>
      <c r="C35" s="20" t="s">
        <v>24</v>
      </c>
      <c r="D35" s="20" t="s">
        <v>68</v>
      </c>
      <c r="E35" s="20" t="s">
        <v>187</v>
      </c>
      <c r="F35" s="20" t="s">
        <v>268</v>
      </c>
      <c r="G35" s="20"/>
      <c r="H35" s="20"/>
      <c r="I35" s="20" t="s">
        <v>404</v>
      </c>
      <c r="J35" s="20">
        <v>1</v>
      </c>
      <c r="K35" s="20"/>
      <c r="L35" s="20" t="s">
        <v>515</v>
      </c>
      <c r="M35" s="20"/>
      <c r="N35" s="29" t="s">
        <v>612</v>
      </c>
      <c r="O35" s="30"/>
      <c r="P35" s="30"/>
      <c r="Q35" s="30">
        <v>5</v>
      </c>
    </row>
    <row r="36" spans="1:21" ht="63.75" x14ac:dyDescent="0.25">
      <c r="A36" s="19">
        <v>31</v>
      </c>
      <c r="B36" s="19"/>
      <c r="C36" s="20" t="s">
        <v>24</v>
      </c>
      <c r="D36" s="20" t="s">
        <v>69</v>
      </c>
      <c r="E36" s="20" t="s">
        <v>184</v>
      </c>
      <c r="F36" s="20" t="s">
        <v>269</v>
      </c>
      <c r="G36" s="20"/>
      <c r="H36" s="20"/>
      <c r="I36" s="20" t="s">
        <v>405</v>
      </c>
      <c r="J36" s="20">
        <v>2</v>
      </c>
      <c r="K36" s="20"/>
      <c r="L36" s="20" t="s">
        <v>515</v>
      </c>
      <c r="M36" s="20"/>
      <c r="N36" s="29" t="s">
        <v>612</v>
      </c>
      <c r="O36" s="30"/>
      <c r="P36" s="30"/>
      <c r="Q36" s="30">
        <v>10</v>
      </c>
    </row>
    <row r="37" spans="1:21" ht="63.75" x14ac:dyDescent="0.25">
      <c r="A37" s="19">
        <v>32</v>
      </c>
      <c r="B37" s="19"/>
      <c r="C37" s="20" t="s">
        <v>24</v>
      </c>
      <c r="D37" s="20" t="s">
        <v>70</v>
      </c>
      <c r="E37" s="20" t="s">
        <v>188</v>
      </c>
      <c r="F37" s="20" t="s">
        <v>270</v>
      </c>
      <c r="G37" s="20"/>
      <c r="H37" s="20"/>
      <c r="I37" s="20" t="s">
        <v>406</v>
      </c>
      <c r="J37" s="20">
        <v>2</v>
      </c>
      <c r="K37" s="20"/>
      <c r="L37" s="20" t="s">
        <v>515</v>
      </c>
      <c r="M37" s="20"/>
      <c r="N37" s="29" t="s">
        <v>612</v>
      </c>
      <c r="O37" s="30"/>
      <c r="P37" s="30"/>
      <c r="Q37" s="30">
        <v>10</v>
      </c>
    </row>
    <row r="38" spans="1:21" ht="89.25" x14ac:dyDescent="0.25">
      <c r="A38" s="19">
        <v>33</v>
      </c>
      <c r="B38" s="19"/>
      <c r="C38" s="20" t="s">
        <v>25</v>
      </c>
      <c r="D38" s="20" t="s">
        <v>71</v>
      </c>
      <c r="E38" s="20" t="s">
        <v>189</v>
      </c>
      <c r="F38" s="20" t="s">
        <v>271</v>
      </c>
      <c r="G38" s="20"/>
      <c r="H38" s="20"/>
      <c r="I38" s="20" t="s">
        <v>407</v>
      </c>
      <c r="J38" s="20">
        <v>1</v>
      </c>
      <c r="K38" s="20"/>
      <c r="L38" s="20" t="s">
        <v>515</v>
      </c>
      <c r="M38" s="20"/>
      <c r="N38" s="29" t="s">
        <v>612</v>
      </c>
      <c r="O38" s="30"/>
      <c r="P38" s="30"/>
      <c r="Q38" s="30">
        <v>5</v>
      </c>
      <c r="R38" s="1" t="s">
        <v>620</v>
      </c>
    </row>
    <row r="39" spans="1:21" ht="25.5" x14ac:dyDescent="0.25">
      <c r="A39" s="19">
        <v>34</v>
      </c>
      <c r="B39" s="19"/>
      <c r="C39" s="20" t="s">
        <v>25</v>
      </c>
      <c r="D39" s="20" t="s">
        <v>72</v>
      </c>
      <c r="E39" s="20" t="s">
        <v>190</v>
      </c>
      <c r="F39" s="20" t="s">
        <v>272</v>
      </c>
      <c r="G39" s="20"/>
      <c r="H39" s="20"/>
      <c r="I39" s="20" t="s">
        <v>408</v>
      </c>
      <c r="J39" s="20">
        <v>1</v>
      </c>
      <c r="K39" s="20"/>
      <c r="L39" s="20" t="s">
        <v>515</v>
      </c>
      <c r="M39" s="20"/>
      <c r="N39" s="29" t="s">
        <v>612</v>
      </c>
      <c r="O39" s="30"/>
      <c r="P39" s="30"/>
      <c r="Q39" s="30" t="s">
        <v>615</v>
      </c>
    </row>
    <row r="40" spans="1:21" ht="76.5" x14ac:dyDescent="0.25">
      <c r="A40" s="19">
        <v>35</v>
      </c>
      <c r="B40" s="19"/>
      <c r="C40" s="20" t="s">
        <v>25</v>
      </c>
      <c r="D40" s="20" t="s">
        <v>73</v>
      </c>
      <c r="E40" s="20" t="s">
        <v>191</v>
      </c>
      <c r="F40" s="20" t="s">
        <v>273</v>
      </c>
      <c r="G40" s="20"/>
      <c r="H40" s="20"/>
      <c r="I40" s="20" t="s">
        <v>409</v>
      </c>
      <c r="J40" s="20">
        <v>3</v>
      </c>
      <c r="K40" s="20"/>
      <c r="L40" s="20" t="s">
        <v>515</v>
      </c>
      <c r="M40" s="20"/>
      <c r="N40" s="29" t="s">
        <v>612</v>
      </c>
      <c r="O40" s="30"/>
      <c r="P40" s="30"/>
      <c r="Q40" s="30">
        <v>15</v>
      </c>
    </row>
    <row r="41" spans="1:21" ht="76.5" x14ac:dyDescent="0.25">
      <c r="A41" s="19">
        <v>36</v>
      </c>
      <c r="B41" s="19"/>
      <c r="C41" s="20" t="s">
        <v>25</v>
      </c>
      <c r="D41" s="20" t="s">
        <v>74</v>
      </c>
      <c r="E41" s="20" t="s">
        <v>192</v>
      </c>
      <c r="F41" s="20" t="s">
        <v>274</v>
      </c>
      <c r="G41" s="20"/>
      <c r="H41" s="20"/>
      <c r="I41" s="20" t="s">
        <v>410</v>
      </c>
      <c r="J41" s="20">
        <v>1</v>
      </c>
      <c r="K41" s="20"/>
      <c r="L41" s="20" t="s">
        <v>515</v>
      </c>
      <c r="M41" s="20"/>
      <c r="N41" s="29" t="s">
        <v>612</v>
      </c>
      <c r="O41" s="30"/>
      <c r="P41" s="30"/>
      <c r="Q41" s="30">
        <v>5</v>
      </c>
    </row>
    <row r="42" spans="1:21" ht="38.25" x14ac:dyDescent="0.25">
      <c r="A42" s="19">
        <v>37</v>
      </c>
      <c r="B42" s="19"/>
      <c r="C42" s="20" t="s">
        <v>25</v>
      </c>
      <c r="D42" s="20" t="s">
        <v>75</v>
      </c>
      <c r="E42" s="20"/>
      <c r="F42" s="20" t="s">
        <v>275</v>
      </c>
      <c r="G42" s="20"/>
      <c r="H42" s="20"/>
      <c r="I42" s="20" t="s">
        <v>411</v>
      </c>
      <c r="J42" s="20">
        <v>1</v>
      </c>
      <c r="K42" s="20"/>
      <c r="L42" s="20" t="s">
        <v>515</v>
      </c>
      <c r="M42" s="20"/>
      <c r="N42" s="29" t="s">
        <v>612</v>
      </c>
      <c r="O42" s="30"/>
      <c r="P42" s="30"/>
      <c r="Q42" s="30">
        <v>5</v>
      </c>
    </row>
    <row r="43" spans="1:21" ht="38.25" x14ac:dyDescent="0.25">
      <c r="A43" s="19">
        <v>38</v>
      </c>
      <c r="B43" s="19"/>
      <c r="C43" s="20" t="s">
        <v>26</v>
      </c>
      <c r="D43" s="20" t="s">
        <v>76</v>
      </c>
      <c r="E43" s="20" t="s">
        <v>193</v>
      </c>
      <c r="F43" s="20" t="s">
        <v>276</v>
      </c>
      <c r="G43" s="20"/>
      <c r="H43" s="20"/>
      <c r="I43" s="20" t="s">
        <v>412</v>
      </c>
      <c r="J43" s="20">
        <v>1</v>
      </c>
      <c r="K43" s="20"/>
      <c r="L43" s="20" t="s">
        <v>515</v>
      </c>
      <c r="M43" s="20"/>
      <c r="N43" s="29" t="s">
        <v>612</v>
      </c>
      <c r="O43" s="30"/>
      <c r="P43" s="30"/>
      <c r="Q43" s="30">
        <v>5</v>
      </c>
      <c r="R43" s="1" t="s">
        <v>621</v>
      </c>
      <c r="U43" s="1" t="s">
        <v>620</v>
      </c>
    </row>
    <row r="44" spans="1:21" ht="38.25" x14ac:dyDescent="0.25">
      <c r="A44" s="19">
        <v>39</v>
      </c>
      <c r="B44" s="19"/>
      <c r="C44" s="20" t="s">
        <v>26</v>
      </c>
      <c r="D44" s="20" t="s">
        <v>77</v>
      </c>
      <c r="E44" s="20" t="s">
        <v>194</v>
      </c>
      <c r="F44" s="20" t="s">
        <v>277</v>
      </c>
      <c r="G44" s="20"/>
      <c r="H44" s="20"/>
      <c r="I44" s="20" t="s">
        <v>413</v>
      </c>
      <c r="J44" s="20">
        <v>1</v>
      </c>
      <c r="K44" s="20"/>
      <c r="L44" s="20" t="s">
        <v>515</v>
      </c>
      <c r="M44" s="20"/>
      <c r="N44" s="29" t="s">
        <v>612</v>
      </c>
      <c r="O44" s="30"/>
      <c r="P44" s="30"/>
      <c r="Q44" s="30">
        <v>5</v>
      </c>
    </row>
    <row r="45" spans="1:21" ht="38.25" x14ac:dyDescent="0.25">
      <c r="A45" s="19">
        <v>40</v>
      </c>
      <c r="B45" s="19"/>
      <c r="C45" s="20" t="s">
        <v>26</v>
      </c>
      <c r="D45" s="20" t="s">
        <v>78</v>
      </c>
      <c r="E45" s="20" t="s">
        <v>195</v>
      </c>
      <c r="F45" s="20" t="s">
        <v>278</v>
      </c>
      <c r="G45" s="20"/>
      <c r="H45" s="20"/>
      <c r="I45" s="20" t="s">
        <v>414</v>
      </c>
      <c r="J45" s="20">
        <v>1</v>
      </c>
      <c r="K45" s="20"/>
      <c r="L45" s="20" t="s">
        <v>515</v>
      </c>
      <c r="M45" s="20"/>
      <c r="N45" s="29" t="s">
        <v>612</v>
      </c>
      <c r="O45" s="30"/>
      <c r="P45" s="30"/>
      <c r="Q45" s="30">
        <v>5</v>
      </c>
    </row>
    <row r="46" spans="1:21" ht="51" x14ac:dyDescent="0.25">
      <c r="A46" s="19">
        <v>41</v>
      </c>
      <c r="B46" s="19"/>
      <c r="C46" s="20" t="s">
        <v>27</v>
      </c>
      <c r="D46" s="20" t="s">
        <v>79</v>
      </c>
      <c r="E46" s="20" t="s">
        <v>196</v>
      </c>
      <c r="F46" s="20" t="s">
        <v>279</v>
      </c>
      <c r="G46" s="20"/>
      <c r="H46" s="20"/>
      <c r="I46" s="20" t="s">
        <v>415</v>
      </c>
      <c r="J46" s="20">
        <v>11</v>
      </c>
      <c r="K46" s="20"/>
      <c r="L46" s="20" t="s">
        <v>515</v>
      </c>
      <c r="M46" s="20"/>
      <c r="N46" s="29" t="s">
        <v>612</v>
      </c>
      <c r="O46" s="30"/>
      <c r="P46" s="30"/>
      <c r="Q46" s="30">
        <v>55</v>
      </c>
    </row>
    <row r="47" spans="1:21" ht="25.5" x14ac:dyDescent="0.25">
      <c r="A47" s="19">
        <v>42</v>
      </c>
      <c r="B47" s="19"/>
      <c r="C47" s="20" t="s">
        <v>27</v>
      </c>
      <c r="D47" s="20" t="s">
        <v>80</v>
      </c>
      <c r="E47" s="20" t="s">
        <v>197</v>
      </c>
      <c r="F47" s="20" t="s">
        <v>280</v>
      </c>
      <c r="G47" s="20"/>
      <c r="H47" s="20"/>
      <c r="I47" s="20" t="s">
        <v>416</v>
      </c>
      <c r="J47" s="20">
        <v>6</v>
      </c>
      <c r="K47" s="20"/>
      <c r="L47" s="20" t="s">
        <v>515</v>
      </c>
      <c r="M47" s="20"/>
      <c r="N47" s="29" t="s">
        <v>612</v>
      </c>
      <c r="O47" s="30"/>
      <c r="P47" s="30"/>
      <c r="Q47" s="30">
        <v>30</v>
      </c>
    </row>
    <row r="48" spans="1:21" ht="63.75" x14ac:dyDescent="0.25">
      <c r="A48" s="19">
        <v>43</v>
      </c>
      <c r="B48" s="19"/>
      <c r="C48" s="20" t="s">
        <v>27</v>
      </c>
      <c r="D48" s="20" t="s">
        <v>81</v>
      </c>
      <c r="E48" s="20" t="s">
        <v>198</v>
      </c>
      <c r="F48" s="20" t="s">
        <v>281</v>
      </c>
      <c r="G48" s="20"/>
      <c r="H48" s="20"/>
      <c r="I48" s="20" t="s">
        <v>417</v>
      </c>
      <c r="J48" s="20">
        <v>1</v>
      </c>
      <c r="K48" s="20"/>
      <c r="L48" s="20" t="s">
        <v>515</v>
      </c>
      <c r="M48" s="20"/>
      <c r="N48" s="29" t="s">
        <v>612</v>
      </c>
      <c r="O48" s="30"/>
      <c r="P48" s="30"/>
      <c r="Q48" s="30">
        <v>5</v>
      </c>
    </row>
    <row r="49" spans="1:17" ht="63.75" x14ac:dyDescent="0.25">
      <c r="A49" s="19">
        <v>44</v>
      </c>
      <c r="B49" s="19"/>
      <c r="C49" s="20" t="s">
        <v>27</v>
      </c>
      <c r="D49" s="20" t="s">
        <v>82</v>
      </c>
      <c r="E49" s="20" t="s">
        <v>199</v>
      </c>
      <c r="F49" s="20" t="s">
        <v>282</v>
      </c>
      <c r="G49" s="20"/>
      <c r="H49" s="20"/>
      <c r="I49" s="20" t="s">
        <v>418</v>
      </c>
      <c r="J49" s="20">
        <v>1</v>
      </c>
      <c r="K49" s="20"/>
      <c r="L49" s="20" t="s">
        <v>515</v>
      </c>
      <c r="M49" s="20"/>
      <c r="N49" s="29" t="s">
        <v>612</v>
      </c>
      <c r="O49" s="30"/>
      <c r="P49" s="30"/>
      <c r="Q49" s="30">
        <v>5</v>
      </c>
    </row>
    <row r="50" spans="1:17" ht="51" x14ac:dyDescent="0.25">
      <c r="A50" s="19">
        <v>45</v>
      </c>
      <c r="B50" s="19"/>
      <c r="C50" s="20" t="s">
        <v>27</v>
      </c>
      <c r="D50" s="20" t="s">
        <v>83</v>
      </c>
      <c r="E50" s="20" t="s">
        <v>200</v>
      </c>
      <c r="F50" s="20" t="s">
        <v>283</v>
      </c>
      <c r="G50" s="20"/>
      <c r="H50" s="20"/>
      <c r="I50" s="20" t="s">
        <v>419</v>
      </c>
      <c r="J50" s="20">
        <v>2</v>
      </c>
      <c r="K50" s="20"/>
      <c r="L50" s="20" t="s">
        <v>515</v>
      </c>
      <c r="M50" s="20"/>
      <c r="N50" s="29" t="s">
        <v>612</v>
      </c>
      <c r="O50" s="30"/>
      <c r="P50" s="30"/>
      <c r="Q50" s="30">
        <v>10</v>
      </c>
    </row>
    <row r="51" spans="1:17" ht="76.5" x14ac:dyDescent="0.25">
      <c r="A51" s="19">
        <v>46</v>
      </c>
      <c r="B51" s="19"/>
      <c r="C51" s="20" t="s">
        <v>27</v>
      </c>
      <c r="D51" s="20" t="s">
        <v>84</v>
      </c>
      <c r="E51" s="20" t="s">
        <v>201</v>
      </c>
      <c r="F51" s="20" t="s">
        <v>284</v>
      </c>
      <c r="G51" s="20"/>
      <c r="H51" s="20"/>
      <c r="I51" s="20" t="s">
        <v>420</v>
      </c>
      <c r="J51" s="20">
        <v>17</v>
      </c>
      <c r="K51" s="20"/>
      <c r="L51" s="20" t="s">
        <v>515</v>
      </c>
      <c r="M51" s="20"/>
      <c r="N51" s="29" t="s">
        <v>612</v>
      </c>
      <c r="O51" s="30"/>
      <c r="P51" s="30"/>
      <c r="Q51" s="30">
        <v>85</v>
      </c>
    </row>
    <row r="52" spans="1:17" ht="38.25" x14ac:dyDescent="0.25">
      <c r="A52" s="19">
        <v>47</v>
      </c>
      <c r="B52" s="19"/>
      <c r="C52" s="20" t="s">
        <v>27</v>
      </c>
      <c r="D52" s="20" t="s">
        <v>85</v>
      </c>
      <c r="E52" s="20" t="s">
        <v>202</v>
      </c>
      <c r="F52" s="20" t="s">
        <v>285</v>
      </c>
      <c r="G52" s="20"/>
      <c r="H52" s="20"/>
      <c r="I52" s="20" t="s">
        <v>421</v>
      </c>
      <c r="J52" s="20">
        <v>1</v>
      </c>
      <c r="K52" s="20"/>
      <c r="L52" s="20" t="s">
        <v>515</v>
      </c>
      <c r="M52" s="20"/>
      <c r="N52" s="29" t="s">
        <v>612</v>
      </c>
      <c r="O52" s="30"/>
      <c r="P52" s="30"/>
      <c r="Q52" s="30">
        <v>5</v>
      </c>
    </row>
    <row r="53" spans="1:17" ht="51" x14ac:dyDescent="0.25">
      <c r="A53" s="19">
        <v>48</v>
      </c>
      <c r="B53" s="19"/>
      <c r="C53" s="20" t="s">
        <v>27</v>
      </c>
      <c r="D53" s="20" t="s">
        <v>86</v>
      </c>
      <c r="E53" s="20" t="s">
        <v>203</v>
      </c>
      <c r="F53" s="20" t="s">
        <v>286</v>
      </c>
      <c r="G53" s="20"/>
      <c r="H53" s="20"/>
      <c r="I53" s="20" t="s">
        <v>422</v>
      </c>
      <c r="J53" s="20">
        <v>5</v>
      </c>
      <c r="K53" s="20"/>
      <c r="L53" s="20" t="s">
        <v>515</v>
      </c>
      <c r="M53" s="20"/>
      <c r="N53" s="29" t="s">
        <v>612</v>
      </c>
      <c r="O53" s="30"/>
      <c r="P53" s="30"/>
      <c r="Q53" s="30">
        <v>25</v>
      </c>
    </row>
    <row r="54" spans="1:17" ht="25.5" x14ac:dyDescent="0.25">
      <c r="A54" s="19">
        <v>49</v>
      </c>
      <c r="B54" s="19"/>
      <c r="C54" s="20" t="s">
        <v>27</v>
      </c>
      <c r="D54" s="20" t="s">
        <v>87</v>
      </c>
      <c r="E54" s="20" t="s">
        <v>177</v>
      </c>
      <c r="F54" s="20" t="s">
        <v>287</v>
      </c>
      <c r="G54" s="20"/>
      <c r="H54" s="20"/>
      <c r="I54" s="20" t="s">
        <v>423</v>
      </c>
      <c r="J54" s="20">
        <v>2</v>
      </c>
      <c r="K54" s="20"/>
      <c r="L54" s="20" t="s">
        <v>515</v>
      </c>
      <c r="M54" s="20"/>
      <c r="N54" s="29" t="s">
        <v>612</v>
      </c>
      <c r="O54" s="30"/>
      <c r="P54" s="30"/>
      <c r="Q54" s="30">
        <v>5</v>
      </c>
    </row>
    <row r="55" spans="1:17" ht="63.75" x14ac:dyDescent="0.25">
      <c r="A55" s="19">
        <v>50</v>
      </c>
      <c r="B55" s="19"/>
      <c r="C55" s="20" t="s">
        <v>27</v>
      </c>
      <c r="D55" s="20" t="s">
        <v>88</v>
      </c>
      <c r="E55" s="20" t="s">
        <v>204</v>
      </c>
      <c r="F55" s="20" t="s">
        <v>288</v>
      </c>
      <c r="G55" s="20"/>
      <c r="H55" s="20"/>
      <c r="I55" s="20" t="s">
        <v>424</v>
      </c>
      <c r="J55" s="20">
        <v>1</v>
      </c>
      <c r="K55" s="20"/>
      <c r="L55" s="20" t="s">
        <v>515</v>
      </c>
      <c r="M55" s="20"/>
      <c r="N55" s="29" t="s">
        <v>612</v>
      </c>
      <c r="O55" s="30"/>
      <c r="P55" s="30"/>
      <c r="Q55" s="30">
        <v>5</v>
      </c>
    </row>
    <row r="56" spans="1:17" ht="51" x14ac:dyDescent="0.25">
      <c r="A56" s="19">
        <v>51</v>
      </c>
      <c r="B56" s="19"/>
      <c r="C56" s="20" t="s">
        <v>27</v>
      </c>
      <c r="D56" s="20" t="s">
        <v>89</v>
      </c>
      <c r="E56" s="20" t="s">
        <v>205</v>
      </c>
      <c r="F56" s="20" t="s">
        <v>289</v>
      </c>
      <c r="G56" s="20"/>
      <c r="H56" s="20"/>
      <c r="I56" s="20" t="s">
        <v>425</v>
      </c>
      <c r="J56" s="20">
        <v>1</v>
      </c>
      <c r="K56" s="20"/>
      <c r="L56" s="20" t="s">
        <v>515</v>
      </c>
      <c r="M56" s="20"/>
      <c r="N56" s="29" t="s">
        <v>612</v>
      </c>
      <c r="O56" s="30"/>
      <c r="P56" s="30"/>
      <c r="Q56" s="30">
        <v>5</v>
      </c>
    </row>
    <row r="57" spans="1:17" ht="38.25" x14ac:dyDescent="0.25">
      <c r="A57" s="19">
        <v>52</v>
      </c>
      <c r="B57" s="19"/>
      <c r="C57" s="20" t="s">
        <v>27</v>
      </c>
      <c r="D57" s="20" t="s">
        <v>90</v>
      </c>
      <c r="E57" s="20" t="s">
        <v>206</v>
      </c>
      <c r="F57" s="20" t="s">
        <v>290</v>
      </c>
      <c r="G57" s="20"/>
      <c r="H57" s="20"/>
      <c r="I57" s="20" t="s">
        <v>426</v>
      </c>
      <c r="J57" s="20">
        <v>2</v>
      </c>
      <c r="K57" s="20"/>
      <c r="L57" s="20" t="s">
        <v>515</v>
      </c>
      <c r="M57" s="20"/>
      <c r="N57" s="29" t="s">
        <v>612</v>
      </c>
      <c r="O57" s="30"/>
      <c r="P57" s="30"/>
      <c r="Q57" s="30">
        <v>10</v>
      </c>
    </row>
    <row r="58" spans="1:17" ht="51" x14ac:dyDescent="0.25">
      <c r="A58" s="19">
        <v>53</v>
      </c>
      <c r="B58" s="19"/>
      <c r="C58" s="20" t="s">
        <v>28</v>
      </c>
      <c r="D58" s="20" t="s">
        <v>91</v>
      </c>
      <c r="E58" s="20" t="s">
        <v>207</v>
      </c>
      <c r="F58" s="20" t="s">
        <v>291</v>
      </c>
      <c r="G58" s="20"/>
      <c r="H58" s="20"/>
      <c r="I58" s="20" t="s">
        <v>427</v>
      </c>
      <c r="J58" s="20">
        <v>10</v>
      </c>
      <c r="K58" s="20"/>
      <c r="L58" s="20" t="s">
        <v>515</v>
      </c>
      <c r="M58" s="20"/>
      <c r="N58" s="29" t="s">
        <v>612</v>
      </c>
      <c r="O58" s="30"/>
      <c r="P58" s="30"/>
      <c r="Q58" s="30">
        <v>50</v>
      </c>
    </row>
    <row r="59" spans="1:17" ht="25.5" x14ac:dyDescent="0.25">
      <c r="A59" s="19">
        <v>54</v>
      </c>
      <c r="B59" s="19"/>
      <c r="C59" s="20" t="s">
        <v>28</v>
      </c>
      <c r="D59" s="20" t="s">
        <v>92</v>
      </c>
      <c r="E59" s="20" t="s">
        <v>208</v>
      </c>
      <c r="F59" s="20" t="s">
        <v>292</v>
      </c>
      <c r="G59" s="20"/>
      <c r="H59" s="20"/>
      <c r="I59" s="20" t="s">
        <v>428</v>
      </c>
      <c r="J59" s="20">
        <v>6</v>
      </c>
      <c r="K59" s="20"/>
      <c r="L59" s="20" t="s">
        <v>515</v>
      </c>
      <c r="M59" s="20"/>
      <c r="N59" s="29" t="s">
        <v>612</v>
      </c>
      <c r="O59" s="30"/>
      <c r="P59" s="30"/>
      <c r="Q59" s="30">
        <v>30</v>
      </c>
    </row>
    <row r="60" spans="1:17" ht="51" x14ac:dyDescent="0.25">
      <c r="A60" s="19">
        <v>55</v>
      </c>
      <c r="B60" s="19"/>
      <c r="C60" s="20" t="s">
        <v>28</v>
      </c>
      <c r="D60" s="20" t="s">
        <v>93</v>
      </c>
      <c r="E60" s="20" t="s">
        <v>209</v>
      </c>
      <c r="F60" s="20" t="s">
        <v>293</v>
      </c>
      <c r="G60" s="20"/>
      <c r="H60" s="20"/>
      <c r="I60" s="20" t="s">
        <v>429</v>
      </c>
      <c r="J60" s="20">
        <v>13</v>
      </c>
      <c r="K60" s="20"/>
      <c r="L60" s="20" t="s">
        <v>515</v>
      </c>
      <c r="M60" s="20"/>
      <c r="N60" s="29" t="s">
        <v>612</v>
      </c>
      <c r="O60" s="30"/>
      <c r="P60" s="30"/>
      <c r="Q60" s="30">
        <v>65</v>
      </c>
    </row>
    <row r="61" spans="1:17" ht="51" x14ac:dyDescent="0.25">
      <c r="A61" s="19">
        <v>56</v>
      </c>
      <c r="B61" s="19"/>
      <c r="C61" s="20" t="s">
        <v>28</v>
      </c>
      <c r="D61" s="20" t="s">
        <v>94</v>
      </c>
      <c r="E61" s="20" t="s">
        <v>209</v>
      </c>
      <c r="F61" s="20" t="s">
        <v>294</v>
      </c>
      <c r="G61" s="20"/>
      <c r="H61" s="20"/>
      <c r="I61" s="20" t="s">
        <v>430</v>
      </c>
      <c r="J61" s="20">
        <v>2</v>
      </c>
      <c r="K61" s="20"/>
      <c r="L61" s="20" t="s">
        <v>515</v>
      </c>
      <c r="M61" s="20"/>
      <c r="N61" s="34"/>
      <c r="O61" s="33" t="s">
        <v>613</v>
      </c>
      <c r="P61" s="34"/>
      <c r="Q61" s="34"/>
    </row>
    <row r="62" spans="1:17" ht="89.25" x14ac:dyDescent="0.25">
      <c r="A62" s="19">
        <v>57</v>
      </c>
      <c r="B62" s="19"/>
      <c r="C62" s="20" t="s">
        <v>22</v>
      </c>
      <c r="D62" s="20" t="s">
        <v>95</v>
      </c>
      <c r="E62" s="20" t="s">
        <v>210</v>
      </c>
      <c r="F62" s="20" t="s">
        <v>295</v>
      </c>
      <c r="G62" s="20"/>
      <c r="H62" s="20"/>
      <c r="I62" s="20" t="s">
        <v>431</v>
      </c>
      <c r="J62" s="20">
        <v>1</v>
      </c>
      <c r="K62" s="20"/>
      <c r="L62" s="20" t="s">
        <v>515</v>
      </c>
      <c r="M62" s="20"/>
      <c r="N62" s="29" t="s">
        <v>612</v>
      </c>
      <c r="O62" s="30"/>
      <c r="P62" s="30"/>
      <c r="Q62" s="30">
        <v>5</v>
      </c>
    </row>
    <row r="63" spans="1:17" ht="89.25" x14ac:dyDescent="0.25">
      <c r="A63" s="19">
        <v>58</v>
      </c>
      <c r="B63" s="19"/>
      <c r="C63" s="20" t="s">
        <v>22</v>
      </c>
      <c r="D63" s="20" t="s">
        <v>96</v>
      </c>
      <c r="E63" s="20" t="s">
        <v>211</v>
      </c>
      <c r="F63" s="20" t="s">
        <v>296</v>
      </c>
      <c r="G63" s="20"/>
      <c r="H63" s="20"/>
      <c r="I63" s="20" t="s">
        <v>432</v>
      </c>
      <c r="J63" s="20">
        <v>2</v>
      </c>
      <c r="K63" s="20"/>
      <c r="L63" s="20" t="s">
        <v>515</v>
      </c>
      <c r="M63" s="20"/>
      <c r="N63" s="29" t="s">
        <v>612</v>
      </c>
      <c r="O63" s="30"/>
      <c r="P63" s="30"/>
      <c r="Q63" s="30">
        <v>10</v>
      </c>
    </row>
    <row r="64" spans="1:17" ht="38.25" x14ac:dyDescent="0.25">
      <c r="A64" s="19">
        <v>59</v>
      </c>
      <c r="B64" s="19"/>
      <c r="C64" s="20" t="s">
        <v>22</v>
      </c>
      <c r="D64" s="20" t="s">
        <v>97</v>
      </c>
      <c r="E64" s="20" t="s">
        <v>212</v>
      </c>
      <c r="F64" s="20" t="s">
        <v>297</v>
      </c>
      <c r="G64" s="20"/>
      <c r="H64" s="20"/>
      <c r="I64" s="20" t="s">
        <v>433</v>
      </c>
      <c r="J64" s="20">
        <v>1</v>
      </c>
      <c r="K64" s="20"/>
      <c r="L64" s="20" t="s">
        <v>515</v>
      </c>
      <c r="M64" s="20"/>
      <c r="N64" s="29" t="s">
        <v>612</v>
      </c>
      <c r="O64" s="30"/>
      <c r="P64" s="30"/>
      <c r="Q64" s="30">
        <v>5</v>
      </c>
    </row>
    <row r="65" spans="1:17" ht="25.5" x14ac:dyDescent="0.25">
      <c r="A65" s="19">
        <v>60</v>
      </c>
      <c r="B65" s="19"/>
      <c r="C65" s="20" t="s">
        <v>22</v>
      </c>
      <c r="D65" s="20" t="s">
        <v>98</v>
      </c>
      <c r="E65" s="20" t="s">
        <v>213</v>
      </c>
      <c r="F65" s="20" t="s">
        <v>298</v>
      </c>
      <c r="G65" s="20"/>
      <c r="H65" s="20"/>
      <c r="I65" s="20" t="s">
        <v>434</v>
      </c>
      <c r="J65" s="20">
        <v>1</v>
      </c>
      <c r="K65" s="20"/>
      <c r="L65" s="20" t="s">
        <v>515</v>
      </c>
      <c r="M65" s="20"/>
      <c r="N65" s="29" t="s">
        <v>612</v>
      </c>
      <c r="O65" s="30"/>
      <c r="P65" s="30"/>
      <c r="Q65" s="30">
        <v>5</v>
      </c>
    </row>
    <row r="66" spans="1:17" ht="76.5" x14ac:dyDescent="0.25">
      <c r="A66" s="19">
        <v>61</v>
      </c>
      <c r="B66" s="19"/>
      <c r="C66" s="20" t="s">
        <v>22</v>
      </c>
      <c r="D66" s="20" t="s">
        <v>99</v>
      </c>
      <c r="E66" s="20" t="s">
        <v>210</v>
      </c>
      <c r="F66" s="20" t="s">
        <v>299</v>
      </c>
      <c r="G66" s="20"/>
      <c r="H66" s="20"/>
      <c r="I66" s="20" t="s">
        <v>435</v>
      </c>
      <c r="J66" s="20">
        <v>4</v>
      </c>
      <c r="K66" s="20"/>
      <c r="L66" s="20" t="s">
        <v>515</v>
      </c>
      <c r="M66" s="20"/>
      <c r="N66" s="29" t="s">
        <v>612</v>
      </c>
      <c r="O66" s="30"/>
      <c r="P66" s="30"/>
      <c r="Q66" s="30">
        <v>20</v>
      </c>
    </row>
    <row r="67" spans="1:17" ht="38.25" x14ac:dyDescent="0.25">
      <c r="A67" s="19">
        <v>62</v>
      </c>
      <c r="B67" s="19"/>
      <c r="C67" s="20" t="s">
        <v>22</v>
      </c>
      <c r="D67" s="20" t="s">
        <v>100</v>
      </c>
      <c r="E67" s="20" t="s">
        <v>212</v>
      </c>
      <c r="F67" s="20" t="s">
        <v>300</v>
      </c>
      <c r="G67" s="20"/>
      <c r="H67" s="20"/>
      <c r="I67" s="20" t="s">
        <v>436</v>
      </c>
      <c r="J67" s="20">
        <v>3</v>
      </c>
      <c r="K67" s="20"/>
      <c r="L67" s="20" t="s">
        <v>515</v>
      </c>
      <c r="M67" s="20"/>
      <c r="N67" s="29" t="s">
        <v>612</v>
      </c>
      <c r="O67" s="30"/>
      <c r="P67" s="30"/>
      <c r="Q67" s="30">
        <v>15</v>
      </c>
    </row>
    <row r="68" spans="1:17" ht="25.5" x14ac:dyDescent="0.25">
      <c r="A68" s="19">
        <v>63</v>
      </c>
      <c r="B68" s="19"/>
      <c r="C68" s="20" t="s">
        <v>22</v>
      </c>
      <c r="D68" s="20" t="s">
        <v>101</v>
      </c>
      <c r="E68" s="20" t="s">
        <v>214</v>
      </c>
      <c r="F68" s="20" t="s">
        <v>301</v>
      </c>
      <c r="G68" s="20"/>
      <c r="H68" s="20"/>
      <c r="I68" s="20" t="s">
        <v>437</v>
      </c>
      <c r="J68" s="20">
        <v>2</v>
      </c>
      <c r="K68" s="20"/>
      <c r="L68" s="20" t="s">
        <v>515</v>
      </c>
      <c r="M68" s="20"/>
      <c r="N68" s="29" t="s">
        <v>612</v>
      </c>
      <c r="O68" s="30"/>
      <c r="P68" s="30"/>
      <c r="Q68" s="30">
        <v>10</v>
      </c>
    </row>
    <row r="69" spans="1:17" ht="25.5" x14ac:dyDescent="0.25">
      <c r="A69" s="19">
        <v>64</v>
      </c>
      <c r="B69" s="19"/>
      <c r="C69" s="20" t="s">
        <v>22</v>
      </c>
      <c r="D69" s="20" t="s">
        <v>102</v>
      </c>
      <c r="E69" s="20" t="s">
        <v>215</v>
      </c>
      <c r="F69" s="20" t="s">
        <v>302</v>
      </c>
      <c r="G69" s="20"/>
      <c r="H69" s="20"/>
      <c r="I69" s="20" t="s">
        <v>438</v>
      </c>
      <c r="J69" s="20">
        <v>1</v>
      </c>
      <c r="K69" s="20"/>
      <c r="L69" s="20" t="s">
        <v>515</v>
      </c>
      <c r="M69" s="20"/>
      <c r="N69" s="29" t="s">
        <v>612</v>
      </c>
      <c r="O69" s="30"/>
      <c r="P69" s="30"/>
      <c r="Q69" s="30">
        <v>5</v>
      </c>
    </row>
    <row r="70" spans="1:17" ht="38.25" x14ac:dyDescent="0.25">
      <c r="A70" s="19">
        <v>65</v>
      </c>
      <c r="B70" s="19"/>
      <c r="C70" s="20" t="s">
        <v>22</v>
      </c>
      <c r="D70" s="20" t="s">
        <v>103</v>
      </c>
      <c r="E70" s="20" t="s">
        <v>216</v>
      </c>
      <c r="F70" s="20" t="s">
        <v>303</v>
      </c>
      <c r="G70" s="20"/>
      <c r="H70" s="20"/>
      <c r="I70" s="20" t="s">
        <v>439</v>
      </c>
      <c r="J70" s="20">
        <v>1</v>
      </c>
      <c r="K70" s="20"/>
      <c r="L70" s="20" t="s">
        <v>515</v>
      </c>
      <c r="M70" s="20"/>
      <c r="N70" s="29" t="s">
        <v>612</v>
      </c>
      <c r="O70" s="30"/>
      <c r="P70" s="30"/>
      <c r="Q70" s="30">
        <v>5</v>
      </c>
    </row>
    <row r="71" spans="1:17" ht="38.25" x14ac:dyDescent="0.25">
      <c r="A71" s="19">
        <v>66</v>
      </c>
      <c r="B71" s="19"/>
      <c r="C71" s="20" t="s">
        <v>22</v>
      </c>
      <c r="D71" s="20" t="s">
        <v>104</v>
      </c>
      <c r="E71" s="20" t="s">
        <v>197</v>
      </c>
      <c r="F71" s="20" t="s">
        <v>304</v>
      </c>
      <c r="G71" s="20"/>
      <c r="H71" s="20"/>
      <c r="I71" s="20" t="s">
        <v>440</v>
      </c>
      <c r="J71" s="20">
        <v>1</v>
      </c>
      <c r="K71" s="20"/>
      <c r="L71" s="20" t="s">
        <v>515</v>
      </c>
      <c r="M71" s="20"/>
      <c r="N71" s="29" t="s">
        <v>612</v>
      </c>
      <c r="O71" s="30"/>
      <c r="P71" s="30"/>
      <c r="Q71" s="30">
        <v>5</v>
      </c>
    </row>
    <row r="72" spans="1:17" ht="63.75" x14ac:dyDescent="0.25">
      <c r="A72" s="19">
        <v>67</v>
      </c>
      <c r="B72" s="19"/>
      <c r="C72" s="20" t="s">
        <v>22</v>
      </c>
      <c r="D72" s="20" t="s">
        <v>105</v>
      </c>
      <c r="E72" s="20" t="s">
        <v>217</v>
      </c>
      <c r="F72" s="20" t="s">
        <v>305</v>
      </c>
      <c r="G72" s="20"/>
      <c r="H72" s="20"/>
      <c r="I72" s="20" t="s">
        <v>441</v>
      </c>
      <c r="J72" s="20">
        <v>1</v>
      </c>
      <c r="K72" s="20"/>
      <c r="L72" s="20" t="s">
        <v>515</v>
      </c>
      <c r="M72" s="20"/>
      <c r="N72" s="29" t="s">
        <v>612</v>
      </c>
      <c r="O72" s="30"/>
      <c r="P72" s="30"/>
      <c r="Q72" s="30">
        <v>5</v>
      </c>
    </row>
    <row r="73" spans="1:17" ht="38.25" x14ac:dyDescent="0.25">
      <c r="A73" s="19">
        <v>68</v>
      </c>
      <c r="B73" s="19"/>
      <c r="C73" s="20" t="s">
        <v>22</v>
      </c>
      <c r="D73" s="20" t="s">
        <v>106</v>
      </c>
      <c r="E73" s="20" t="s">
        <v>212</v>
      </c>
      <c r="F73" s="20" t="s">
        <v>306</v>
      </c>
      <c r="G73" s="20"/>
      <c r="H73" s="20"/>
      <c r="I73" s="20" t="s">
        <v>442</v>
      </c>
      <c r="J73" s="20">
        <v>1</v>
      </c>
      <c r="K73" s="20"/>
      <c r="L73" s="20" t="s">
        <v>515</v>
      </c>
      <c r="M73" s="20"/>
      <c r="N73" s="29" t="s">
        <v>612</v>
      </c>
      <c r="O73" s="30"/>
      <c r="P73" s="30"/>
      <c r="Q73" s="30">
        <v>5</v>
      </c>
    </row>
    <row r="74" spans="1:17" ht="51" x14ac:dyDescent="0.25">
      <c r="A74" s="19">
        <v>69</v>
      </c>
      <c r="B74" s="19"/>
      <c r="C74" s="20" t="s">
        <v>29</v>
      </c>
      <c r="D74" s="20" t="s">
        <v>107</v>
      </c>
      <c r="E74" s="20" t="s">
        <v>218</v>
      </c>
      <c r="F74" s="20" t="s">
        <v>307</v>
      </c>
      <c r="G74" s="20"/>
      <c r="H74" s="20"/>
      <c r="I74" s="20" t="s">
        <v>443</v>
      </c>
      <c r="J74" s="20">
        <v>1</v>
      </c>
      <c r="K74" s="20"/>
      <c r="L74" s="20" t="s">
        <v>515</v>
      </c>
      <c r="M74" s="20"/>
      <c r="N74" s="29" t="s">
        <v>612</v>
      </c>
      <c r="O74" s="30"/>
      <c r="P74" s="30"/>
      <c r="Q74" s="30">
        <v>5</v>
      </c>
    </row>
    <row r="75" spans="1:17" ht="63.75" x14ac:dyDescent="0.25">
      <c r="A75" s="19">
        <v>70</v>
      </c>
      <c r="B75" s="19"/>
      <c r="C75" s="20" t="s">
        <v>29</v>
      </c>
      <c r="D75" s="20" t="s">
        <v>108</v>
      </c>
      <c r="E75" s="20" t="s">
        <v>219</v>
      </c>
      <c r="F75" s="20" t="s">
        <v>308</v>
      </c>
      <c r="G75" s="20"/>
      <c r="H75" s="20"/>
      <c r="I75" s="20" t="s">
        <v>444</v>
      </c>
      <c r="J75" s="20">
        <v>1</v>
      </c>
      <c r="K75" s="20"/>
      <c r="L75" s="20" t="s">
        <v>515</v>
      </c>
      <c r="M75" s="20"/>
      <c r="N75" s="29" t="s">
        <v>612</v>
      </c>
      <c r="O75" s="30"/>
      <c r="P75" s="30"/>
      <c r="Q75" s="30">
        <v>5</v>
      </c>
    </row>
    <row r="76" spans="1:17" ht="63.75" x14ac:dyDescent="0.25">
      <c r="A76" s="19">
        <v>71</v>
      </c>
      <c r="B76" s="19"/>
      <c r="C76" s="20" t="s">
        <v>29</v>
      </c>
      <c r="D76" s="20" t="s">
        <v>109</v>
      </c>
      <c r="E76" s="20" t="s">
        <v>220</v>
      </c>
      <c r="F76" s="20" t="s">
        <v>309</v>
      </c>
      <c r="G76" s="20"/>
      <c r="H76" s="20"/>
      <c r="I76" s="20" t="s">
        <v>445</v>
      </c>
      <c r="J76" s="20">
        <v>1</v>
      </c>
      <c r="K76" s="20"/>
      <c r="L76" s="20" t="s">
        <v>515</v>
      </c>
      <c r="M76" s="20"/>
      <c r="N76" s="29" t="s">
        <v>612</v>
      </c>
      <c r="O76" s="30"/>
      <c r="P76" s="30"/>
      <c r="Q76" s="30">
        <v>5</v>
      </c>
    </row>
    <row r="77" spans="1:17" ht="63.75" x14ac:dyDescent="0.25">
      <c r="A77" s="19">
        <v>72</v>
      </c>
      <c r="B77" s="19"/>
      <c r="C77" s="20" t="s">
        <v>29</v>
      </c>
      <c r="D77" s="20" t="s">
        <v>110</v>
      </c>
      <c r="E77" s="20" t="s">
        <v>221</v>
      </c>
      <c r="F77" s="20" t="s">
        <v>310</v>
      </c>
      <c r="G77" s="20"/>
      <c r="H77" s="20"/>
      <c r="I77" s="20" t="s">
        <v>446</v>
      </c>
      <c r="J77" s="20">
        <v>2</v>
      </c>
      <c r="K77" s="20"/>
      <c r="L77" s="20" t="s">
        <v>515</v>
      </c>
      <c r="M77" s="20"/>
      <c r="N77" s="29" t="s">
        <v>612</v>
      </c>
      <c r="O77" s="30"/>
      <c r="P77" s="30"/>
      <c r="Q77" s="30">
        <v>10</v>
      </c>
    </row>
    <row r="78" spans="1:17" ht="51" x14ac:dyDescent="0.25">
      <c r="A78" s="19">
        <v>73</v>
      </c>
      <c r="B78" s="19"/>
      <c r="C78" s="20" t="s">
        <v>29</v>
      </c>
      <c r="D78" s="20" t="s">
        <v>111</v>
      </c>
      <c r="E78" s="20" t="s">
        <v>222</v>
      </c>
      <c r="F78" s="20" t="s">
        <v>311</v>
      </c>
      <c r="G78" s="20"/>
      <c r="H78" s="20"/>
      <c r="I78" s="20" t="s">
        <v>447</v>
      </c>
      <c r="J78" s="20">
        <v>1</v>
      </c>
      <c r="K78" s="20"/>
      <c r="L78" s="20" t="s">
        <v>515</v>
      </c>
      <c r="M78" s="20"/>
      <c r="N78" s="29" t="s">
        <v>612</v>
      </c>
      <c r="O78" s="30"/>
      <c r="P78" s="30"/>
      <c r="Q78" s="30">
        <v>5</v>
      </c>
    </row>
    <row r="79" spans="1:17" ht="51" x14ac:dyDescent="0.25">
      <c r="A79" s="19">
        <v>74</v>
      </c>
      <c r="B79" s="19"/>
      <c r="C79" s="20" t="s">
        <v>29</v>
      </c>
      <c r="D79" s="20" t="s">
        <v>112</v>
      </c>
      <c r="E79" s="20"/>
      <c r="F79" s="20" t="s">
        <v>312</v>
      </c>
      <c r="G79" s="20"/>
      <c r="H79" s="20"/>
      <c r="I79" s="38" t="s">
        <v>448</v>
      </c>
      <c r="J79" s="20">
        <v>1</v>
      </c>
      <c r="K79" s="20"/>
      <c r="L79" s="20" t="s">
        <v>515</v>
      </c>
      <c r="M79" s="20"/>
      <c r="N79" s="34"/>
      <c r="O79" s="33" t="s">
        <v>613</v>
      </c>
      <c r="P79" s="34"/>
      <c r="Q79" s="34"/>
    </row>
    <row r="80" spans="1:17" ht="38.25" x14ac:dyDescent="0.25">
      <c r="A80" s="19">
        <v>75</v>
      </c>
      <c r="B80" s="19"/>
      <c r="C80" s="20" t="s">
        <v>29</v>
      </c>
      <c r="D80" s="20" t="s">
        <v>113</v>
      </c>
      <c r="E80" s="20" t="s">
        <v>209</v>
      </c>
      <c r="F80" s="20" t="s">
        <v>313</v>
      </c>
      <c r="G80" s="20"/>
      <c r="H80" s="20"/>
      <c r="I80" s="20" t="s">
        <v>449</v>
      </c>
      <c r="J80" s="20">
        <v>1</v>
      </c>
      <c r="K80" s="20"/>
      <c r="L80" s="20" t="s">
        <v>515</v>
      </c>
      <c r="M80" s="20"/>
      <c r="N80" s="29" t="s">
        <v>612</v>
      </c>
      <c r="O80" s="30"/>
      <c r="P80" s="30"/>
      <c r="Q80" s="30">
        <v>5</v>
      </c>
    </row>
    <row r="81" spans="1:17" ht="127.5" x14ac:dyDescent="0.25">
      <c r="A81" s="19">
        <v>76</v>
      </c>
      <c r="B81" s="19"/>
      <c r="C81" s="20" t="s">
        <v>30</v>
      </c>
      <c r="D81" s="20" t="s">
        <v>114</v>
      </c>
      <c r="E81" s="20" t="s">
        <v>223</v>
      </c>
      <c r="F81" s="20" t="s">
        <v>314</v>
      </c>
      <c r="G81" s="20"/>
      <c r="H81" s="20"/>
      <c r="I81" s="20" t="s">
        <v>450</v>
      </c>
      <c r="J81" s="20">
        <v>4</v>
      </c>
      <c r="K81" s="20"/>
      <c r="L81" s="20" t="s">
        <v>515</v>
      </c>
      <c r="M81" s="20"/>
      <c r="N81" s="29" t="s">
        <v>612</v>
      </c>
      <c r="O81" s="30"/>
      <c r="P81" s="30"/>
      <c r="Q81" s="30">
        <v>20</v>
      </c>
    </row>
    <row r="82" spans="1:17" ht="127.5" x14ac:dyDescent="0.25">
      <c r="A82" s="19">
        <v>77</v>
      </c>
      <c r="B82" s="19"/>
      <c r="C82" s="20" t="s">
        <v>30</v>
      </c>
      <c r="D82" s="20" t="s">
        <v>115</v>
      </c>
      <c r="E82" s="20" t="s">
        <v>223</v>
      </c>
      <c r="F82" s="20" t="s">
        <v>315</v>
      </c>
      <c r="G82" s="20"/>
      <c r="H82" s="20"/>
      <c r="I82" s="20" t="s">
        <v>451</v>
      </c>
      <c r="J82" s="20">
        <v>3</v>
      </c>
      <c r="K82" s="20"/>
      <c r="L82" s="20" t="s">
        <v>515</v>
      </c>
      <c r="M82" s="20"/>
      <c r="N82" s="29" t="s">
        <v>612</v>
      </c>
      <c r="O82" s="30"/>
      <c r="P82" s="30"/>
      <c r="Q82" s="30">
        <v>15</v>
      </c>
    </row>
    <row r="83" spans="1:17" ht="38.25" x14ac:dyDescent="0.25">
      <c r="A83" s="19">
        <v>78</v>
      </c>
      <c r="B83" s="19"/>
      <c r="C83" s="20" t="s">
        <v>30</v>
      </c>
      <c r="D83" s="20" t="s">
        <v>116</v>
      </c>
      <c r="E83" s="20" t="s">
        <v>224</v>
      </c>
      <c r="F83" s="20" t="s">
        <v>316</v>
      </c>
      <c r="G83" s="20"/>
      <c r="H83" s="20"/>
      <c r="I83" s="20" t="s">
        <v>452</v>
      </c>
      <c r="J83" s="20">
        <v>1</v>
      </c>
      <c r="K83" s="20"/>
      <c r="L83" s="20" t="s">
        <v>515</v>
      </c>
      <c r="M83" s="20"/>
      <c r="N83" s="29" t="s">
        <v>612</v>
      </c>
      <c r="O83" s="30"/>
      <c r="P83" s="30"/>
      <c r="Q83" s="30">
        <v>5</v>
      </c>
    </row>
    <row r="84" spans="1:17" ht="76.5" x14ac:dyDescent="0.25">
      <c r="A84" s="19">
        <v>79</v>
      </c>
      <c r="B84" s="19"/>
      <c r="C84" s="20" t="s">
        <v>31</v>
      </c>
      <c r="D84" s="20" t="s">
        <v>117</v>
      </c>
      <c r="E84" s="20" t="s">
        <v>225</v>
      </c>
      <c r="F84" s="20" t="s">
        <v>317</v>
      </c>
      <c r="G84" s="20"/>
      <c r="H84" s="20"/>
      <c r="I84" s="20" t="s">
        <v>453</v>
      </c>
      <c r="J84" s="20">
        <v>1</v>
      </c>
      <c r="K84" s="20"/>
      <c r="L84" s="20" t="s">
        <v>515</v>
      </c>
      <c r="M84" s="20"/>
      <c r="N84" s="34"/>
      <c r="O84" s="33" t="s">
        <v>613</v>
      </c>
      <c r="P84" s="34"/>
      <c r="Q84" s="34"/>
    </row>
    <row r="85" spans="1:17" ht="38.25" x14ac:dyDescent="0.25">
      <c r="A85" s="19">
        <v>80</v>
      </c>
      <c r="B85" s="19"/>
      <c r="C85" s="20" t="s">
        <v>32</v>
      </c>
      <c r="D85" s="20" t="s">
        <v>118</v>
      </c>
      <c r="E85" s="20" t="s">
        <v>226</v>
      </c>
      <c r="F85" s="20" t="s">
        <v>318</v>
      </c>
      <c r="G85" s="20"/>
      <c r="H85" s="20"/>
      <c r="I85" s="20" t="s">
        <v>454</v>
      </c>
      <c r="J85" s="20">
        <v>11</v>
      </c>
      <c r="K85" s="20"/>
      <c r="L85" s="20" t="s">
        <v>515</v>
      </c>
      <c r="M85" s="20"/>
      <c r="N85" s="29" t="s">
        <v>612</v>
      </c>
      <c r="O85" s="30"/>
      <c r="P85" s="30"/>
      <c r="Q85" s="30">
        <v>55</v>
      </c>
    </row>
    <row r="86" spans="1:17" ht="76.5" x14ac:dyDescent="0.25">
      <c r="A86" s="19">
        <v>81</v>
      </c>
      <c r="B86" s="19"/>
      <c r="C86" s="20" t="s">
        <v>32</v>
      </c>
      <c r="D86" s="20" t="s">
        <v>119</v>
      </c>
      <c r="E86" s="20" t="s">
        <v>212</v>
      </c>
      <c r="F86" s="20" t="s">
        <v>319</v>
      </c>
      <c r="G86" s="20"/>
      <c r="H86" s="20"/>
      <c r="I86" s="20" t="s">
        <v>455</v>
      </c>
      <c r="J86" s="20">
        <v>1</v>
      </c>
      <c r="K86" s="20"/>
      <c r="L86" s="20" t="s">
        <v>515</v>
      </c>
      <c r="M86" s="20"/>
      <c r="N86" s="29" t="s">
        <v>612</v>
      </c>
      <c r="O86" s="30"/>
      <c r="P86" s="30"/>
      <c r="Q86" s="30">
        <v>5</v>
      </c>
    </row>
    <row r="87" spans="1:17" ht="38.25" x14ac:dyDescent="0.25">
      <c r="A87" s="19">
        <v>82</v>
      </c>
      <c r="B87" s="19"/>
      <c r="C87" s="20" t="s">
        <v>32</v>
      </c>
      <c r="D87" s="20" t="s">
        <v>120</v>
      </c>
      <c r="E87" s="20" t="s">
        <v>216</v>
      </c>
      <c r="F87" s="20" t="s">
        <v>320</v>
      </c>
      <c r="G87" s="20"/>
      <c r="H87" s="20"/>
      <c r="I87" s="20" t="s">
        <v>456</v>
      </c>
      <c r="J87" s="20">
        <v>6</v>
      </c>
      <c r="K87" s="20"/>
      <c r="L87" s="20" t="s">
        <v>515</v>
      </c>
      <c r="M87" s="20"/>
      <c r="N87" s="29" t="s">
        <v>612</v>
      </c>
      <c r="O87" s="30"/>
      <c r="P87" s="30"/>
      <c r="Q87" s="30">
        <v>30</v>
      </c>
    </row>
    <row r="88" spans="1:17" ht="63.75" x14ac:dyDescent="0.25">
      <c r="A88" s="19">
        <v>83</v>
      </c>
      <c r="B88" s="19"/>
      <c r="C88" s="20" t="s">
        <v>32</v>
      </c>
      <c r="D88" s="20" t="s">
        <v>121</v>
      </c>
      <c r="E88" s="20" t="s">
        <v>202</v>
      </c>
      <c r="F88" s="20" t="s">
        <v>321</v>
      </c>
      <c r="G88" s="20"/>
      <c r="H88" s="20"/>
      <c r="I88" s="20" t="s">
        <v>457</v>
      </c>
      <c r="J88" s="20">
        <v>1</v>
      </c>
      <c r="K88" s="20"/>
      <c r="L88" s="20" t="s">
        <v>515</v>
      </c>
      <c r="M88" s="20"/>
      <c r="N88" s="29" t="s">
        <v>612</v>
      </c>
      <c r="O88" s="30"/>
      <c r="P88" s="30"/>
      <c r="Q88" s="30">
        <v>5</v>
      </c>
    </row>
    <row r="89" spans="1:17" ht="25.5" x14ac:dyDescent="0.25">
      <c r="A89" s="19">
        <v>84</v>
      </c>
      <c r="B89" s="19"/>
      <c r="C89" s="20" t="s">
        <v>33</v>
      </c>
      <c r="D89" s="20" t="s">
        <v>122</v>
      </c>
      <c r="E89" s="20" t="s">
        <v>177</v>
      </c>
      <c r="F89" s="20" t="s">
        <v>322</v>
      </c>
      <c r="G89" s="20"/>
      <c r="H89" s="20"/>
      <c r="I89" s="20" t="s">
        <v>458</v>
      </c>
      <c r="J89" s="20">
        <v>1</v>
      </c>
      <c r="K89" s="20"/>
      <c r="L89" s="20" t="s">
        <v>515</v>
      </c>
      <c r="M89" s="20"/>
      <c r="N89" s="29" t="s">
        <v>612</v>
      </c>
      <c r="O89" s="30"/>
      <c r="P89" s="30"/>
      <c r="Q89" s="30">
        <v>5</v>
      </c>
    </row>
    <row r="90" spans="1:17" ht="76.5" x14ac:dyDescent="0.25">
      <c r="A90" s="19">
        <v>85</v>
      </c>
      <c r="B90" s="19"/>
      <c r="C90" s="20" t="s">
        <v>33</v>
      </c>
      <c r="D90" s="20" t="s">
        <v>123</v>
      </c>
      <c r="E90" s="20" t="s">
        <v>178</v>
      </c>
      <c r="F90" s="20" t="s">
        <v>323</v>
      </c>
      <c r="G90" s="20"/>
      <c r="H90" s="20"/>
      <c r="I90" s="20" t="s">
        <v>459</v>
      </c>
      <c r="J90" s="20">
        <v>10</v>
      </c>
      <c r="K90" s="20"/>
      <c r="L90" s="20" t="s">
        <v>515</v>
      </c>
      <c r="M90" s="20"/>
      <c r="N90" s="29" t="s">
        <v>612</v>
      </c>
      <c r="O90" s="30"/>
      <c r="P90" s="30"/>
      <c r="Q90" s="30">
        <v>50</v>
      </c>
    </row>
    <row r="91" spans="1:17" ht="76.5" x14ac:dyDescent="0.25">
      <c r="A91" s="19">
        <v>86</v>
      </c>
      <c r="B91" s="19"/>
      <c r="C91" s="20" t="s">
        <v>33</v>
      </c>
      <c r="D91" s="20" t="s">
        <v>124</v>
      </c>
      <c r="E91" s="20" t="s">
        <v>178</v>
      </c>
      <c r="F91" s="20" t="s">
        <v>324</v>
      </c>
      <c r="G91" s="20"/>
      <c r="H91" s="20"/>
      <c r="I91" s="20" t="s">
        <v>460</v>
      </c>
      <c r="J91" s="20">
        <v>1</v>
      </c>
      <c r="K91" s="20"/>
      <c r="L91" s="20" t="s">
        <v>515</v>
      </c>
      <c r="M91" s="20"/>
      <c r="N91" s="29" t="s">
        <v>612</v>
      </c>
      <c r="O91" s="30"/>
      <c r="P91" s="30"/>
      <c r="Q91" s="30">
        <v>5</v>
      </c>
    </row>
    <row r="92" spans="1:17" ht="76.5" x14ac:dyDescent="0.25">
      <c r="A92" s="19">
        <v>87</v>
      </c>
      <c r="B92" s="19"/>
      <c r="C92" s="20" t="s">
        <v>33</v>
      </c>
      <c r="D92" s="20" t="s">
        <v>125</v>
      </c>
      <c r="E92" s="20" t="s">
        <v>178</v>
      </c>
      <c r="F92" s="20" t="s">
        <v>325</v>
      </c>
      <c r="G92" s="20"/>
      <c r="H92" s="20"/>
      <c r="I92" s="20" t="s">
        <v>461</v>
      </c>
      <c r="J92" s="20">
        <v>1</v>
      </c>
      <c r="K92" s="20"/>
      <c r="L92" s="20" t="s">
        <v>515</v>
      </c>
      <c r="M92" s="20"/>
      <c r="N92" s="29" t="s">
        <v>612</v>
      </c>
      <c r="O92" s="30"/>
      <c r="P92" s="30"/>
      <c r="Q92" s="30">
        <v>5</v>
      </c>
    </row>
    <row r="93" spans="1:17" ht="229.5" x14ac:dyDescent="0.25">
      <c r="A93" s="19">
        <v>88</v>
      </c>
      <c r="B93" s="19"/>
      <c r="C93" s="20" t="s">
        <v>33</v>
      </c>
      <c r="D93" s="20" t="s">
        <v>126</v>
      </c>
      <c r="E93" s="20" t="s">
        <v>178</v>
      </c>
      <c r="F93" s="20" t="s">
        <v>326</v>
      </c>
      <c r="G93" s="20"/>
      <c r="H93" s="20"/>
      <c r="I93" s="20" t="s">
        <v>462</v>
      </c>
      <c r="J93" s="20">
        <v>39</v>
      </c>
      <c r="K93" s="20"/>
      <c r="L93" s="20" t="s">
        <v>515</v>
      </c>
      <c r="M93" s="20"/>
      <c r="N93" s="29" t="s">
        <v>612</v>
      </c>
      <c r="O93" s="30"/>
      <c r="P93" s="30"/>
      <c r="Q93" s="30">
        <v>195</v>
      </c>
    </row>
    <row r="94" spans="1:17" ht="204" x14ac:dyDescent="0.25">
      <c r="A94" s="19">
        <v>89</v>
      </c>
      <c r="B94" s="19"/>
      <c r="C94" s="20" t="s">
        <v>33</v>
      </c>
      <c r="D94" s="20" t="s">
        <v>127</v>
      </c>
      <c r="E94" s="20" t="s">
        <v>178</v>
      </c>
      <c r="F94" s="20" t="s">
        <v>327</v>
      </c>
      <c r="G94" s="20"/>
      <c r="H94" s="20"/>
      <c r="I94" s="20" t="s">
        <v>463</v>
      </c>
      <c r="J94" s="20">
        <v>35</v>
      </c>
      <c r="K94" s="20"/>
      <c r="L94" s="20" t="s">
        <v>515</v>
      </c>
      <c r="M94" s="20"/>
      <c r="N94" s="29" t="s">
        <v>612</v>
      </c>
      <c r="O94" s="30"/>
      <c r="P94" s="30"/>
      <c r="Q94" s="30">
        <v>175</v>
      </c>
    </row>
    <row r="95" spans="1:17" ht="76.5" x14ac:dyDescent="0.25">
      <c r="A95" s="19">
        <v>90</v>
      </c>
      <c r="B95" s="19"/>
      <c r="C95" s="20" t="s">
        <v>33</v>
      </c>
      <c r="D95" s="20" t="s">
        <v>128</v>
      </c>
      <c r="E95" s="20" t="s">
        <v>178</v>
      </c>
      <c r="F95" s="20" t="s">
        <v>328</v>
      </c>
      <c r="G95" s="20"/>
      <c r="H95" s="20"/>
      <c r="I95" s="20" t="s">
        <v>464</v>
      </c>
      <c r="J95" s="20">
        <v>1</v>
      </c>
      <c r="K95" s="20"/>
      <c r="L95" s="20" t="s">
        <v>515</v>
      </c>
      <c r="M95" s="20"/>
      <c r="N95" s="29" t="s">
        <v>612</v>
      </c>
      <c r="O95" s="30"/>
      <c r="P95" s="30"/>
      <c r="Q95" s="30">
        <v>5</v>
      </c>
    </row>
    <row r="96" spans="1:17" ht="76.5" x14ac:dyDescent="0.25">
      <c r="A96" s="19">
        <v>91</v>
      </c>
      <c r="B96" s="19"/>
      <c r="C96" s="20" t="s">
        <v>33</v>
      </c>
      <c r="D96" s="20" t="s">
        <v>129</v>
      </c>
      <c r="E96" s="20" t="s">
        <v>178</v>
      </c>
      <c r="F96" s="20" t="s">
        <v>329</v>
      </c>
      <c r="G96" s="20"/>
      <c r="H96" s="20"/>
      <c r="I96" s="20" t="s">
        <v>465</v>
      </c>
      <c r="J96" s="20">
        <v>1</v>
      </c>
      <c r="K96" s="20"/>
      <c r="L96" s="20" t="s">
        <v>515</v>
      </c>
      <c r="M96" s="20"/>
      <c r="N96" s="29" t="s">
        <v>612</v>
      </c>
      <c r="O96" s="30"/>
      <c r="P96" s="30"/>
      <c r="Q96" s="30">
        <v>5</v>
      </c>
    </row>
    <row r="97" spans="1:17" ht="38.25" x14ac:dyDescent="0.25">
      <c r="A97" s="19">
        <v>92</v>
      </c>
      <c r="B97" s="19"/>
      <c r="C97" s="20" t="s">
        <v>33</v>
      </c>
      <c r="D97" s="20" t="s">
        <v>130</v>
      </c>
      <c r="E97" s="20" t="s">
        <v>177</v>
      </c>
      <c r="F97" s="20" t="s">
        <v>330</v>
      </c>
      <c r="G97" s="20"/>
      <c r="H97" s="20"/>
      <c r="I97" s="20" t="s">
        <v>466</v>
      </c>
      <c r="J97" s="20">
        <v>2</v>
      </c>
      <c r="K97" s="20"/>
      <c r="L97" s="20" t="s">
        <v>515</v>
      </c>
      <c r="M97" s="20"/>
      <c r="N97" s="29" t="s">
        <v>612</v>
      </c>
      <c r="O97" s="30"/>
      <c r="P97" s="30"/>
      <c r="Q97" s="30">
        <v>10</v>
      </c>
    </row>
    <row r="98" spans="1:17" ht="76.5" x14ac:dyDescent="0.25">
      <c r="A98" s="19">
        <v>93</v>
      </c>
      <c r="B98" s="19"/>
      <c r="C98" s="20" t="s">
        <v>33</v>
      </c>
      <c r="D98" s="20" t="s">
        <v>131</v>
      </c>
      <c r="E98" s="20" t="s">
        <v>178</v>
      </c>
      <c r="F98" s="20" t="s">
        <v>331</v>
      </c>
      <c r="G98" s="20"/>
      <c r="H98" s="20"/>
      <c r="I98" s="20" t="s">
        <v>467</v>
      </c>
      <c r="J98" s="20">
        <v>1</v>
      </c>
      <c r="K98" s="20"/>
      <c r="L98" s="20" t="s">
        <v>515</v>
      </c>
      <c r="M98" s="20"/>
      <c r="N98" s="29" t="s">
        <v>612</v>
      </c>
      <c r="O98" s="30"/>
      <c r="P98" s="30"/>
      <c r="Q98" s="30">
        <v>5</v>
      </c>
    </row>
    <row r="99" spans="1:17" ht="76.5" x14ac:dyDescent="0.25">
      <c r="A99" s="19">
        <v>94</v>
      </c>
      <c r="B99" s="19"/>
      <c r="C99" s="20" t="s">
        <v>33</v>
      </c>
      <c r="D99" s="20" t="s">
        <v>132</v>
      </c>
      <c r="E99" s="20" t="s">
        <v>178</v>
      </c>
      <c r="F99" s="20" t="s">
        <v>332</v>
      </c>
      <c r="G99" s="20"/>
      <c r="H99" s="20"/>
      <c r="I99" s="20" t="s">
        <v>468</v>
      </c>
      <c r="J99" s="20">
        <v>1</v>
      </c>
      <c r="K99" s="20"/>
      <c r="L99" s="20" t="s">
        <v>515</v>
      </c>
      <c r="M99" s="20"/>
      <c r="N99" s="29" t="s">
        <v>612</v>
      </c>
      <c r="O99" s="30"/>
      <c r="P99" s="30"/>
      <c r="Q99" s="30">
        <v>5</v>
      </c>
    </row>
    <row r="100" spans="1:17" ht="76.5" x14ac:dyDescent="0.25">
      <c r="A100" s="19">
        <v>95</v>
      </c>
      <c r="B100" s="19"/>
      <c r="C100" s="20" t="s">
        <v>33</v>
      </c>
      <c r="D100" s="20" t="s">
        <v>133</v>
      </c>
      <c r="E100" s="20" t="s">
        <v>178</v>
      </c>
      <c r="F100" s="20" t="s">
        <v>333</v>
      </c>
      <c r="G100" s="20"/>
      <c r="H100" s="20"/>
      <c r="I100" s="20" t="s">
        <v>469</v>
      </c>
      <c r="J100" s="20">
        <v>1</v>
      </c>
      <c r="K100" s="20"/>
      <c r="L100" s="20" t="s">
        <v>515</v>
      </c>
      <c r="M100" s="20"/>
      <c r="N100" s="29" t="s">
        <v>612</v>
      </c>
      <c r="O100" s="30"/>
      <c r="P100" s="30"/>
      <c r="Q100" s="30">
        <v>5</v>
      </c>
    </row>
    <row r="101" spans="1:17" ht="76.5" x14ac:dyDescent="0.25">
      <c r="A101" s="19">
        <v>96</v>
      </c>
      <c r="B101" s="19"/>
      <c r="C101" s="20" t="s">
        <v>33</v>
      </c>
      <c r="D101" s="20" t="s">
        <v>134</v>
      </c>
      <c r="E101" s="20" t="s">
        <v>178</v>
      </c>
      <c r="F101" s="20" t="s">
        <v>334</v>
      </c>
      <c r="G101" s="20"/>
      <c r="H101" s="20"/>
      <c r="I101" s="20" t="s">
        <v>470</v>
      </c>
      <c r="J101" s="20">
        <v>5</v>
      </c>
      <c r="K101" s="20"/>
      <c r="L101" s="20" t="s">
        <v>515</v>
      </c>
      <c r="M101" s="20"/>
      <c r="N101" s="29" t="s">
        <v>612</v>
      </c>
      <c r="O101" s="30"/>
      <c r="P101" s="30"/>
      <c r="Q101" s="30">
        <v>25</v>
      </c>
    </row>
    <row r="102" spans="1:17" ht="114.75" x14ac:dyDescent="0.25">
      <c r="A102" s="19">
        <v>97</v>
      </c>
      <c r="B102" s="19"/>
      <c r="C102" s="20" t="s">
        <v>33</v>
      </c>
      <c r="D102" s="20" t="s">
        <v>135</v>
      </c>
      <c r="E102" s="20" t="s">
        <v>178</v>
      </c>
      <c r="F102" s="20" t="s">
        <v>335</v>
      </c>
      <c r="G102" s="20"/>
      <c r="H102" s="20"/>
      <c r="I102" s="20" t="s">
        <v>471</v>
      </c>
      <c r="J102" s="20">
        <v>23</v>
      </c>
      <c r="K102" s="20"/>
      <c r="L102" s="20" t="s">
        <v>515</v>
      </c>
      <c r="M102" s="20"/>
      <c r="N102" s="29" t="s">
        <v>612</v>
      </c>
      <c r="O102" s="30"/>
      <c r="P102" s="30"/>
      <c r="Q102" s="30">
        <v>115</v>
      </c>
    </row>
    <row r="103" spans="1:17" ht="76.5" x14ac:dyDescent="0.25">
      <c r="A103" s="19">
        <v>98</v>
      </c>
      <c r="B103" s="19"/>
      <c r="C103" s="20" t="s">
        <v>33</v>
      </c>
      <c r="D103" s="20" t="s">
        <v>136</v>
      </c>
      <c r="E103" s="20" t="s">
        <v>178</v>
      </c>
      <c r="F103" s="20" t="s">
        <v>336</v>
      </c>
      <c r="G103" s="20"/>
      <c r="H103" s="20"/>
      <c r="I103" s="20" t="s">
        <v>472</v>
      </c>
      <c r="J103" s="20">
        <v>1</v>
      </c>
      <c r="K103" s="20"/>
      <c r="L103" s="20" t="s">
        <v>515</v>
      </c>
      <c r="M103" s="20"/>
      <c r="N103" s="29" t="s">
        <v>612</v>
      </c>
      <c r="O103" s="30"/>
      <c r="P103" s="30"/>
      <c r="Q103" s="30">
        <v>5</v>
      </c>
    </row>
    <row r="104" spans="1:17" ht="76.5" x14ac:dyDescent="0.25">
      <c r="A104" s="19">
        <v>99</v>
      </c>
      <c r="B104" s="19"/>
      <c r="C104" s="20" t="s">
        <v>33</v>
      </c>
      <c r="D104" s="20" t="s">
        <v>137</v>
      </c>
      <c r="E104" s="20" t="s">
        <v>178</v>
      </c>
      <c r="F104" s="20" t="s">
        <v>337</v>
      </c>
      <c r="G104" s="20"/>
      <c r="H104" s="20"/>
      <c r="I104" s="20" t="s">
        <v>473</v>
      </c>
      <c r="J104" s="20">
        <v>1</v>
      </c>
      <c r="K104" s="20"/>
      <c r="L104" s="20" t="s">
        <v>515</v>
      </c>
      <c r="M104" s="20"/>
      <c r="N104" s="29" t="s">
        <v>612</v>
      </c>
      <c r="O104" s="30"/>
      <c r="P104" s="30"/>
      <c r="Q104" s="30">
        <v>5</v>
      </c>
    </row>
    <row r="105" spans="1:17" ht="76.5" x14ac:dyDescent="0.25">
      <c r="A105" s="19">
        <v>100</v>
      </c>
      <c r="B105" s="19"/>
      <c r="C105" s="20" t="s">
        <v>33</v>
      </c>
      <c r="D105" s="20" t="s">
        <v>138</v>
      </c>
      <c r="E105" s="20" t="s">
        <v>178</v>
      </c>
      <c r="F105" s="20" t="s">
        <v>338</v>
      </c>
      <c r="G105" s="20"/>
      <c r="H105" s="20"/>
      <c r="I105" s="20" t="s">
        <v>474</v>
      </c>
      <c r="J105" s="20">
        <v>1</v>
      </c>
      <c r="K105" s="20"/>
      <c r="L105" s="20" t="s">
        <v>515</v>
      </c>
      <c r="M105" s="20"/>
      <c r="N105" s="29" t="s">
        <v>612</v>
      </c>
      <c r="O105" s="30"/>
      <c r="P105" s="30"/>
      <c r="Q105" s="30">
        <v>5</v>
      </c>
    </row>
    <row r="106" spans="1:17" ht="76.5" x14ac:dyDescent="0.25">
      <c r="A106" s="19">
        <v>101</v>
      </c>
      <c r="B106" s="19"/>
      <c r="C106" s="20" t="s">
        <v>33</v>
      </c>
      <c r="D106" s="20" t="s">
        <v>139</v>
      </c>
      <c r="E106" s="20" t="s">
        <v>178</v>
      </c>
      <c r="F106" s="20" t="s">
        <v>339</v>
      </c>
      <c r="G106" s="20"/>
      <c r="H106" s="20"/>
      <c r="I106" s="20" t="s">
        <v>475</v>
      </c>
      <c r="J106" s="20">
        <v>1</v>
      </c>
      <c r="K106" s="20"/>
      <c r="L106" s="20" t="s">
        <v>515</v>
      </c>
      <c r="M106" s="20"/>
      <c r="N106" s="29" t="s">
        <v>612</v>
      </c>
      <c r="O106" s="30"/>
      <c r="P106" s="30"/>
      <c r="Q106" s="30">
        <v>5</v>
      </c>
    </row>
    <row r="107" spans="1:17" ht="102" x14ac:dyDescent="0.25">
      <c r="A107" s="19">
        <v>102</v>
      </c>
      <c r="B107" s="19"/>
      <c r="C107" s="20" t="s">
        <v>33</v>
      </c>
      <c r="D107" s="20" t="s">
        <v>140</v>
      </c>
      <c r="E107" s="20" t="s">
        <v>178</v>
      </c>
      <c r="F107" s="20" t="s">
        <v>340</v>
      </c>
      <c r="G107" s="20"/>
      <c r="H107" s="20"/>
      <c r="I107" s="20" t="s">
        <v>476</v>
      </c>
      <c r="J107" s="20">
        <v>20</v>
      </c>
      <c r="K107" s="20"/>
      <c r="L107" s="20" t="s">
        <v>515</v>
      </c>
      <c r="M107" s="20"/>
      <c r="N107" s="29" t="s">
        <v>612</v>
      </c>
      <c r="O107" s="30"/>
      <c r="P107" s="30"/>
      <c r="Q107" s="30">
        <v>100</v>
      </c>
    </row>
    <row r="108" spans="1:17" ht="76.5" x14ac:dyDescent="0.25">
      <c r="A108" s="19">
        <v>103</v>
      </c>
      <c r="B108" s="19"/>
      <c r="C108" s="20" t="s">
        <v>33</v>
      </c>
      <c r="D108" s="20" t="s">
        <v>141</v>
      </c>
      <c r="E108" s="20" t="s">
        <v>178</v>
      </c>
      <c r="F108" s="20" t="s">
        <v>341</v>
      </c>
      <c r="G108" s="20"/>
      <c r="H108" s="20"/>
      <c r="I108" s="20" t="s">
        <v>477</v>
      </c>
      <c r="J108" s="20">
        <v>2</v>
      </c>
      <c r="K108" s="20"/>
      <c r="L108" s="20" t="s">
        <v>515</v>
      </c>
      <c r="M108" s="20"/>
      <c r="N108" s="29" t="s">
        <v>612</v>
      </c>
      <c r="O108" s="30"/>
      <c r="P108" s="30"/>
      <c r="Q108" s="30">
        <v>10</v>
      </c>
    </row>
    <row r="109" spans="1:17" ht="140.25" x14ac:dyDescent="0.25">
      <c r="A109" s="19">
        <v>104</v>
      </c>
      <c r="B109" s="19"/>
      <c r="C109" s="20" t="s">
        <v>33</v>
      </c>
      <c r="D109" s="20" t="s">
        <v>142</v>
      </c>
      <c r="E109" s="20" t="s">
        <v>178</v>
      </c>
      <c r="F109" s="20" t="s">
        <v>342</v>
      </c>
      <c r="G109" s="20"/>
      <c r="H109" s="20"/>
      <c r="I109" s="20" t="s">
        <v>478</v>
      </c>
      <c r="J109" s="20">
        <v>27</v>
      </c>
      <c r="K109" s="20"/>
      <c r="L109" s="20" t="s">
        <v>515</v>
      </c>
      <c r="M109" s="20"/>
      <c r="N109" s="29" t="s">
        <v>612</v>
      </c>
      <c r="O109" s="30"/>
      <c r="P109" s="30"/>
      <c r="Q109" s="30">
        <v>135</v>
      </c>
    </row>
    <row r="110" spans="1:17" ht="76.5" x14ac:dyDescent="0.25">
      <c r="A110" s="19">
        <v>105</v>
      </c>
      <c r="B110" s="19"/>
      <c r="C110" s="20" t="s">
        <v>33</v>
      </c>
      <c r="D110" s="20" t="s">
        <v>143</v>
      </c>
      <c r="E110" s="20" t="s">
        <v>178</v>
      </c>
      <c r="F110" s="20" t="s">
        <v>343</v>
      </c>
      <c r="G110" s="20"/>
      <c r="H110" s="20"/>
      <c r="I110" s="20" t="s">
        <v>479</v>
      </c>
      <c r="J110" s="20">
        <v>1</v>
      </c>
      <c r="K110" s="20"/>
      <c r="L110" s="20" t="s">
        <v>515</v>
      </c>
      <c r="M110" s="20"/>
      <c r="N110" s="29" t="s">
        <v>612</v>
      </c>
      <c r="O110" s="30"/>
      <c r="P110" s="30"/>
      <c r="Q110" s="30">
        <v>5</v>
      </c>
    </row>
    <row r="111" spans="1:17" ht="76.5" x14ac:dyDescent="0.25">
      <c r="A111" s="19">
        <v>106</v>
      </c>
      <c r="B111" s="19"/>
      <c r="C111" s="20" t="s">
        <v>33</v>
      </c>
      <c r="D111" s="20" t="s">
        <v>144</v>
      </c>
      <c r="E111" s="20" t="s">
        <v>178</v>
      </c>
      <c r="F111" s="20" t="s">
        <v>344</v>
      </c>
      <c r="G111" s="20"/>
      <c r="H111" s="20"/>
      <c r="I111" s="20" t="s">
        <v>480</v>
      </c>
      <c r="J111" s="20">
        <v>2</v>
      </c>
      <c r="K111" s="20"/>
      <c r="L111" s="20" t="s">
        <v>515</v>
      </c>
      <c r="M111" s="20"/>
      <c r="N111" s="29" t="s">
        <v>612</v>
      </c>
      <c r="O111" s="30"/>
      <c r="P111" s="30"/>
      <c r="Q111" s="30">
        <v>10</v>
      </c>
    </row>
    <row r="112" spans="1:17" ht="140.25" x14ac:dyDescent="0.25">
      <c r="A112" s="19">
        <v>107</v>
      </c>
      <c r="B112" s="19"/>
      <c r="C112" s="20" t="s">
        <v>33</v>
      </c>
      <c r="D112" s="20" t="s">
        <v>145</v>
      </c>
      <c r="E112" s="20" t="s">
        <v>178</v>
      </c>
      <c r="F112" s="20" t="s">
        <v>345</v>
      </c>
      <c r="G112" s="20"/>
      <c r="H112" s="20"/>
      <c r="I112" s="20" t="s">
        <v>481</v>
      </c>
      <c r="J112" s="20">
        <v>25</v>
      </c>
      <c r="K112" s="20"/>
      <c r="L112" s="20" t="s">
        <v>515</v>
      </c>
      <c r="M112" s="20"/>
      <c r="N112" s="29" t="s">
        <v>612</v>
      </c>
      <c r="O112" s="30"/>
      <c r="P112" s="30"/>
      <c r="Q112" s="30">
        <v>125</v>
      </c>
    </row>
    <row r="113" spans="1:17" ht="76.5" x14ac:dyDescent="0.25">
      <c r="A113" s="19">
        <v>108</v>
      </c>
      <c r="B113" s="19"/>
      <c r="C113" s="20" t="s">
        <v>33</v>
      </c>
      <c r="D113" s="20" t="s">
        <v>146</v>
      </c>
      <c r="E113" s="20" t="s">
        <v>178</v>
      </c>
      <c r="F113" s="20" t="s">
        <v>346</v>
      </c>
      <c r="G113" s="20"/>
      <c r="H113" s="20"/>
      <c r="I113" s="20" t="s">
        <v>482</v>
      </c>
      <c r="J113" s="20">
        <v>1</v>
      </c>
      <c r="K113" s="20"/>
      <c r="L113" s="20" t="s">
        <v>515</v>
      </c>
      <c r="M113" s="20"/>
      <c r="N113" s="29" t="s">
        <v>612</v>
      </c>
      <c r="O113" s="30"/>
      <c r="P113" s="30"/>
      <c r="Q113" s="30">
        <v>5</v>
      </c>
    </row>
    <row r="114" spans="1:17" ht="38.25" x14ac:dyDescent="0.25">
      <c r="A114" s="19">
        <v>109</v>
      </c>
      <c r="B114" s="19"/>
      <c r="C114" s="20" t="s">
        <v>33</v>
      </c>
      <c r="D114" s="20" t="s">
        <v>147</v>
      </c>
      <c r="E114" s="20" t="s">
        <v>178</v>
      </c>
      <c r="F114" s="20" t="s">
        <v>347</v>
      </c>
      <c r="G114" s="20"/>
      <c r="H114" s="20"/>
      <c r="I114" s="20" t="s">
        <v>483</v>
      </c>
      <c r="J114" s="20">
        <v>1</v>
      </c>
      <c r="K114" s="20"/>
      <c r="L114" s="20" t="s">
        <v>515</v>
      </c>
      <c r="M114" s="20"/>
      <c r="N114" s="29" t="s">
        <v>612</v>
      </c>
      <c r="O114" s="30"/>
      <c r="P114" s="30"/>
      <c r="Q114" s="30">
        <v>5</v>
      </c>
    </row>
    <row r="115" spans="1:17" ht="76.5" x14ac:dyDescent="0.25">
      <c r="A115" s="19">
        <v>110</v>
      </c>
      <c r="B115" s="19"/>
      <c r="C115" s="20" t="s">
        <v>33</v>
      </c>
      <c r="D115" s="20" t="s">
        <v>148</v>
      </c>
      <c r="E115" s="20" t="s">
        <v>178</v>
      </c>
      <c r="F115" s="20" t="s">
        <v>348</v>
      </c>
      <c r="G115" s="20"/>
      <c r="H115" s="20"/>
      <c r="I115" s="20" t="s">
        <v>484</v>
      </c>
      <c r="J115" s="20">
        <v>10</v>
      </c>
      <c r="K115" s="20"/>
      <c r="L115" s="20" t="s">
        <v>515</v>
      </c>
      <c r="M115" s="20"/>
      <c r="N115" s="29" t="s">
        <v>612</v>
      </c>
      <c r="O115" s="30"/>
      <c r="P115" s="30"/>
      <c r="Q115" s="30">
        <v>50</v>
      </c>
    </row>
    <row r="116" spans="1:17" ht="76.5" x14ac:dyDescent="0.25">
      <c r="A116" s="19">
        <v>111</v>
      </c>
      <c r="B116" s="19"/>
      <c r="C116" s="20" t="s">
        <v>33</v>
      </c>
      <c r="D116" s="20" t="s">
        <v>149</v>
      </c>
      <c r="E116" s="20" t="s">
        <v>178</v>
      </c>
      <c r="F116" s="20" t="s">
        <v>349</v>
      </c>
      <c r="G116" s="20"/>
      <c r="H116" s="20"/>
      <c r="I116" s="20" t="s">
        <v>485</v>
      </c>
      <c r="J116" s="20">
        <v>4</v>
      </c>
      <c r="K116" s="20"/>
      <c r="L116" s="20" t="s">
        <v>515</v>
      </c>
      <c r="M116" s="20"/>
      <c r="N116" s="29" t="s">
        <v>612</v>
      </c>
      <c r="O116" s="30"/>
      <c r="P116" s="30"/>
      <c r="Q116" s="30">
        <v>20</v>
      </c>
    </row>
    <row r="117" spans="1:17" ht="76.5" x14ac:dyDescent="0.25">
      <c r="A117" s="19">
        <v>112</v>
      </c>
      <c r="B117" s="19"/>
      <c r="C117" s="20" t="s">
        <v>33</v>
      </c>
      <c r="D117" s="20" t="s">
        <v>150</v>
      </c>
      <c r="E117" s="20" t="s">
        <v>178</v>
      </c>
      <c r="F117" s="20" t="s">
        <v>350</v>
      </c>
      <c r="G117" s="20"/>
      <c r="H117" s="20"/>
      <c r="I117" s="20" t="s">
        <v>486</v>
      </c>
      <c r="J117" s="20">
        <v>1</v>
      </c>
      <c r="K117" s="20"/>
      <c r="L117" s="20" t="s">
        <v>515</v>
      </c>
      <c r="M117" s="20"/>
      <c r="N117" s="29" t="s">
        <v>612</v>
      </c>
      <c r="O117" s="30"/>
      <c r="P117" s="30"/>
      <c r="Q117" s="30">
        <v>5</v>
      </c>
    </row>
    <row r="118" spans="1:17" ht="102" x14ac:dyDescent="0.25">
      <c r="A118" s="19">
        <v>113</v>
      </c>
      <c r="B118" s="19"/>
      <c r="C118" s="20" t="s">
        <v>33</v>
      </c>
      <c r="D118" s="20" t="s">
        <v>151</v>
      </c>
      <c r="E118" s="20" t="s">
        <v>178</v>
      </c>
      <c r="F118" s="20" t="s">
        <v>351</v>
      </c>
      <c r="G118" s="20"/>
      <c r="H118" s="20"/>
      <c r="I118" s="20" t="s">
        <v>487</v>
      </c>
      <c r="J118" s="20">
        <v>16</v>
      </c>
      <c r="K118" s="20"/>
      <c r="L118" s="20" t="s">
        <v>515</v>
      </c>
      <c r="M118" s="20"/>
      <c r="N118" s="29" t="s">
        <v>612</v>
      </c>
      <c r="O118" s="30"/>
      <c r="P118" s="30"/>
      <c r="Q118" s="30">
        <v>80</v>
      </c>
    </row>
    <row r="119" spans="1:17" ht="76.5" x14ac:dyDescent="0.25">
      <c r="A119" s="19">
        <v>114</v>
      </c>
      <c r="B119" s="19"/>
      <c r="C119" s="20" t="s">
        <v>33</v>
      </c>
      <c r="D119" s="20" t="s">
        <v>152</v>
      </c>
      <c r="E119" s="20" t="s">
        <v>178</v>
      </c>
      <c r="F119" s="20" t="s">
        <v>352</v>
      </c>
      <c r="G119" s="20"/>
      <c r="H119" s="20"/>
      <c r="I119" s="20" t="s">
        <v>488</v>
      </c>
      <c r="J119" s="20">
        <v>1</v>
      </c>
      <c r="K119" s="20"/>
      <c r="L119" s="20" t="s">
        <v>515</v>
      </c>
      <c r="M119" s="20"/>
      <c r="N119" s="29" t="s">
        <v>612</v>
      </c>
      <c r="O119" s="30"/>
      <c r="P119" s="30"/>
      <c r="Q119" s="30">
        <v>5</v>
      </c>
    </row>
    <row r="120" spans="1:17" ht="76.5" x14ac:dyDescent="0.25">
      <c r="A120" s="19">
        <v>115</v>
      </c>
      <c r="B120" s="19"/>
      <c r="C120" s="20" t="s">
        <v>33</v>
      </c>
      <c r="D120" s="20" t="s">
        <v>153</v>
      </c>
      <c r="E120" s="20" t="s">
        <v>178</v>
      </c>
      <c r="F120" s="20" t="s">
        <v>353</v>
      </c>
      <c r="G120" s="20"/>
      <c r="H120" s="20"/>
      <c r="I120" s="20" t="s">
        <v>489</v>
      </c>
      <c r="J120" s="20">
        <v>1</v>
      </c>
      <c r="K120" s="20"/>
      <c r="L120" s="20" t="s">
        <v>515</v>
      </c>
      <c r="M120" s="20"/>
      <c r="N120" s="29" t="s">
        <v>612</v>
      </c>
      <c r="O120" s="30"/>
      <c r="P120" s="30"/>
      <c r="Q120" s="30">
        <v>5</v>
      </c>
    </row>
    <row r="121" spans="1:17" ht="76.5" x14ac:dyDescent="0.25">
      <c r="A121" s="19">
        <v>116</v>
      </c>
      <c r="B121" s="19"/>
      <c r="C121" s="20" t="s">
        <v>33</v>
      </c>
      <c r="D121" s="20" t="s">
        <v>154</v>
      </c>
      <c r="E121" s="20" t="s">
        <v>178</v>
      </c>
      <c r="F121" s="20" t="s">
        <v>354</v>
      </c>
      <c r="G121" s="20"/>
      <c r="H121" s="20"/>
      <c r="I121" s="20" t="s">
        <v>490</v>
      </c>
      <c r="J121" s="20">
        <v>1</v>
      </c>
      <c r="K121" s="20"/>
      <c r="L121" s="20" t="s">
        <v>515</v>
      </c>
      <c r="M121" s="20"/>
      <c r="N121" s="29" t="s">
        <v>612</v>
      </c>
      <c r="O121" s="30"/>
      <c r="P121" s="30"/>
      <c r="Q121" s="30">
        <v>5</v>
      </c>
    </row>
    <row r="122" spans="1:17" ht="76.5" x14ac:dyDescent="0.25">
      <c r="A122" s="19">
        <v>117</v>
      </c>
      <c r="B122" s="19"/>
      <c r="C122" s="20" t="s">
        <v>33</v>
      </c>
      <c r="D122" s="20" t="s">
        <v>155</v>
      </c>
      <c r="E122" s="20" t="s">
        <v>178</v>
      </c>
      <c r="F122" s="20" t="s">
        <v>355</v>
      </c>
      <c r="G122" s="20"/>
      <c r="H122" s="20"/>
      <c r="I122" s="20" t="s">
        <v>491</v>
      </c>
      <c r="J122" s="20">
        <v>1</v>
      </c>
      <c r="K122" s="20"/>
      <c r="L122" s="20" t="s">
        <v>515</v>
      </c>
      <c r="M122" s="20"/>
      <c r="N122" s="29" t="s">
        <v>612</v>
      </c>
      <c r="O122" s="30"/>
      <c r="P122" s="30"/>
      <c r="Q122" s="30">
        <v>5</v>
      </c>
    </row>
    <row r="123" spans="1:17" ht="76.5" x14ac:dyDescent="0.25">
      <c r="A123" s="19">
        <v>118</v>
      </c>
      <c r="B123" s="19"/>
      <c r="C123" s="20" t="s">
        <v>33</v>
      </c>
      <c r="D123" s="20" t="s">
        <v>156</v>
      </c>
      <c r="E123" s="20" t="s">
        <v>178</v>
      </c>
      <c r="F123" s="20" t="s">
        <v>356</v>
      </c>
      <c r="G123" s="20"/>
      <c r="H123" s="20"/>
      <c r="I123" s="20" t="s">
        <v>492</v>
      </c>
      <c r="J123" s="20">
        <v>1</v>
      </c>
      <c r="K123" s="20"/>
      <c r="L123" s="20" t="s">
        <v>515</v>
      </c>
      <c r="M123" s="20"/>
      <c r="N123" s="34"/>
      <c r="O123" s="33" t="s">
        <v>613</v>
      </c>
      <c r="P123" s="34"/>
      <c r="Q123" s="34"/>
    </row>
    <row r="124" spans="1:17" ht="76.5" x14ac:dyDescent="0.25">
      <c r="A124" s="19">
        <v>119</v>
      </c>
      <c r="B124" s="19"/>
      <c r="C124" s="20" t="s">
        <v>33</v>
      </c>
      <c r="D124" s="20" t="s">
        <v>157</v>
      </c>
      <c r="E124" s="20" t="s">
        <v>178</v>
      </c>
      <c r="F124" s="20" t="s">
        <v>357</v>
      </c>
      <c r="G124" s="20"/>
      <c r="H124" s="20"/>
      <c r="I124" s="20" t="s">
        <v>493</v>
      </c>
      <c r="J124" s="20">
        <v>1</v>
      </c>
      <c r="K124" s="20"/>
      <c r="L124" s="20" t="s">
        <v>515</v>
      </c>
      <c r="M124" s="20"/>
      <c r="N124" s="29" t="s">
        <v>612</v>
      </c>
      <c r="O124" s="30"/>
      <c r="P124" s="30"/>
      <c r="Q124" s="30">
        <v>5</v>
      </c>
    </row>
    <row r="125" spans="1:17" ht="38.25" x14ac:dyDescent="0.25">
      <c r="A125" s="19">
        <v>120</v>
      </c>
      <c r="B125" s="19"/>
      <c r="C125" s="20" t="s">
        <v>33</v>
      </c>
      <c r="D125" s="20" t="s">
        <v>158</v>
      </c>
      <c r="E125" s="20" t="s">
        <v>177</v>
      </c>
      <c r="F125" s="20" t="s">
        <v>358</v>
      </c>
      <c r="G125" s="20"/>
      <c r="H125" s="20"/>
      <c r="I125" s="38" t="s">
        <v>494</v>
      </c>
      <c r="J125" s="20">
        <v>1</v>
      </c>
      <c r="K125" s="20"/>
      <c r="L125" s="20" t="s">
        <v>515</v>
      </c>
      <c r="M125" s="20"/>
      <c r="N125" s="34"/>
      <c r="O125" s="33" t="s">
        <v>613</v>
      </c>
      <c r="P125" s="34"/>
      <c r="Q125" s="34"/>
    </row>
    <row r="126" spans="1:17" ht="76.5" x14ac:dyDescent="0.25">
      <c r="A126" s="19">
        <v>121</v>
      </c>
      <c r="B126" s="19"/>
      <c r="C126" s="20" t="s">
        <v>33</v>
      </c>
      <c r="D126" s="20" t="s">
        <v>159</v>
      </c>
      <c r="E126" s="20" t="s">
        <v>178</v>
      </c>
      <c r="F126" s="20" t="s">
        <v>359</v>
      </c>
      <c r="G126" s="20"/>
      <c r="H126" s="20"/>
      <c r="I126" s="20" t="s">
        <v>495</v>
      </c>
      <c r="J126" s="20">
        <v>1</v>
      </c>
      <c r="K126" s="20"/>
      <c r="L126" s="20" t="s">
        <v>515</v>
      </c>
      <c r="M126" s="20"/>
      <c r="N126" s="29" t="s">
        <v>612</v>
      </c>
      <c r="O126" s="30"/>
      <c r="P126" s="30"/>
      <c r="Q126" s="30">
        <v>5</v>
      </c>
    </row>
    <row r="127" spans="1:17" ht="76.5" x14ac:dyDescent="0.25">
      <c r="A127" s="19">
        <v>122</v>
      </c>
      <c r="B127" s="19"/>
      <c r="C127" s="20" t="s">
        <v>33</v>
      </c>
      <c r="D127" s="20" t="s">
        <v>517</v>
      </c>
      <c r="E127" s="20" t="s">
        <v>178</v>
      </c>
      <c r="F127" s="20" t="s">
        <v>360</v>
      </c>
      <c r="G127" s="20"/>
      <c r="H127" s="20"/>
      <c r="I127" s="20" t="s">
        <v>496</v>
      </c>
      <c r="J127" s="20">
        <v>1</v>
      </c>
      <c r="K127" s="20"/>
      <c r="L127" s="20" t="s">
        <v>515</v>
      </c>
      <c r="M127" s="20"/>
      <c r="N127" s="29" t="s">
        <v>612</v>
      </c>
      <c r="O127" s="30"/>
      <c r="P127" s="30"/>
      <c r="Q127" s="30">
        <v>5</v>
      </c>
    </row>
    <row r="128" spans="1:17" ht="76.5" x14ac:dyDescent="0.25">
      <c r="A128" s="19">
        <v>123</v>
      </c>
      <c r="B128" s="19"/>
      <c r="C128" s="20" t="s">
        <v>33</v>
      </c>
      <c r="D128" s="20" t="s">
        <v>160</v>
      </c>
      <c r="E128" s="20" t="s">
        <v>178</v>
      </c>
      <c r="F128" s="20" t="s">
        <v>361</v>
      </c>
      <c r="G128" s="20"/>
      <c r="H128" s="20"/>
      <c r="I128" s="20" t="s">
        <v>497</v>
      </c>
      <c r="J128" s="20">
        <v>1</v>
      </c>
      <c r="K128" s="20"/>
      <c r="L128" s="20" t="s">
        <v>515</v>
      </c>
      <c r="M128" s="20"/>
      <c r="N128" s="29" t="s">
        <v>612</v>
      </c>
      <c r="O128" s="30"/>
      <c r="P128" s="30"/>
      <c r="Q128" s="30">
        <v>5</v>
      </c>
    </row>
    <row r="129" spans="1:17" ht="76.5" x14ac:dyDescent="0.25">
      <c r="A129" s="19">
        <v>124</v>
      </c>
      <c r="B129" s="19"/>
      <c r="C129" s="20" t="s">
        <v>33</v>
      </c>
      <c r="D129" s="20" t="s">
        <v>161</v>
      </c>
      <c r="E129" s="20" t="s">
        <v>227</v>
      </c>
      <c r="F129" s="20" t="s">
        <v>362</v>
      </c>
      <c r="G129" s="20"/>
      <c r="H129" s="20"/>
      <c r="I129" s="38" t="s">
        <v>498</v>
      </c>
      <c r="J129" s="20">
        <v>2</v>
      </c>
      <c r="K129" s="20"/>
      <c r="L129" s="20" t="s">
        <v>515</v>
      </c>
      <c r="M129" s="20"/>
      <c r="N129" s="34"/>
      <c r="O129" s="33" t="s">
        <v>613</v>
      </c>
      <c r="P129" s="34"/>
      <c r="Q129" s="34"/>
    </row>
    <row r="130" spans="1:17" ht="102" x14ac:dyDescent="0.25">
      <c r="A130" s="19">
        <v>125</v>
      </c>
      <c r="B130" s="19"/>
      <c r="C130" s="20" t="s">
        <v>34</v>
      </c>
      <c r="D130" s="20" t="s">
        <v>162</v>
      </c>
      <c r="E130" s="20" t="s">
        <v>228</v>
      </c>
      <c r="F130" s="20" t="s">
        <v>363</v>
      </c>
      <c r="G130" s="20"/>
      <c r="H130" s="20"/>
      <c r="I130" s="20" t="s">
        <v>499</v>
      </c>
      <c r="J130" s="20">
        <v>3</v>
      </c>
      <c r="K130" s="20"/>
      <c r="L130" s="20" t="s">
        <v>515</v>
      </c>
      <c r="M130" s="20"/>
      <c r="N130" s="29" t="s">
        <v>612</v>
      </c>
      <c r="O130" s="30"/>
      <c r="P130" s="30"/>
      <c r="Q130" s="30">
        <v>15</v>
      </c>
    </row>
    <row r="131" spans="1:17" ht="63.75" x14ac:dyDescent="0.25">
      <c r="A131" s="19">
        <v>126</v>
      </c>
      <c r="B131" s="19"/>
      <c r="C131" s="20" t="s">
        <v>34</v>
      </c>
      <c r="D131" s="20" t="s">
        <v>163</v>
      </c>
      <c r="E131" s="20" t="s">
        <v>229</v>
      </c>
      <c r="F131" s="20" t="s">
        <v>364</v>
      </c>
      <c r="G131" s="20"/>
      <c r="H131" s="20"/>
      <c r="I131" s="20" t="s">
        <v>500</v>
      </c>
      <c r="J131" s="20">
        <v>1</v>
      </c>
      <c r="K131" s="20"/>
      <c r="L131" s="20" t="s">
        <v>515</v>
      </c>
      <c r="M131" s="20"/>
      <c r="N131" s="29" t="s">
        <v>612</v>
      </c>
      <c r="O131" s="30"/>
      <c r="P131" s="30"/>
      <c r="Q131" s="30">
        <v>5</v>
      </c>
    </row>
    <row r="132" spans="1:17" ht="51" x14ac:dyDescent="0.25">
      <c r="A132" s="19">
        <v>127</v>
      </c>
      <c r="B132" s="19"/>
      <c r="C132" s="20" t="s">
        <v>35</v>
      </c>
      <c r="D132" s="20" t="s">
        <v>164</v>
      </c>
      <c r="E132" s="20" t="s">
        <v>230</v>
      </c>
      <c r="F132" s="20" t="s">
        <v>365</v>
      </c>
      <c r="G132" s="20"/>
      <c r="H132" s="20"/>
      <c r="I132" s="20" t="s">
        <v>501</v>
      </c>
      <c r="J132" s="20">
        <v>1</v>
      </c>
      <c r="K132" s="20"/>
      <c r="L132" s="20" t="s">
        <v>515</v>
      </c>
      <c r="M132" s="20"/>
      <c r="N132" s="29" t="s">
        <v>612</v>
      </c>
      <c r="O132" s="30"/>
      <c r="P132" s="30"/>
      <c r="Q132" s="30">
        <v>5</v>
      </c>
    </row>
    <row r="133" spans="1:17" ht="102" x14ac:dyDescent="0.25">
      <c r="A133" s="19">
        <v>128</v>
      </c>
      <c r="B133" s="19"/>
      <c r="C133" s="20" t="s">
        <v>36</v>
      </c>
      <c r="D133" s="20" t="s">
        <v>165</v>
      </c>
      <c r="E133" s="20" t="s">
        <v>231</v>
      </c>
      <c r="F133" s="20" t="s">
        <v>366</v>
      </c>
      <c r="G133" s="20"/>
      <c r="H133" s="20"/>
      <c r="I133" s="20" t="s">
        <v>502</v>
      </c>
      <c r="J133" s="20">
        <v>24</v>
      </c>
      <c r="K133" s="20"/>
      <c r="L133" s="20" t="s">
        <v>515</v>
      </c>
      <c r="M133" s="20"/>
      <c r="N133" s="29" t="s">
        <v>612</v>
      </c>
      <c r="O133" s="30"/>
      <c r="P133" s="30"/>
      <c r="Q133" s="30">
        <v>120</v>
      </c>
    </row>
    <row r="134" spans="1:17" ht="63.75" x14ac:dyDescent="0.25">
      <c r="A134" s="19">
        <v>129</v>
      </c>
      <c r="B134" s="19"/>
      <c r="C134" s="20" t="s">
        <v>25</v>
      </c>
      <c r="D134" s="20" t="s">
        <v>166</v>
      </c>
      <c r="E134" s="20" t="s">
        <v>232</v>
      </c>
      <c r="F134" s="20" t="s">
        <v>367</v>
      </c>
      <c r="G134" s="20"/>
      <c r="H134" s="20"/>
      <c r="I134" s="20" t="s">
        <v>503</v>
      </c>
      <c r="J134" s="20">
        <v>1</v>
      </c>
      <c r="K134" s="20"/>
      <c r="L134" s="20" t="s">
        <v>516</v>
      </c>
      <c r="M134" s="20"/>
      <c r="N134" s="29" t="s">
        <v>612</v>
      </c>
      <c r="O134" s="30"/>
      <c r="P134" s="30"/>
      <c r="Q134" s="30">
        <v>5</v>
      </c>
    </row>
    <row r="135" spans="1:17" ht="89.25" x14ac:dyDescent="0.25">
      <c r="A135" s="19">
        <v>130</v>
      </c>
      <c r="B135" s="19"/>
      <c r="C135" s="20" t="s">
        <v>25</v>
      </c>
      <c r="D135" s="20" t="s">
        <v>167</v>
      </c>
      <c r="E135" s="20" t="s">
        <v>233</v>
      </c>
      <c r="F135" s="20" t="s">
        <v>368</v>
      </c>
      <c r="G135" s="20"/>
      <c r="H135" s="20"/>
      <c r="I135" s="20" t="s">
        <v>504</v>
      </c>
      <c r="J135" s="20">
        <v>1</v>
      </c>
      <c r="K135" s="20"/>
      <c r="L135" s="20" t="s">
        <v>516</v>
      </c>
      <c r="M135" s="20"/>
      <c r="N135" s="29" t="s">
        <v>612</v>
      </c>
      <c r="O135" s="30"/>
      <c r="P135" s="30"/>
      <c r="Q135" s="30">
        <v>5</v>
      </c>
    </row>
    <row r="136" spans="1:17" ht="140.25" x14ac:dyDescent="0.25">
      <c r="A136" s="19">
        <v>131</v>
      </c>
      <c r="B136" s="19"/>
      <c r="C136" s="20" t="s">
        <v>25</v>
      </c>
      <c r="D136" s="20" t="s">
        <v>168</v>
      </c>
      <c r="E136" s="20" t="s">
        <v>234</v>
      </c>
      <c r="F136" s="20" t="s">
        <v>369</v>
      </c>
      <c r="G136" s="20"/>
      <c r="H136" s="20"/>
      <c r="I136" s="20" t="s">
        <v>505</v>
      </c>
      <c r="J136" s="20">
        <v>3</v>
      </c>
      <c r="K136" s="20"/>
      <c r="L136" s="20" t="s">
        <v>516</v>
      </c>
      <c r="M136" s="20"/>
      <c r="N136" s="29" t="s">
        <v>612</v>
      </c>
      <c r="O136" s="30"/>
      <c r="P136" s="30"/>
      <c r="Q136" s="30">
        <v>15</v>
      </c>
    </row>
    <row r="137" spans="1:17" ht="76.5" x14ac:dyDescent="0.25">
      <c r="A137" s="19">
        <v>132</v>
      </c>
      <c r="B137" s="19"/>
      <c r="C137" s="20" t="s">
        <v>25</v>
      </c>
      <c r="D137" s="20" t="s">
        <v>169</v>
      </c>
      <c r="E137" s="20" t="s">
        <v>235</v>
      </c>
      <c r="F137" s="20" t="s">
        <v>370</v>
      </c>
      <c r="G137" s="20"/>
      <c r="H137" s="20"/>
      <c r="I137" s="38" t="s">
        <v>506</v>
      </c>
      <c r="J137" s="20">
        <v>1</v>
      </c>
      <c r="K137" s="20"/>
      <c r="L137" s="20" t="s">
        <v>516</v>
      </c>
      <c r="M137" s="20"/>
      <c r="N137" s="35"/>
      <c r="O137" s="23" t="s">
        <v>613</v>
      </c>
      <c r="P137" s="23"/>
      <c r="Q137" s="23"/>
    </row>
    <row r="138" spans="1:17" ht="76.5" x14ac:dyDescent="0.25">
      <c r="A138" s="19">
        <v>133</v>
      </c>
      <c r="B138" s="19"/>
      <c r="C138" s="20" t="s">
        <v>25</v>
      </c>
      <c r="D138" s="20" t="s">
        <v>169</v>
      </c>
      <c r="E138" s="20" t="s">
        <v>236</v>
      </c>
      <c r="F138" s="20" t="s">
        <v>371</v>
      </c>
      <c r="G138" s="20"/>
      <c r="H138" s="20"/>
      <c r="I138" s="20" t="s">
        <v>507</v>
      </c>
      <c r="J138" s="20">
        <v>1</v>
      </c>
      <c r="K138" s="20"/>
      <c r="L138" s="20" t="s">
        <v>516</v>
      </c>
      <c r="M138" s="20"/>
      <c r="N138" s="29" t="s">
        <v>612</v>
      </c>
      <c r="O138" s="31"/>
      <c r="P138" s="31"/>
      <c r="Q138" s="31">
        <v>5</v>
      </c>
    </row>
    <row r="139" spans="1:17" ht="25.5" x14ac:dyDescent="0.25">
      <c r="A139" s="19">
        <v>134</v>
      </c>
      <c r="B139" s="19"/>
      <c r="C139" s="20" t="s">
        <v>25</v>
      </c>
      <c r="D139" s="20" t="s">
        <v>170</v>
      </c>
      <c r="E139" s="20"/>
      <c r="F139" s="20" t="s">
        <v>170</v>
      </c>
      <c r="G139" s="20"/>
      <c r="H139" s="20"/>
      <c r="I139" s="38" t="s">
        <v>508</v>
      </c>
      <c r="J139" s="20">
        <v>1</v>
      </c>
      <c r="K139" s="20"/>
      <c r="L139" s="20" t="s">
        <v>516</v>
      </c>
      <c r="M139" s="20"/>
      <c r="N139" s="34"/>
      <c r="O139" s="33" t="s">
        <v>613</v>
      </c>
      <c r="P139" s="34"/>
      <c r="Q139" s="34"/>
    </row>
    <row r="140" spans="1:17" ht="102" x14ac:dyDescent="0.25">
      <c r="A140" s="19">
        <v>135</v>
      </c>
      <c r="B140" s="19"/>
      <c r="C140" s="20" t="s">
        <v>30</v>
      </c>
      <c r="D140" s="20" t="s">
        <v>171</v>
      </c>
      <c r="E140" s="20" t="s">
        <v>223</v>
      </c>
      <c r="F140" s="20" t="s">
        <v>372</v>
      </c>
      <c r="G140" s="20"/>
      <c r="H140" s="20"/>
      <c r="I140" s="20" t="s">
        <v>509</v>
      </c>
      <c r="J140" s="20">
        <v>2</v>
      </c>
      <c r="K140" s="20"/>
      <c r="L140" s="20" t="s">
        <v>516</v>
      </c>
      <c r="M140" s="20"/>
      <c r="N140" s="29" t="s">
        <v>612</v>
      </c>
      <c r="O140" s="30"/>
      <c r="P140" s="30"/>
      <c r="Q140" s="30">
        <v>10</v>
      </c>
    </row>
    <row r="141" spans="1:17" ht="89.25" x14ac:dyDescent="0.25">
      <c r="A141" s="19">
        <v>136</v>
      </c>
      <c r="B141" s="19"/>
      <c r="C141" s="20" t="s">
        <v>37</v>
      </c>
      <c r="D141" s="20" t="s">
        <v>172</v>
      </c>
      <c r="E141" s="20" t="s">
        <v>237</v>
      </c>
      <c r="F141" s="20" t="s">
        <v>373</v>
      </c>
      <c r="G141" s="20"/>
      <c r="H141" s="20"/>
      <c r="I141" s="20" t="s">
        <v>510</v>
      </c>
      <c r="J141" s="20">
        <v>1</v>
      </c>
      <c r="K141" s="20"/>
      <c r="L141" s="20" t="s">
        <v>516</v>
      </c>
      <c r="M141" s="20"/>
      <c r="N141" s="29" t="s">
        <v>612</v>
      </c>
      <c r="O141" s="30"/>
      <c r="P141" s="30"/>
      <c r="Q141" s="30">
        <v>5</v>
      </c>
    </row>
    <row r="142" spans="1:17" x14ac:dyDescent="0.25">
      <c r="A142" s="39"/>
      <c r="B142" s="39"/>
      <c r="C142" s="40"/>
      <c r="D142" s="41"/>
      <c r="E142" s="40"/>
      <c r="F142" s="40"/>
      <c r="G142" s="40"/>
      <c r="H142" s="40"/>
      <c r="I142" s="41"/>
      <c r="J142" s="40"/>
      <c r="K142" s="40"/>
      <c r="L142" s="40"/>
      <c r="M142" s="40"/>
    </row>
  </sheetData>
  <sheetProtection formatCells="0" sort="0" autoFilter="0"/>
  <autoFilter ref="A5:Q141" xr:uid="{00000000-0001-0000-0300-000000000000}"/>
  <mergeCells count="9">
    <mergeCell ref="A3:B3"/>
    <mergeCell ref="A4:B4"/>
    <mergeCell ref="J3:M3"/>
    <mergeCell ref="J4:M4"/>
    <mergeCell ref="A1:C2"/>
    <mergeCell ref="D1:I1"/>
    <mergeCell ref="D2:I2"/>
    <mergeCell ref="J1:L1"/>
    <mergeCell ref="J2:L2"/>
  </mergeCells>
  <conditionalFormatting sqref="D1:D1048576">
    <cfRule type="duplicateValues" dxfId="7" priority="1"/>
    <cfRule type="duplicateValues" dxfId="6" priority="104"/>
  </conditionalFormatting>
  <conditionalFormatting sqref="D3:D5">
    <cfRule type="duplicateValues" dxfId="5" priority="84"/>
  </conditionalFormatting>
  <conditionalFormatting sqref="E4">
    <cfRule type="duplicateValues" dxfId="4" priority="69"/>
  </conditionalFormatting>
  <conditionalFormatting sqref="F3:F4">
    <cfRule type="duplicateValues" dxfId="3" priority="82"/>
  </conditionalFormatting>
  <conditionalFormatting sqref="F5">
    <cfRule type="duplicateValues" dxfId="2" priority="83"/>
  </conditionalFormatting>
  <conditionalFormatting sqref="H3:H4">
    <cfRule type="duplicateValues" dxfId="1" priority="77"/>
  </conditionalFormatting>
  <conditionalFormatting sqref="H5">
    <cfRule type="duplicateValues" dxfId="0" priority="78"/>
  </conditionalFormatting>
  <pageMargins left="0.59055118110236227" right="0.39370078740157483" top="0.78740157480314965" bottom="0.39370078740157483" header="0" footer="0.19685039370078741"/>
  <pageSetup paperSize="9" scale="76" fitToHeight="0" orientation="landscape" r:id="rId1"/>
  <headerFooter>
    <oddFooter>&amp;C&amp;"Times New Roman,Regular"&amp;P/&amp;N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GX Board</vt:lpstr>
      <vt:lpstr>Vat_tu_phu</vt:lpstr>
      <vt:lpstr>Cambox V4</vt:lpstr>
      <vt:lpstr>Board_RK3562</vt:lpstr>
      <vt:lpstr>Board_RK3562!Print_Titles</vt:lpstr>
      <vt:lpstr>'Cambox V4'!Print_Titles</vt:lpstr>
      <vt:lpstr>'GX Board'!Print_Titles</vt:lpstr>
      <vt:lpstr>Vat_tu_phu!Print_Titles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Nguyễn</dc:creator>
  <cp:lastModifiedBy>TungNM</cp:lastModifiedBy>
  <cp:lastPrinted>2026-05-06T01:28:53Z</cp:lastPrinted>
  <dcterms:created xsi:type="dcterms:W3CDTF">2019-04-22T01:46:19Z</dcterms:created>
  <dcterms:modified xsi:type="dcterms:W3CDTF">2026-05-09T08:03:51Z</dcterms:modified>
</cp:coreProperties>
</file>