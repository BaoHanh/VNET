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BAN GIAO CUONG LM\Project 2021\08. VNGS01\Design\Ver1.3.230410\BOM\"/>
    </mc:Choice>
  </mc:AlternateContent>
  <bookViews>
    <workbookView xWindow="-120" yWindow="-120" windowWidth="29040" windowHeight="15990"/>
  </bookViews>
  <sheets>
    <sheet name="15-12-2020" sheetId="1" r:id="rId1"/>
  </sheets>
  <definedNames>
    <definedName name="_xlnm._FilterDatabase" localSheetId="0" hidden="1">'15-12-2020'!$G$1:$G$59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8" i="1" l="1"/>
  <c r="N59" i="1"/>
  <c r="N58" i="1"/>
  <c r="N57" i="1"/>
  <c r="N56" i="1"/>
  <c r="N55" i="1"/>
  <c r="N54" i="1"/>
  <c r="N53" i="1"/>
  <c r="N50" i="1"/>
  <c r="N52" i="1"/>
  <c r="N51" i="1"/>
  <c r="N37" i="1"/>
  <c r="N44" i="1"/>
  <c r="N46" i="1"/>
  <c r="N35" i="1"/>
  <c r="N38" i="1"/>
  <c r="N40" i="1"/>
  <c r="N36" i="1"/>
  <c r="N45" i="1"/>
  <c r="N39" i="1"/>
  <c r="N34" i="1"/>
  <c r="N41" i="1"/>
  <c r="N43" i="1"/>
  <c r="N42" i="1"/>
  <c r="N47" i="1"/>
  <c r="N32" i="1"/>
  <c r="N31" i="1"/>
  <c r="N30" i="1"/>
  <c r="N29" i="1"/>
  <c r="N25" i="1"/>
  <c r="N26" i="1"/>
  <c r="N28" i="1"/>
  <c r="N27" i="1"/>
  <c r="N67" i="1"/>
  <c r="N63" i="1"/>
  <c r="N69" i="1"/>
  <c r="N62" i="1"/>
  <c r="N61" i="1"/>
  <c r="N24" i="1"/>
  <c r="N23" i="1"/>
  <c r="N22" i="1"/>
  <c r="N21" i="1"/>
  <c r="N20" i="1"/>
  <c r="N19" i="1"/>
  <c r="N64" i="1"/>
  <c r="N66" i="1"/>
  <c r="N4" i="1"/>
  <c r="N8" i="1"/>
  <c r="N7" i="1"/>
  <c r="N10" i="1"/>
  <c r="N9" i="1"/>
  <c r="N6" i="1"/>
  <c r="N14" i="1"/>
  <c r="N11" i="1"/>
  <c r="N3" i="1"/>
  <c r="N5" i="1"/>
  <c r="N13" i="1"/>
  <c r="N16" i="1"/>
  <c r="N12" i="1"/>
  <c r="N15" i="1"/>
  <c r="N17" i="1"/>
  <c r="N60" i="1"/>
  <c r="N68" i="1"/>
</calcChain>
</file>

<file path=xl/sharedStrings.xml><?xml version="1.0" encoding="utf-8"?>
<sst xmlns="http://schemas.openxmlformats.org/spreadsheetml/2006/main" count="457" uniqueCount="384">
  <si>
    <t>No</t>
  </si>
  <si>
    <t>Name VNET</t>
  </si>
  <si>
    <t>Part Number (VNET)</t>
  </si>
  <si>
    <t>Description</t>
  </si>
  <si>
    <t>Package</t>
  </si>
  <si>
    <t>Brand</t>
  </si>
  <si>
    <t>Categories</t>
  </si>
  <si>
    <t>Unit</t>
  </si>
  <si>
    <t>Note</t>
  </si>
  <si>
    <t>Lead time</t>
  </si>
  <si>
    <t>Country/Origin</t>
  </si>
  <si>
    <t>Comment</t>
  </si>
  <si>
    <t>MPN</t>
  </si>
  <si>
    <t>Antenna GSM PCB</t>
  </si>
  <si>
    <t>Footprint</t>
  </si>
  <si>
    <t>MFR</t>
  </si>
  <si>
    <t>Quantity/PCB</t>
  </si>
  <si>
    <t>Quantity</t>
  </si>
  <si>
    <t>Total 
(VND)</t>
  </si>
  <si>
    <t>Unit Price 
(VND)</t>
  </si>
  <si>
    <t>Part Number 
(Uni)</t>
  </si>
  <si>
    <t>Company ID</t>
  </si>
  <si>
    <t>VT_ANT_GPS 1596</t>
  </si>
  <si>
    <t>VT_CAP ALU 220uF 6.3V</t>
  </si>
  <si>
    <t>VT_CAP_C1210 3.3uF 100V</t>
  </si>
  <si>
    <t>VT_TỤ ĐIỆN_C0603 100nF, VT_CAP_C0603 100nF</t>
  </si>
  <si>
    <t>VT_CAP_C0603 10uF</t>
  </si>
  <si>
    <t>VT_CAP_C0603 1uF</t>
  </si>
  <si>
    <t>VT_CAP_C0603 33pF</t>
  </si>
  <si>
    <t>VT_CAP_C0603 10pF</t>
  </si>
  <si>
    <t>VT_CAP_C0603 82nF</t>
  </si>
  <si>
    <t>VT_CAP_C0603 2.2uF</t>
  </si>
  <si>
    <t>VT_TỤ ĐIỆN_C0402 56pF</t>
  </si>
  <si>
    <t>VT_TỤ ĐIỆN_C0402 470pF</t>
  </si>
  <si>
    <t>VT_TỤ ĐIỆN_C0603 1nF</t>
  </si>
  <si>
    <t>VT_TỤ ĐIỆN_C0603 150pF</t>
  </si>
  <si>
    <t>VT_TỤ ĐIỆN_C0603 220pF</t>
  </si>
  <si>
    <t>VT_TỤ ĐIỆN_C0603 22pF</t>
  </si>
  <si>
    <t>VT_CONN_DB9 male, thẳng</t>
  </si>
  <si>
    <t>VT_DIODE_PMEG6020ER</t>
  </si>
  <si>
    <t>VT_DIODE_ SMCJ45A</t>
  </si>
  <si>
    <t>VT_DIODE_ SMAJ5.0A</t>
  </si>
  <si>
    <t>VT_DIODE_1N4148W-7-F</t>
  </si>
  <si>
    <t>VT_LED_0603 RED</t>
  </si>
  <si>
    <t>VT_Fuse_60V - 750mA</t>
  </si>
  <si>
    <t>VT_CONN_2*2 (M3045)</t>
  </si>
  <si>
    <t>VT_CONN_IPEX</t>
  </si>
  <si>
    <t>VT_CONN_SIM MUP-C7801-2</t>
  </si>
  <si>
    <t>VT_IND_3225 2.2uH</t>
  </si>
  <si>
    <t>VT_IND_33uH/1.5A</t>
  </si>
  <si>
    <t>VT_IND_0603 23R/4A</t>
  </si>
  <si>
    <t>VT_IND_0402 6.8nH</t>
  </si>
  <si>
    <t>VT_Buzzer 3V 9mm SMD</t>
  </si>
  <si>
    <t>VT_TRANSISTOR_3904</t>
  </si>
  <si>
    <t>VT_TRANSISTOR_3906</t>
  </si>
  <si>
    <t>VT_ĐIỆN TRỞ_R0603 294K</t>
  </si>
  <si>
    <t>VT_RES_R0603 23.7K</t>
  </si>
  <si>
    <t>VT_ĐIỆN TRỞ_R0603 68K</t>
  </si>
  <si>
    <t>VT_ĐIỆN TRỞ_R0402 0R</t>
  </si>
  <si>
    <t>VT_RES_R0603 1K</t>
  </si>
  <si>
    <t>VT_RES_R0603 150K</t>
  </si>
  <si>
    <t>VT_ĐIỆN TRỞ_R0603 22R</t>
  </si>
  <si>
    <t>VT_RES_R0603 4.7K</t>
  </si>
  <si>
    <t>VT_RES_R0603 1M</t>
  </si>
  <si>
    <t>VT_ĐIỆN TRỞ_R0603 330R</t>
  </si>
  <si>
    <t>VT_ĐIỆN TRỞ_R0603 0R</t>
  </si>
  <si>
    <t>VT_ĐIỆN TRỞ_R0603 210K</t>
  </si>
  <si>
    <t>VT_ĐIỆN TRỞ_R0603 100K</t>
  </si>
  <si>
    <t>VT_RES_ R0603 120R</t>
  </si>
  <si>
    <t>VT_IC_LMR14030</t>
  </si>
  <si>
    <t>VT_IC_TLV73333</t>
  </si>
  <si>
    <t>VT_Module_A7672S</t>
  </si>
  <si>
    <t>VT_IC_MAX2659</t>
  </si>
  <si>
    <t>VT_IC_CR95HF</t>
  </si>
  <si>
    <t>VT_IC_Bộ nhớ 8M 02</t>
  </si>
  <si>
    <t>VT_IC_KXTJ3-1057</t>
  </si>
  <si>
    <t>VT_IC_LIS3DSH</t>
  </si>
  <si>
    <t>VT_CRYSTAL_SMD 27.12MHz</t>
  </si>
  <si>
    <t>Anten RF</t>
  </si>
  <si>
    <t>25x25x4</t>
  </si>
  <si>
    <t>220uF/6.3V</t>
  </si>
  <si>
    <t>3.3uF/100V</t>
  </si>
  <si>
    <t>100nF</t>
  </si>
  <si>
    <t>10uF</t>
  </si>
  <si>
    <t>1uF</t>
  </si>
  <si>
    <t>33pF</t>
  </si>
  <si>
    <t>10pF</t>
  </si>
  <si>
    <t>22nF</t>
  </si>
  <si>
    <t>2.2uF</t>
  </si>
  <si>
    <t>56pF</t>
  </si>
  <si>
    <t>470pF</t>
  </si>
  <si>
    <t>1nF</t>
  </si>
  <si>
    <t>150pF</t>
  </si>
  <si>
    <t>220pF</t>
  </si>
  <si>
    <t>22pF</t>
  </si>
  <si>
    <t>100nF_NM</t>
  </si>
  <si>
    <t>DB9 MALE</t>
  </si>
  <si>
    <t>60V 2A</t>
  </si>
  <si>
    <t>SMCJ45A</t>
  </si>
  <si>
    <t>SMAJ5.0A</t>
  </si>
  <si>
    <t>1N4148</t>
  </si>
  <si>
    <t>RED</t>
  </si>
  <si>
    <t>60V-750mA</t>
  </si>
  <si>
    <t>MX3.0 RA 2*2P S</t>
  </si>
  <si>
    <t>IPEX MHF1_NM</t>
  </si>
  <si>
    <t>Jumper 5</t>
  </si>
  <si>
    <t>MUP-C7801-2</t>
  </si>
  <si>
    <t>Test Point</t>
  </si>
  <si>
    <t>2.2uH</t>
  </si>
  <si>
    <t>33uH, 1.5A</t>
  </si>
  <si>
    <t>23R/4A</t>
  </si>
  <si>
    <t>6.8nH</t>
  </si>
  <si>
    <t>3V SMD</t>
  </si>
  <si>
    <t>2N3904</t>
  </si>
  <si>
    <t>IRLML6402</t>
  </si>
  <si>
    <t>2N3906</t>
  </si>
  <si>
    <t>294K</t>
  </si>
  <si>
    <t>23K7</t>
  </si>
  <si>
    <t>68K</t>
  </si>
  <si>
    <t>10K</t>
  </si>
  <si>
    <t>0R</t>
  </si>
  <si>
    <t>1K</t>
  </si>
  <si>
    <t>150K</t>
  </si>
  <si>
    <t>22R</t>
  </si>
  <si>
    <t>4.7K</t>
  </si>
  <si>
    <t>1M</t>
  </si>
  <si>
    <t>330R</t>
  </si>
  <si>
    <t>210K</t>
  </si>
  <si>
    <t>100K</t>
  </si>
  <si>
    <t>120R</t>
  </si>
  <si>
    <t>LMR14030</t>
  </si>
  <si>
    <t>TLV73333PDBVR</t>
  </si>
  <si>
    <t>A7672x</t>
  </si>
  <si>
    <t>MAX2659</t>
  </si>
  <si>
    <t>TXS0104EPWR</t>
  </si>
  <si>
    <t>CR95HF</t>
  </si>
  <si>
    <t>Flash 64Mbit</t>
  </si>
  <si>
    <t>KXTJ3-1057</t>
  </si>
  <si>
    <t>LIS3DSHTR</t>
  </si>
  <si>
    <t>Crystal 27.12MHz</t>
  </si>
  <si>
    <t>JTDT1575-1602S</t>
  </si>
  <si>
    <t>CS006M221E5APKKKV00R</t>
  </si>
  <si>
    <t>C3225X7S2A335M200AB</t>
  </si>
  <si>
    <t>CL10C104JB8NNNC</t>
  </si>
  <si>
    <t>EMK107BBJ106MA-T, CC0603KRX5R5BB106</t>
  </si>
  <si>
    <t>CC0603KPX5R9BB105</t>
  </si>
  <si>
    <t>AC0603FRNPO9BN330</t>
  </si>
  <si>
    <t>CL10C100JB8NNNC</t>
  </si>
  <si>
    <t>CL10B823KB8NNNC</t>
  </si>
  <si>
    <t>GRM188R61H225KE11J</t>
  </si>
  <si>
    <t>CC0402JRNPO9BN560</t>
  </si>
  <si>
    <t>CL05B471JB5NNNC</t>
  </si>
  <si>
    <t>CL10C102JB8NNNC</t>
  </si>
  <si>
    <t>CL10C151JB8NNNC</t>
  </si>
  <si>
    <t>CL10C221JB8NNNC</t>
  </si>
  <si>
    <t>CL10C220JB8NNNC</t>
  </si>
  <si>
    <t>772-E09-103R001</t>
  </si>
  <si>
    <t>PMEG6020ER,115</t>
  </si>
  <si>
    <t>SMCJ45A-E3/57T</t>
  </si>
  <si>
    <t>1N4148W-7-F</t>
  </si>
  <si>
    <t>QTLP601CRTR</t>
  </si>
  <si>
    <t>2016L075/60MR</t>
  </si>
  <si>
    <t>M3045-2x2-B</t>
  </si>
  <si>
    <t>RECE.20279.001E.01</t>
  </si>
  <si>
    <t>LQH32PN2R2NN0</t>
  </si>
  <si>
    <t>SWPA6028S330MT</t>
  </si>
  <si>
    <t>FBMJ1608HM230NT</t>
  </si>
  <si>
    <t>HK10056N8J-T</t>
  </si>
  <si>
    <t>CMI-9653S-SMT</t>
  </si>
  <si>
    <t>MMBT3904</t>
  </si>
  <si>
    <t>IRLML6402TRPBF</t>
  </si>
  <si>
    <t>MMBT3906</t>
  </si>
  <si>
    <t>RC0603FR-07294KL</t>
  </si>
  <si>
    <t>RC0603FR-0723K7L</t>
  </si>
  <si>
    <t>RC0603FR-0768KL</t>
  </si>
  <si>
    <t>RC0603FR-0710KL</t>
  </si>
  <si>
    <t>RC0402FR-070RL</t>
  </si>
  <si>
    <t>RC0603FR-071KL</t>
  </si>
  <si>
    <t>RE0603FRE07150KL</t>
  </si>
  <si>
    <t>RC0603FR-0722RL</t>
  </si>
  <si>
    <t>RC0603FR-074K7L</t>
  </si>
  <si>
    <t>RC0603FR-071ML</t>
  </si>
  <si>
    <t>RC0603FR-07330RL</t>
  </si>
  <si>
    <t>RC0603FR-070RL</t>
  </si>
  <si>
    <t>RC0603FR-07210KL</t>
  </si>
  <si>
    <t>RC0603FR-07100KL</t>
  </si>
  <si>
    <t>AF0603FR-07120RL</t>
  </si>
  <si>
    <t>LMR14030SDDAR</t>
  </si>
  <si>
    <t>A7672S</t>
  </si>
  <si>
    <t>MAX2659ELT+T</t>
  </si>
  <si>
    <t>CR95HF-VMD5T</t>
  </si>
  <si>
    <t>S25FL164K0XMFI013</t>
  </si>
  <si>
    <t>XRCGB27M120F3M00R0</t>
  </si>
  <si>
    <t>25x25x4mm thick GPS Patch Antenna</t>
  </si>
  <si>
    <t>CAP.EL.220uF 6.3V 6.3x5.4 85C 2000H SMT</t>
  </si>
  <si>
    <t>CAP CER 3.3UF 100V X7S 1210</t>
  </si>
  <si>
    <t>CAP CER 100nF 50V C0G/NP0 0603</t>
  </si>
  <si>
    <t>CAP CER 10UF 16V X5R 0603, CAP CER 10UF 6.3V X5R 0603</t>
  </si>
  <si>
    <t>CAP CER 1UF 50V X5R 0603</t>
  </si>
  <si>
    <t>CAP CER 33PF 50V C0G 0603</t>
  </si>
  <si>
    <t>CAP CER 10PF 50V C0G/NP0 0603</t>
  </si>
  <si>
    <t>CAP CER 0.022UF 50V X7R 0603</t>
  </si>
  <si>
    <t>CAP CER 2.2UF 50V X5R 0603</t>
  </si>
  <si>
    <t>CAP CER 56PF 50V C0G/NPO 0402</t>
  </si>
  <si>
    <t>CAP CER 470PF 50V X7R 0402</t>
  </si>
  <si>
    <t>CAP CER 1000PF 50V C0G/NP0 0603</t>
  </si>
  <si>
    <t>CAP CER 150PF 50V C0G/NP0 0603</t>
  </si>
  <si>
    <t>CAP CER 220PF 50V C0G/NP0 0603</t>
  </si>
  <si>
    <t>CAP CER 22PF 50V C0G/NP0 0603</t>
  </si>
  <si>
    <t>CONN D-SUB PLUG 9POS PNL MNT</t>
  </si>
  <si>
    <t>DIODE SCHOTTKY 60V 2A SOD123W</t>
  </si>
  <si>
    <t>TVS DIODE 45V 72.7V DO214AB</t>
  </si>
  <si>
    <t>TVS DIODE 5VWM 9.2VC SMA</t>
  </si>
  <si>
    <t>DIODE GEN PURP 100V 300MA SOD123</t>
  </si>
  <si>
    <t>LED RED CLEAR 0603 SMD</t>
  </si>
  <si>
    <t>PTC RESET FUSE 60V 750MA 2016</t>
  </si>
  <si>
    <t>Micro-Fit 3.0™ Straight Header, 3.00mm Pitch, Dual Row, 4 Circuits</t>
  </si>
  <si>
    <t>CONN UMC RCPT STR 50 OHM SMD</t>
  </si>
  <si>
    <t>Jumper 5, 2.54mmx5</t>
  </si>
  <si>
    <t>Socket Nano Sim 7pin (6+1)</t>
  </si>
  <si>
    <t>1mm - 1 layer</t>
  </si>
  <si>
    <t>FIXED IND 2.2UH 1.6A 76 MOHM SMD</t>
  </si>
  <si>
    <t>FIXED IND 33UH 1.5A 286 MOHM SMD</t>
  </si>
  <si>
    <t>FERRITE BEAD 23 OHM 0603 1LN</t>
  </si>
  <si>
    <t>FIXED IND 6.8NH 430MA 250 MOHM</t>
  </si>
  <si>
    <t>AUDIO MAGNETIC IND 2-5V SMD</t>
  </si>
  <si>
    <t>TRANS NPN 40V 0.2A SOT-23</t>
  </si>
  <si>
    <t>MOSFET P-CH 30V 3.6A SOT-23-3</t>
  </si>
  <si>
    <t>TRANS PNP 40V 0.2A SOT23</t>
  </si>
  <si>
    <t>RES SMD 294K OHM 1% 1/10W 0603</t>
  </si>
  <si>
    <t>RES SMD 23.7K OHM 1% 1/10W 0603</t>
  </si>
  <si>
    <t>RES SMD 68K OHM 1% 1/10W 0603</t>
  </si>
  <si>
    <t>RES SMD 10K OHM 1% 1/10W 0603</t>
  </si>
  <si>
    <t>RES SMD 0 OHM JUMPER 1/16W 0402</t>
  </si>
  <si>
    <t>RES SMD 1K OHM 1% 1/10W 0603</t>
  </si>
  <si>
    <t>RES SMD 150K OHM 1% 1/10W 0603</t>
  </si>
  <si>
    <t>RES SMD 22 OHM 1% 1/10W 0603</t>
  </si>
  <si>
    <t>RES SMD 4.7K OHM 1% 1/10W 0603</t>
  </si>
  <si>
    <t>RES SMD 1M OHM 1% 1/10W 0603</t>
  </si>
  <si>
    <t>RES SMD 330OHM 1% 1/10W 0603</t>
  </si>
  <si>
    <t>RES SMD 0 OHM JUMPER 1/10W 0603</t>
  </si>
  <si>
    <t>RES SMD 210K OHM 1% 1/10W 0603</t>
  </si>
  <si>
    <t>RES SMD 100K OHM 1% 1/10W 0603</t>
  </si>
  <si>
    <t>RES SMD 120 OHM 1% 1/10W 0603</t>
  </si>
  <si>
    <t>Switching Voltage Regulators</t>
  </si>
  <si>
    <t>IC REG LINEAR 3.3V 300MA SOT23-5</t>
  </si>
  <si>
    <t>LTE CAT 1 module, 2,3,4G</t>
  </si>
  <si>
    <t>IC RF AMP GPS 1575.42MHZ 6UDFN</t>
  </si>
  <si>
    <t>IC 4BIT NON-INV TRANSLTR 14TSSOP</t>
  </si>
  <si>
    <t>IC RFID RDR/TRN 13.56MZ 32VFQFPN</t>
  </si>
  <si>
    <t>IC FLASH 64MBIT CMOS SPI 8SOIC</t>
  </si>
  <si>
    <t>ACCELEROMETER 2-16G I2C 12LGA</t>
  </si>
  <si>
    <t>ACCEL 2-16G I2C/SPI 16LGA</t>
  </si>
  <si>
    <t>CRYSTAL 27.12MHz RoHS</t>
  </si>
  <si>
    <t>ANT_GSM</t>
  </si>
  <si>
    <t>Jinchang - 1575</t>
  </si>
  <si>
    <t>CAP-ALU-SMD 6.3x7.7x2.2</t>
  </si>
  <si>
    <t>1210 - C</t>
  </si>
  <si>
    <t>0603 - C</t>
  </si>
  <si>
    <t>0402 - C</t>
  </si>
  <si>
    <t>DSB 9M-SM</t>
  </si>
  <si>
    <t>SOD-123</t>
  </si>
  <si>
    <t>DIODE - SMC</t>
  </si>
  <si>
    <t>Diode - SMA</t>
  </si>
  <si>
    <t>LED - 0603 - R</t>
  </si>
  <si>
    <t>2016 - Fuse</t>
  </si>
  <si>
    <t>43045-M3045-2x2-B</t>
  </si>
  <si>
    <t>IPEX</t>
  </si>
  <si>
    <t>JP5 - Small_HOLE</t>
  </si>
  <si>
    <t>TP1</t>
  </si>
  <si>
    <t>1210 - L</t>
  </si>
  <si>
    <t>INDUCTOR-5D28</t>
  </si>
  <si>
    <t>0603 - L</t>
  </si>
  <si>
    <t>0402 - L</t>
  </si>
  <si>
    <t>Buzzer - SMD - 1</t>
  </si>
  <si>
    <t>SOT23B</t>
  </si>
  <si>
    <t>0603 - R</t>
  </si>
  <si>
    <t>0402 - R</t>
  </si>
  <si>
    <t>SOIC-8-TP</t>
  </si>
  <si>
    <t>SOT23-5</t>
  </si>
  <si>
    <t>A7672</t>
  </si>
  <si>
    <t>SOT886</t>
  </si>
  <si>
    <t>TSOP65P640X120-14N</t>
  </si>
  <si>
    <t>32-VFQFN</t>
  </si>
  <si>
    <t>8 - SOIC</t>
  </si>
  <si>
    <t>KIONIX_KXTJ3-1057</t>
  </si>
  <si>
    <t>QFN16P 3x3 - 1</t>
  </si>
  <si>
    <t>Crystal 2016</t>
  </si>
  <si>
    <t>Jinchang &amp; Amotech</t>
  </si>
  <si>
    <t>Su'scon</t>
  </si>
  <si>
    <t>TDK Corporation</t>
  </si>
  <si>
    <t>SAMSUNG</t>
  </si>
  <si>
    <t>Yageo</t>
  </si>
  <si>
    <t>Murata Electronics</t>
  </si>
  <si>
    <t>Samsung</t>
  </si>
  <si>
    <t>Norcomp Inc.</t>
  </si>
  <si>
    <t>NXP</t>
  </si>
  <si>
    <t>Vishay</t>
  </si>
  <si>
    <t>Littelfuse Inc.</t>
  </si>
  <si>
    <t>DIODES</t>
  </si>
  <si>
    <t>Everlight</t>
  </si>
  <si>
    <t>China</t>
  </si>
  <si>
    <t>Taoglas</t>
  </si>
  <si>
    <t>MUP</t>
  </si>
  <si>
    <t>Murata</t>
  </si>
  <si>
    <t>SunLord</t>
  </si>
  <si>
    <t>Taiyo Yuden</t>
  </si>
  <si>
    <t>Fairchild</t>
  </si>
  <si>
    <t>Infineon Technologies</t>
  </si>
  <si>
    <t>YAGEO</t>
  </si>
  <si>
    <t>TI</t>
  </si>
  <si>
    <t>SIMCOM</t>
  </si>
  <si>
    <t>Maxim Integrated</t>
  </si>
  <si>
    <t>ST</t>
  </si>
  <si>
    <t>Cypress</t>
  </si>
  <si>
    <t>Kionix Inc.</t>
  </si>
  <si>
    <t>Designator</t>
  </si>
  <si>
    <t>AT1</t>
  </si>
  <si>
    <t>AT2</t>
  </si>
  <si>
    <t>C1, C4, C13, C20</t>
  </si>
  <si>
    <t>C2</t>
  </si>
  <si>
    <t>C3, C5, C7, C8, C10, C12, C15, C21, C22, C29, C30, C32, C33, C43, C44, C45, C46, C48</t>
  </si>
  <si>
    <t>C6, C9, C11, C47</t>
  </si>
  <si>
    <t>C14</t>
  </si>
  <si>
    <t>C16</t>
  </si>
  <si>
    <t>C17</t>
  </si>
  <si>
    <t>C18</t>
  </si>
  <si>
    <t>C19</t>
  </si>
  <si>
    <t>C23</t>
  </si>
  <si>
    <t>C24</t>
  </si>
  <si>
    <t>C34</t>
  </si>
  <si>
    <t>C35, C36, C39, C40</t>
  </si>
  <si>
    <t>C37, C38</t>
  </si>
  <si>
    <t>C41, C42</t>
  </si>
  <si>
    <t>C49, C51</t>
  </si>
  <si>
    <t>COM1</t>
  </si>
  <si>
    <t>D1, D3, D7</t>
  </si>
  <si>
    <t>D2</t>
  </si>
  <si>
    <t>D4</t>
  </si>
  <si>
    <t>D5, D6, D8, D9, D10, D11, D12</t>
  </si>
  <si>
    <t>D13, D14, D15, D16</t>
  </si>
  <si>
    <t>F1</t>
  </si>
  <si>
    <t>H1, H2</t>
  </si>
  <si>
    <t>J1</t>
  </si>
  <si>
    <t>J2</t>
  </si>
  <si>
    <t>J3</t>
  </si>
  <si>
    <t>J4, J5, J6, J7, J8</t>
  </si>
  <si>
    <t>L1</t>
  </si>
  <si>
    <t>L2</t>
  </si>
  <si>
    <t>L3</t>
  </si>
  <si>
    <t>L4</t>
  </si>
  <si>
    <t>LS1</t>
  </si>
  <si>
    <t>Q13</t>
  </si>
  <si>
    <t>R1</t>
  </si>
  <si>
    <t>R2</t>
  </si>
  <si>
    <t>R3, R40, R41, R50, R52, R53</t>
  </si>
  <si>
    <t>R4, R5, R10, R11, R18, R19, R22, R23, R29, R30, R31, R33, R38, R39, R42, R43, R44, R45, R46, R47, R48, R55, R56, R60, R61, R69, R70, R71</t>
  </si>
  <si>
    <t>R9, R15, R21, R24, R32</t>
  </si>
  <si>
    <t>R12</t>
  </si>
  <si>
    <t>R13, R14, R17</t>
  </si>
  <si>
    <t>R16, R34, R35</t>
  </si>
  <si>
    <t>R25, R28</t>
  </si>
  <si>
    <t>R26, R27</t>
  </si>
  <si>
    <t>R51</t>
  </si>
  <si>
    <t>R54</t>
  </si>
  <si>
    <t>R64, R65, R66, R67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</si>
  <si>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</si>
  <si>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</si>
  <si>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</si>
  <si>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</si>
  <si>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</si>
  <si>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</si>
  <si>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</si>
  <si>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</si>
  <si>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</si>
  <si>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X1</t>
  </si>
  <si>
    <t xml:space="preserve"> VT_CAP_C0603 100nF</t>
  </si>
  <si>
    <t>VT_MOSFET_IRLML6402</t>
  </si>
  <si>
    <t>Q2,Q7</t>
  </si>
  <si>
    <t>Q1, Q3, Q4, Q5, Q6, Q8, Q9, Q10,Q11, Q12, Q14</t>
  </si>
  <si>
    <t>VT_RES_R0603 10K</t>
  </si>
  <si>
    <t>R6,R7</t>
  </si>
  <si>
    <t>R20,R49</t>
  </si>
  <si>
    <t>VT_IC_TXS0104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</si>
</sst>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6" formatCode="_-* #,##0_-;\-* #,##0_-;_-* &quot;-&quot;??_-;_-@_-"/>
  </numFmts>
  <fonts count="6" x14ac:knownFonts="1">
    <font>
      <sz val="11"/>
      <color theme="1"/>
      <name val="Calibri"/>
      <scheme val="minor"/>
    </font>
    <font>
      <sz val="11"/>
      <color theme="1"/>
      <name val="Times New Roman"/>
    </font>
    <font>
      <b/>
      <sz val="11"/>
      <color theme="1"/>
      <name val="Times New Roman"/>
    </font>
    <font>
      <sz val="11"/>
      <color theme="1"/>
      <name val="Calibri"/>
      <scheme val="minor"/>
    </font>
    <font>
      <sz val="11"/>
      <color theme="1"/>
      <name val="Arial"/>
    </font>
    <font>
      <b/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Alignment="0" applyProtection="0"/>
  </cellStyleXfs>
  <cellXfs count="21">
    <xf numFmtId="0" fontId="0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/>
      <protection locked="0"/>
    </xf>
    <xf numFmtId="0" fontId="5" fillId="2" borderId="2" xfId="0" applyNumberFormat="1" applyFont="1" applyFill="1" applyBorder="1" applyAlignment="1" applyProtection="1">
      <alignment horizontal="center" vertical="center" wrapText="1"/>
    </xf>
    <xf numFmtId="0" fontId="4" fillId="0" borderId="2" xfId="0" applyNumberFormat="1" applyFont="1" applyFill="1" applyBorder="1" applyAlignment="1" applyProtection="1">
      <alignment horizontal="center" vertical="center" wrapText="1"/>
    </xf>
    <xf numFmtId="0" fontId="4" fillId="0" borderId="2" xfId="0" applyNumberFormat="1" applyFont="1" applyFill="1" applyBorder="1" applyAlignment="1" applyProtection="1">
      <alignment horizontal="left" vertical="center" wrapText="1"/>
    </xf>
    <xf numFmtId="166" fontId="4" fillId="0" borderId="2" xfId="1" applyNumberFormat="1" applyFont="1" applyFill="1" applyBorder="1" applyAlignment="1" applyProtection="1">
      <alignment horizontal="left" vertical="center" wrapText="1"/>
    </xf>
    <xf numFmtId="0" fontId="4" fillId="0" borderId="2" xfId="0" applyNumberFormat="1" applyFont="1" applyFill="1" applyBorder="1" applyAlignment="1" applyProtection="1">
      <alignment horizontal="center" vertical="center" wrapText="1"/>
    </xf>
    <xf numFmtId="0" fontId="4" fillId="0" borderId="0" xfId="0" applyNumberFormat="1" applyFont="1" applyFill="1" applyBorder="1" applyAlignment="1" applyProtection="1">
      <alignment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4" fillId="0" borderId="3" xfId="0" applyNumberFormat="1" applyFont="1" applyFill="1" applyBorder="1" applyAlignment="1" applyProtection="1">
      <alignment horizontal="center" vertical="center" wrapText="1"/>
    </xf>
    <xf numFmtId="0" fontId="4" fillId="0" borderId="5" xfId="0" applyNumberFormat="1" applyFont="1" applyFill="1" applyBorder="1" applyAlignment="1" applyProtection="1">
      <alignment horizontal="center" vertical="center" wrapText="1"/>
    </xf>
    <xf numFmtId="0" fontId="4" fillId="0" borderId="4" xfId="0" applyNumberFormat="1" applyFont="1" applyFill="1" applyBorder="1" applyAlignment="1" applyProtection="1">
      <alignment horizontal="center" vertical="center" wrapText="1"/>
    </xf>
    <xf numFmtId="0" fontId="4" fillId="0" borderId="4" xfId="0" applyNumberFormat="1" applyFont="1" applyFill="1" applyBorder="1" applyAlignment="1" applyProtection="1">
      <alignment horizontal="left" vertical="center" wrapText="1"/>
    </xf>
    <xf numFmtId="166" fontId="4" fillId="0" borderId="4" xfId="1" applyNumberFormat="1" applyFont="1" applyFill="1" applyBorder="1" applyAlignment="1" applyProtection="1">
      <alignment horizontal="left" vertical="center" wrapText="1"/>
    </xf>
    <xf numFmtId="0" fontId="4" fillId="0" borderId="6" xfId="0" applyNumberFormat="1" applyFont="1" applyFill="1" applyBorder="1" applyAlignment="1" applyProtection="1">
      <alignment horizontal="center" vertical="center" wrapText="1"/>
    </xf>
    <xf numFmtId="0" fontId="4" fillId="0" borderId="6" xfId="0" applyNumberFormat="1" applyFont="1" applyFill="1" applyBorder="1" applyAlignment="1" applyProtection="1">
      <alignment horizontal="left" vertical="center" wrapText="1"/>
    </xf>
    <xf numFmtId="166" fontId="4" fillId="0" borderId="6" xfId="1" applyNumberFormat="1" applyFont="1" applyFill="1" applyBorder="1" applyAlignment="1" applyProtection="1">
      <alignment horizontal="left" vertical="center" wrapText="1"/>
    </xf>
  </cellXfs>
  <cellStyles count="2">
    <cellStyle name="Comma" xfId="1" builtinId="3"/>
    <cellStyle name="Normal" xfId="0" builtinId="0"/>
  </cellStyles>
  <dxfs count="3"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7"/>
  <sheetViews>
    <sheetView tabSelected="1" zoomScale="85" zoomScaleNormal="85" workbookViewId="0">
      <pane ySplit="1" topLeftCell="A2" activePane="bottomLeft" state="frozen"/>
      <selection pane="bottomLeft" activeCell="H16" sqref="H16"/>
    </sheetView>
  </sheetViews>
  <sheetFormatPr defaultColWidth="9.140625" defaultRowHeight="15" x14ac:dyDescent="0.25"/>
  <cols>
    <col min="1" max="1" width="5.7109375" style="2" customWidth="1"/>
    <col min="2" max="2" width="16.7109375" style="1" customWidth="1"/>
    <col min="3" max="3" width="37" style="1" customWidth="1"/>
    <col min="4" max="4" width="19.7109375" style="1" customWidth="1"/>
    <col min="5" max="5" width="25.7109375" style="1" customWidth="1"/>
    <col min="6" max="6" width="32.7109375" style="1" customWidth="1"/>
    <col min="7" max="8" width="15.7109375" style="1" customWidth="1"/>
    <col min="9" max="10" width="15.7109375" style="1" hidden="1" customWidth="1"/>
    <col min="11" max="11" width="15.7109375" style="1" customWidth="1"/>
    <col min="12" max="12" width="10.7109375" style="1" customWidth="1"/>
    <col min="13" max="13" width="18.7109375" style="1" customWidth="1"/>
    <col min="14" max="14" width="20" style="1" customWidth="1"/>
    <col min="15" max="15" width="54.85546875" style="1" customWidth="1"/>
    <col min="16" max="16" width="9.140625" style="1" customWidth="1"/>
    <col min="17" max="16384" width="9.140625" style="1"/>
  </cols>
  <sheetData>
    <row r="1" spans="1:15" s="5" customFormat="1" ht="30" x14ac:dyDescent="0.25">
      <c r="A1" s="6" t="s">
        <v>0</v>
      </c>
      <c r="B1" s="6" t="s">
        <v>6</v>
      </c>
      <c r="C1" s="6" t="s">
        <v>1</v>
      </c>
      <c r="D1" s="6" t="s">
        <v>2</v>
      </c>
      <c r="E1" s="6" t="s">
        <v>20</v>
      </c>
      <c r="F1" s="6" t="s">
        <v>3</v>
      </c>
      <c r="G1" s="6" t="s">
        <v>4</v>
      </c>
      <c r="H1" s="6" t="s">
        <v>5</v>
      </c>
      <c r="I1" s="6" t="s">
        <v>9</v>
      </c>
      <c r="J1" s="6" t="s">
        <v>10</v>
      </c>
      <c r="K1" s="6" t="s">
        <v>16</v>
      </c>
      <c r="L1" s="6" t="s">
        <v>7</v>
      </c>
      <c r="M1" s="6" t="s">
        <v>19</v>
      </c>
      <c r="N1" s="6" t="s">
        <v>18</v>
      </c>
      <c r="O1" s="6" t="s">
        <v>8</v>
      </c>
    </row>
    <row r="2" spans="1:15" s="3" customFormat="1" hidden="1" x14ac:dyDescent="0.25">
      <c r="A2" s="6" t="s">
        <v>0</v>
      </c>
      <c r="B2" s="6" t="s">
        <v>6</v>
      </c>
      <c r="C2" s="6" t="s">
        <v>21</v>
      </c>
      <c r="D2" s="6" t="s">
        <v>11</v>
      </c>
      <c r="E2" s="6" t="s">
        <v>12</v>
      </c>
      <c r="F2" s="6" t="s">
        <v>3</v>
      </c>
      <c r="G2" s="6" t="s">
        <v>14</v>
      </c>
      <c r="H2" s="6" t="s">
        <v>15</v>
      </c>
      <c r="I2" s="6"/>
      <c r="J2" s="6"/>
      <c r="K2" s="6" t="s">
        <v>17</v>
      </c>
      <c r="L2" s="6" t="s">
        <v>7</v>
      </c>
      <c r="M2" s="6"/>
      <c r="N2" s="6"/>
      <c r="O2" s="6" t="s">
        <v>316</v>
      </c>
    </row>
    <row r="3" spans="1:15" s="3" customFormat="1" ht="28.5" x14ac:dyDescent="0.25">
      <c r="A3" s="7"/>
      <c r="B3" s="8"/>
      <c r="C3" s="8" t="s">
        <v>29</v>
      </c>
      <c r="D3" s="8" t="s">
        <v>86</v>
      </c>
      <c r="E3" s="8" t="s">
        <v>147</v>
      </c>
      <c r="F3" s="8" t="s">
        <v>200</v>
      </c>
      <c r="G3" s="8" t="s">
        <v>258</v>
      </c>
      <c r="H3" s="8" t="s">
        <v>291</v>
      </c>
      <c r="I3" s="7"/>
      <c r="J3" s="7"/>
      <c r="K3" s="7">
        <v>1</v>
      </c>
      <c r="L3" s="7"/>
      <c r="M3" s="9"/>
      <c r="N3" s="9">
        <f>M3*K3</f>
        <v>0</v>
      </c>
      <c r="O3" s="8" t="s">
        <v>325</v>
      </c>
    </row>
    <row r="4" spans="1:15" s="3" customFormat="1" ht="28.5" x14ac:dyDescent="0.25">
      <c r="A4" s="7"/>
      <c r="B4" s="8"/>
      <c r="C4" s="8" t="s">
        <v>37</v>
      </c>
      <c r="D4" s="8" t="s">
        <v>94</v>
      </c>
      <c r="E4" s="8" t="s">
        <v>155</v>
      </c>
      <c r="F4" s="8" t="s">
        <v>208</v>
      </c>
      <c r="G4" s="8" t="s">
        <v>258</v>
      </c>
      <c r="H4" s="8" t="s">
        <v>291</v>
      </c>
      <c r="I4" s="7"/>
      <c r="J4" s="7"/>
      <c r="K4" s="7">
        <v>2</v>
      </c>
      <c r="L4" s="7"/>
      <c r="M4" s="9"/>
      <c r="N4" s="9">
        <f>M4*K4</f>
        <v>0</v>
      </c>
      <c r="O4" s="8" t="s">
        <v>333</v>
      </c>
    </row>
    <row r="5" spans="1:15" s="3" customFormat="1" ht="26.25" customHeight="1" x14ac:dyDescent="0.25">
      <c r="A5" s="7"/>
      <c r="B5" s="8"/>
      <c r="C5" s="8" t="s">
        <v>28</v>
      </c>
      <c r="D5" s="8" t="s">
        <v>85</v>
      </c>
      <c r="E5" s="8" t="s">
        <v>146</v>
      </c>
      <c r="F5" s="8" t="s">
        <v>199</v>
      </c>
      <c r="G5" s="8" t="s">
        <v>258</v>
      </c>
      <c r="H5" s="8" t="s">
        <v>292</v>
      </c>
      <c r="I5" s="7"/>
      <c r="J5" s="7"/>
      <c r="K5" s="7">
        <v>1</v>
      </c>
      <c r="L5" s="7"/>
      <c r="M5" s="9"/>
      <c r="N5" s="9">
        <f>M5*K5</f>
        <v>0</v>
      </c>
      <c r="O5" s="8" t="s">
        <v>324</v>
      </c>
    </row>
    <row r="6" spans="1:15" s="3" customFormat="1" ht="28.5" x14ac:dyDescent="0.25">
      <c r="A6" s="7"/>
      <c r="B6" s="8"/>
      <c r="C6" s="8" t="s">
        <v>32</v>
      </c>
      <c r="D6" s="8" t="s">
        <v>89</v>
      </c>
      <c r="E6" s="8" t="s">
        <v>150</v>
      </c>
      <c r="F6" s="8" t="s">
        <v>203</v>
      </c>
      <c r="G6" s="8" t="s">
        <v>259</v>
      </c>
      <c r="H6" s="8" t="s">
        <v>292</v>
      </c>
      <c r="I6" s="7"/>
      <c r="J6" s="7"/>
      <c r="K6" s="7">
        <v>1</v>
      </c>
      <c r="L6" s="7"/>
      <c r="M6" s="9"/>
      <c r="N6" s="9">
        <f>M6*K6</f>
        <v>0</v>
      </c>
      <c r="O6" s="8" t="s">
        <v>328</v>
      </c>
    </row>
    <row r="7" spans="1:15" s="3" customFormat="1" ht="28.5" x14ac:dyDescent="0.25">
      <c r="A7" s="7"/>
      <c r="B7" s="8"/>
      <c r="C7" s="8" t="s">
        <v>35</v>
      </c>
      <c r="D7" s="8" t="s">
        <v>92</v>
      </c>
      <c r="E7" s="8" t="s">
        <v>153</v>
      </c>
      <c r="F7" s="8" t="s">
        <v>206</v>
      </c>
      <c r="G7" s="8" t="s">
        <v>258</v>
      </c>
      <c r="H7" s="8" t="s">
        <v>291</v>
      </c>
      <c r="I7" s="7"/>
      <c r="J7" s="7"/>
      <c r="K7" s="7">
        <v>4</v>
      </c>
      <c r="L7" s="7"/>
      <c r="M7" s="9"/>
      <c r="N7" s="9">
        <f>M7*K7</f>
        <v>0</v>
      </c>
      <c r="O7" s="8" t="s">
        <v>331</v>
      </c>
    </row>
    <row r="8" spans="1:15" s="3" customFormat="1" ht="28.5" x14ac:dyDescent="0.25">
      <c r="A8" s="7"/>
      <c r="B8" s="8"/>
      <c r="C8" s="8" t="s">
        <v>36</v>
      </c>
      <c r="D8" s="8" t="s">
        <v>93</v>
      </c>
      <c r="E8" s="8" t="s">
        <v>154</v>
      </c>
      <c r="F8" s="8" t="s">
        <v>207</v>
      </c>
      <c r="G8" s="8" t="s">
        <v>258</v>
      </c>
      <c r="H8" s="8" t="s">
        <v>291</v>
      </c>
      <c r="I8" s="7"/>
      <c r="J8" s="7"/>
      <c r="K8" s="7">
        <v>2</v>
      </c>
      <c r="L8" s="7"/>
      <c r="M8" s="9"/>
      <c r="N8" s="9">
        <f>M8*K8</f>
        <v>0</v>
      </c>
      <c r="O8" s="8" t="s">
        <v>332</v>
      </c>
    </row>
    <row r="9" spans="1:15" s="3" customFormat="1" ht="28.5" x14ac:dyDescent="0.25">
      <c r="A9" s="7"/>
      <c r="B9" s="8"/>
      <c r="C9" s="8" t="s">
        <v>33</v>
      </c>
      <c r="D9" s="8" t="s">
        <v>90</v>
      </c>
      <c r="E9" s="8" t="s">
        <v>151</v>
      </c>
      <c r="F9" s="8" t="s">
        <v>204</v>
      </c>
      <c r="G9" s="8" t="s">
        <v>259</v>
      </c>
      <c r="H9" s="8" t="s">
        <v>294</v>
      </c>
      <c r="I9" s="7"/>
      <c r="J9" s="7"/>
      <c r="K9" s="7">
        <v>1</v>
      </c>
      <c r="L9" s="7"/>
      <c r="M9" s="9"/>
      <c r="N9" s="9">
        <f>M9*K9</f>
        <v>0</v>
      </c>
      <c r="O9" s="8" t="s">
        <v>329</v>
      </c>
    </row>
    <row r="10" spans="1:15" s="3" customFormat="1" ht="28.5" x14ac:dyDescent="0.25">
      <c r="A10" s="7"/>
      <c r="B10" s="8"/>
      <c r="C10" s="8" t="s">
        <v>34</v>
      </c>
      <c r="D10" s="8" t="s">
        <v>91</v>
      </c>
      <c r="E10" s="8" t="s">
        <v>152</v>
      </c>
      <c r="F10" s="8" t="s">
        <v>205</v>
      </c>
      <c r="G10" s="8" t="s">
        <v>258</v>
      </c>
      <c r="H10" s="8" t="s">
        <v>291</v>
      </c>
      <c r="I10" s="7"/>
      <c r="J10" s="7"/>
      <c r="K10" s="7">
        <v>1</v>
      </c>
      <c r="L10" s="7"/>
      <c r="M10" s="9"/>
      <c r="N10" s="9">
        <f>M10*K10</f>
        <v>0</v>
      </c>
      <c r="O10" s="8" t="s">
        <v>330</v>
      </c>
    </row>
    <row r="11" spans="1:15" s="3" customFormat="1" ht="28.5" x14ac:dyDescent="0.25">
      <c r="A11" s="7"/>
      <c r="B11" s="8"/>
      <c r="C11" s="8" t="s">
        <v>30</v>
      </c>
      <c r="D11" s="8" t="s">
        <v>87</v>
      </c>
      <c r="E11" s="8" t="s">
        <v>148</v>
      </c>
      <c r="F11" s="8" t="s">
        <v>201</v>
      </c>
      <c r="G11" s="8" t="s">
        <v>258</v>
      </c>
      <c r="H11" s="8" t="s">
        <v>291</v>
      </c>
      <c r="I11" s="7"/>
      <c r="J11" s="7"/>
      <c r="K11" s="7">
        <v>1</v>
      </c>
      <c r="L11" s="7"/>
      <c r="M11" s="9"/>
      <c r="N11" s="9">
        <f>M11*K11</f>
        <v>0</v>
      </c>
      <c r="O11" s="8" t="s">
        <v>326</v>
      </c>
    </row>
    <row r="12" spans="1:15" s="3" customFormat="1" ht="42.75" x14ac:dyDescent="0.25">
      <c r="A12" s="7"/>
      <c r="B12" s="8"/>
      <c r="C12" s="8" t="s">
        <v>376</v>
      </c>
      <c r="D12" s="8" t="s">
        <v>82</v>
      </c>
      <c r="E12" s="8" t="s">
        <v>143</v>
      </c>
      <c r="F12" s="8" t="s">
        <v>196</v>
      </c>
      <c r="G12" s="8" t="s">
        <v>258</v>
      </c>
      <c r="H12" s="8" t="s">
        <v>291</v>
      </c>
      <c r="I12" s="7"/>
      <c r="J12" s="7"/>
      <c r="K12" s="7">
        <v>18</v>
      </c>
      <c r="L12" s="7"/>
      <c r="M12" s="9"/>
      <c r="N12" s="9">
        <f>M12*K12</f>
        <v>0</v>
      </c>
      <c r="O12" s="8" t="s">
        <v>321</v>
      </c>
    </row>
    <row r="13" spans="1:15" s="3" customFormat="1" ht="23.25" customHeight="1" x14ac:dyDescent="0.25">
      <c r="A13" s="7"/>
      <c r="B13" s="8"/>
      <c r="C13" s="8" t="s">
        <v>27</v>
      </c>
      <c r="D13" s="8" t="s">
        <v>84</v>
      </c>
      <c r="E13" s="8" t="s">
        <v>145</v>
      </c>
      <c r="F13" s="8" t="s">
        <v>198</v>
      </c>
      <c r="G13" s="8" t="s">
        <v>258</v>
      </c>
      <c r="H13" s="8" t="s">
        <v>292</v>
      </c>
      <c r="I13" s="7"/>
      <c r="J13" s="7"/>
      <c r="K13" s="7">
        <v>1</v>
      </c>
      <c r="L13" s="7"/>
      <c r="M13" s="9"/>
      <c r="N13" s="9">
        <f>M13*K13</f>
        <v>0</v>
      </c>
      <c r="O13" s="8" t="s">
        <v>323</v>
      </c>
    </row>
    <row r="14" spans="1:15" s="3" customFormat="1" ht="28.5" x14ac:dyDescent="0.25">
      <c r="A14" s="7"/>
      <c r="B14" s="8"/>
      <c r="C14" s="8" t="s">
        <v>31</v>
      </c>
      <c r="D14" s="8" t="s">
        <v>88</v>
      </c>
      <c r="E14" s="8" t="s">
        <v>149</v>
      </c>
      <c r="F14" s="8" t="s">
        <v>202</v>
      </c>
      <c r="G14" s="8" t="s">
        <v>258</v>
      </c>
      <c r="H14" s="8" t="s">
        <v>293</v>
      </c>
      <c r="I14" s="7"/>
      <c r="J14" s="7"/>
      <c r="K14" s="7">
        <v>1</v>
      </c>
      <c r="L14" s="7"/>
      <c r="M14" s="9"/>
      <c r="N14" s="9">
        <f>M14*K14</f>
        <v>0</v>
      </c>
      <c r="O14" s="8" t="s">
        <v>327</v>
      </c>
    </row>
    <row r="15" spans="1:15" s="3" customFormat="1" ht="28.5" x14ac:dyDescent="0.25">
      <c r="A15" s="7"/>
      <c r="B15" s="8"/>
      <c r="C15" s="8" t="s">
        <v>24</v>
      </c>
      <c r="D15" s="8" t="s">
        <v>81</v>
      </c>
      <c r="E15" s="8" t="s">
        <v>142</v>
      </c>
      <c r="F15" s="8" t="s">
        <v>195</v>
      </c>
      <c r="G15" s="8" t="s">
        <v>257</v>
      </c>
      <c r="H15" s="8" t="s">
        <v>290</v>
      </c>
      <c r="I15" s="7"/>
      <c r="J15" s="7"/>
      <c r="K15" s="7">
        <v>1</v>
      </c>
      <c r="L15" s="7"/>
      <c r="M15" s="9"/>
      <c r="N15" s="9">
        <f>M15*K15</f>
        <v>0</v>
      </c>
      <c r="O15" s="8" t="s">
        <v>320</v>
      </c>
    </row>
    <row r="16" spans="1:15" s="3" customFormat="1" ht="28.5" x14ac:dyDescent="0.25">
      <c r="A16" s="7"/>
      <c r="B16" s="8"/>
      <c r="C16" s="8" t="s">
        <v>26</v>
      </c>
      <c r="D16" s="8" t="s">
        <v>83</v>
      </c>
      <c r="E16" s="8" t="s">
        <v>144</v>
      </c>
      <c r="F16" s="8" t="s">
        <v>197</v>
      </c>
      <c r="G16" s="8" t="s">
        <v>258</v>
      </c>
      <c r="H16" s="8" t="s">
        <v>292</v>
      </c>
      <c r="I16" s="7"/>
      <c r="J16" s="7"/>
      <c r="K16" s="7">
        <v>4</v>
      </c>
      <c r="L16" s="7"/>
      <c r="M16" s="9"/>
      <c r="N16" s="9">
        <f>M16*K16</f>
        <v>0</v>
      </c>
      <c r="O16" s="8" t="s">
        <v>322</v>
      </c>
    </row>
    <row r="17" spans="1:15" s="3" customFormat="1" ht="28.5" x14ac:dyDescent="0.25">
      <c r="A17" s="7"/>
      <c r="B17" s="8"/>
      <c r="C17" s="8" t="s">
        <v>23</v>
      </c>
      <c r="D17" s="8" t="s">
        <v>80</v>
      </c>
      <c r="E17" s="8" t="s">
        <v>141</v>
      </c>
      <c r="F17" s="8" t="s">
        <v>194</v>
      </c>
      <c r="G17" s="8" t="s">
        <v>256</v>
      </c>
      <c r="H17" s="8" t="s">
        <v>289</v>
      </c>
      <c r="I17" s="7"/>
      <c r="J17" s="7"/>
      <c r="K17" s="7">
        <v>4</v>
      </c>
      <c r="L17" s="7"/>
      <c r="M17" s="9"/>
      <c r="N17" s="9">
        <f t="shared" ref="N17" si="0">M17*K17</f>
        <v>0</v>
      </c>
      <c r="O17" s="8" t="s">
        <v>319</v>
      </c>
    </row>
    <row r="18" spans="1:15" s="3" customFormat="1" ht="45.75" customHeight="1" x14ac:dyDescent="0.25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4"/>
    </row>
    <row r="19" spans="1:15" s="3" customFormat="1" ht="28.5" x14ac:dyDescent="0.25">
      <c r="A19" s="7"/>
      <c r="B19" s="8"/>
      <c r="C19" s="8" t="s">
        <v>39</v>
      </c>
      <c r="D19" s="8" t="s">
        <v>97</v>
      </c>
      <c r="E19" s="8" t="s">
        <v>157</v>
      </c>
      <c r="F19" s="8" t="s">
        <v>210</v>
      </c>
      <c r="G19" s="8" t="s">
        <v>261</v>
      </c>
      <c r="H19" s="8" t="s">
        <v>296</v>
      </c>
      <c r="I19" s="7"/>
      <c r="J19" s="7"/>
      <c r="K19" s="7">
        <v>3</v>
      </c>
      <c r="L19" s="7"/>
      <c r="M19" s="9"/>
      <c r="N19" s="9">
        <f>M19*K19</f>
        <v>0</v>
      </c>
      <c r="O19" s="8" t="s">
        <v>336</v>
      </c>
    </row>
    <row r="20" spans="1:15" s="3" customFormat="1" ht="28.5" x14ac:dyDescent="0.25">
      <c r="A20" s="7"/>
      <c r="B20" s="8"/>
      <c r="C20" s="8" t="s">
        <v>40</v>
      </c>
      <c r="D20" s="8" t="s">
        <v>98</v>
      </c>
      <c r="E20" s="8" t="s">
        <v>158</v>
      </c>
      <c r="F20" s="8" t="s">
        <v>211</v>
      </c>
      <c r="G20" s="8" t="s">
        <v>262</v>
      </c>
      <c r="H20" s="8" t="s">
        <v>297</v>
      </c>
      <c r="I20" s="7"/>
      <c r="J20" s="7"/>
      <c r="K20" s="7">
        <v>1</v>
      </c>
      <c r="L20" s="7"/>
      <c r="M20" s="9"/>
      <c r="N20" s="9">
        <f>M20*K20</f>
        <v>0</v>
      </c>
      <c r="O20" s="8" t="s">
        <v>337</v>
      </c>
    </row>
    <row r="21" spans="1:15" s="3" customFormat="1" x14ac:dyDescent="0.25">
      <c r="A21" s="7"/>
      <c r="B21" s="8"/>
      <c r="C21" s="8" t="s">
        <v>41</v>
      </c>
      <c r="D21" s="8" t="s">
        <v>99</v>
      </c>
      <c r="E21" s="8" t="s">
        <v>99</v>
      </c>
      <c r="F21" s="8" t="s">
        <v>212</v>
      </c>
      <c r="G21" s="8" t="s">
        <v>263</v>
      </c>
      <c r="H21" s="8" t="s">
        <v>298</v>
      </c>
      <c r="I21" s="7"/>
      <c r="J21" s="7"/>
      <c r="K21" s="7">
        <v>1</v>
      </c>
      <c r="L21" s="7"/>
      <c r="M21" s="9"/>
      <c r="N21" s="9">
        <f>M21*K21</f>
        <v>0</v>
      </c>
      <c r="O21" s="8" t="s">
        <v>338</v>
      </c>
    </row>
    <row r="22" spans="1:15" s="3" customFormat="1" ht="28.5" x14ac:dyDescent="0.25">
      <c r="A22" s="7"/>
      <c r="B22" s="8"/>
      <c r="C22" s="8" t="s">
        <v>42</v>
      </c>
      <c r="D22" s="8" t="s">
        <v>100</v>
      </c>
      <c r="E22" s="8" t="s">
        <v>159</v>
      </c>
      <c r="F22" s="8" t="s">
        <v>213</v>
      </c>
      <c r="G22" s="8" t="s">
        <v>261</v>
      </c>
      <c r="H22" s="8" t="s">
        <v>299</v>
      </c>
      <c r="I22" s="7"/>
      <c r="J22" s="7"/>
      <c r="K22" s="7">
        <v>7</v>
      </c>
      <c r="L22" s="7"/>
      <c r="M22" s="9"/>
      <c r="N22" s="9">
        <f>M22*K22</f>
        <v>0</v>
      </c>
      <c r="O22" s="8" t="s">
        <v>339</v>
      </c>
    </row>
    <row r="23" spans="1:15" s="3" customFormat="1" x14ac:dyDescent="0.25">
      <c r="A23" s="7"/>
      <c r="B23" s="8"/>
      <c r="C23" s="8" t="s">
        <v>43</v>
      </c>
      <c r="D23" s="8" t="s">
        <v>101</v>
      </c>
      <c r="E23" s="8" t="s">
        <v>160</v>
      </c>
      <c r="F23" s="8" t="s">
        <v>214</v>
      </c>
      <c r="G23" s="8" t="s">
        <v>264</v>
      </c>
      <c r="H23" s="8" t="s">
        <v>300</v>
      </c>
      <c r="I23" s="7"/>
      <c r="J23" s="7"/>
      <c r="K23" s="7">
        <v>4</v>
      </c>
      <c r="L23" s="7"/>
      <c r="M23" s="9"/>
      <c r="N23" s="9">
        <f>M23*K23</f>
        <v>0</v>
      </c>
      <c r="O23" s="8" t="s">
        <v>340</v>
      </c>
    </row>
    <row r="24" spans="1:15" s="3" customFormat="1" ht="28.5" x14ac:dyDescent="0.25">
      <c r="A24" s="7"/>
      <c r="B24" s="8"/>
      <c r="C24" s="8" t="s">
        <v>44</v>
      </c>
      <c r="D24" s="8" t="s">
        <v>102</v>
      </c>
      <c r="E24" s="8" t="s">
        <v>161</v>
      </c>
      <c r="F24" s="8" t="s">
        <v>215</v>
      </c>
      <c r="G24" s="8" t="s">
        <v>265</v>
      </c>
      <c r="H24" s="8" t="s">
        <v>298</v>
      </c>
      <c r="I24" s="7"/>
      <c r="J24" s="7"/>
      <c r="K24" s="7">
        <v>1</v>
      </c>
      <c r="L24" s="7"/>
      <c r="M24" s="9"/>
      <c r="N24" s="9">
        <f>M24*K24</f>
        <v>0</v>
      </c>
      <c r="O24" s="8" t="s">
        <v>341</v>
      </c>
    </row>
    <row r="25" spans="1:15" s="3" customFormat="1" ht="28.5" x14ac:dyDescent="0.25">
      <c r="A25" s="7"/>
      <c r="B25" s="8"/>
      <c r="C25" s="8" t="s">
        <v>51</v>
      </c>
      <c r="D25" s="8" t="s">
        <v>111</v>
      </c>
      <c r="E25" s="8" t="s">
        <v>167</v>
      </c>
      <c r="F25" s="8" t="s">
        <v>224</v>
      </c>
      <c r="G25" s="8" t="s">
        <v>273</v>
      </c>
      <c r="H25" s="8" t="s">
        <v>306</v>
      </c>
      <c r="I25" s="7"/>
      <c r="J25" s="7"/>
      <c r="K25" s="7">
        <v>1</v>
      </c>
      <c r="L25" s="7"/>
      <c r="M25" s="9"/>
      <c r="N25" s="9">
        <f>M25*K25</f>
        <v>0</v>
      </c>
      <c r="O25" s="8" t="s">
        <v>350</v>
      </c>
    </row>
    <row r="26" spans="1:15" s="3" customFormat="1" ht="28.5" x14ac:dyDescent="0.25">
      <c r="A26" s="7"/>
      <c r="B26" s="8"/>
      <c r="C26" s="8" t="s">
        <v>50</v>
      </c>
      <c r="D26" s="8" t="s">
        <v>110</v>
      </c>
      <c r="E26" s="8" t="s">
        <v>166</v>
      </c>
      <c r="F26" s="8" t="s">
        <v>223</v>
      </c>
      <c r="G26" s="8" t="s">
        <v>272</v>
      </c>
      <c r="H26" s="8" t="s">
        <v>306</v>
      </c>
      <c r="I26" s="7"/>
      <c r="J26" s="7"/>
      <c r="K26" s="7">
        <v>1</v>
      </c>
      <c r="L26" s="7"/>
      <c r="M26" s="9"/>
      <c r="N26" s="9">
        <f>M26*K26</f>
        <v>0</v>
      </c>
      <c r="O26" s="8" t="s">
        <v>349</v>
      </c>
    </row>
    <row r="27" spans="1:15" s="3" customFormat="1" ht="28.5" x14ac:dyDescent="0.25">
      <c r="A27" s="7"/>
      <c r="B27" s="8"/>
      <c r="C27" s="8" t="s">
        <v>48</v>
      </c>
      <c r="D27" s="8" t="s">
        <v>108</v>
      </c>
      <c r="E27" s="8" t="s">
        <v>164</v>
      </c>
      <c r="F27" s="8" t="s">
        <v>221</v>
      </c>
      <c r="G27" s="8" t="s">
        <v>270</v>
      </c>
      <c r="H27" s="8" t="s">
        <v>304</v>
      </c>
      <c r="I27" s="7"/>
      <c r="J27" s="7"/>
      <c r="K27" s="7">
        <v>1</v>
      </c>
      <c r="L27" s="7"/>
      <c r="M27" s="9"/>
      <c r="N27" s="9">
        <f>M27*K27</f>
        <v>0</v>
      </c>
      <c r="O27" s="8" t="s">
        <v>347</v>
      </c>
    </row>
    <row r="28" spans="1:15" s="3" customFormat="1" ht="28.5" x14ac:dyDescent="0.25">
      <c r="A28" s="7"/>
      <c r="B28" s="8"/>
      <c r="C28" s="8" t="s">
        <v>49</v>
      </c>
      <c r="D28" s="8" t="s">
        <v>109</v>
      </c>
      <c r="E28" s="8" t="s">
        <v>165</v>
      </c>
      <c r="F28" s="8" t="s">
        <v>222</v>
      </c>
      <c r="G28" s="8" t="s">
        <v>271</v>
      </c>
      <c r="H28" s="8" t="s">
        <v>305</v>
      </c>
      <c r="I28" s="7"/>
      <c r="J28" s="7"/>
      <c r="K28" s="7">
        <v>1</v>
      </c>
      <c r="L28" s="7"/>
      <c r="M28" s="9"/>
      <c r="N28" s="9">
        <f>M28*K28</f>
        <v>0</v>
      </c>
      <c r="O28" s="8" t="s">
        <v>348</v>
      </c>
    </row>
    <row r="29" spans="1:15" s="3" customFormat="1" ht="28.5" x14ac:dyDescent="0.25">
      <c r="A29" s="7"/>
      <c r="B29" s="8"/>
      <c r="C29" s="8" t="s">
        <v>52</v>
      </c>
      <c r="D29" s="8" t="s">
        <v>112</v>
      </c>
      <c r="E29" s="8" t="s">
        <v>168</v>
      </c>
      <c r="F29" s="8" t="s">
        <v>225</v>
      </c>
      <c r="G29" s="8" t="s">
        <v>274</v>
      </c>
      <c r="H29" s="8" t="s">
        <v>301</v>
      </c>
      <c r="I29" s="7"/>
      <c r="J29" s="7"/>
      <c r="K29" s="7">
        <v>1</v>
      </c>
      <c r="L29" s="7"/>
      <c r="M29" s="9"/>
      <c r="N29" s="9">
        <f>M29*K29</f>
        <v>0</v>
      </c>
      <c r="O29" s="8" t="s">
        <v>351</v>
      </c>
    </row>
    <row r="30" spans="1:15" s="3" customFormat="1" ht="28.5" x14ac:dyDescent="0.25">
      <c r="A30" s="7"/>
      <c r="B30" s="8"/>
      <c r="C30" s="8" t="s">
        <v>53</v>
      </c>
      <c r="D30" s="8" t="s">
        <v>113</v>
      </c>
      <c r="E30" s="8" t="s">
        <v>169</v>
      </c>
      <c r="F30" s="8" t="s">
        <v>226</v>
      </c>
      <c r="G30" s="8" t="s">
        <v>275</v>
      </c>
      <c r="H30" s="8" t="s">
        <v>307</v>
      </c>
      <c r="I30" s="7"/>
      <c r="J30" s="7"/>
      <c r="K30" s="7">
        <v>11</v>
      </c>
      <c r="L30" s="7"/>
      <c r="M30" s="9"/>
      <c r="N30" s="9">
        <f>M30*K30</f>
        <v>0</v>
      </c>
      <c r="O30" s="8" t="s">
        <v>379</v>
      </c>
    </row>
    <row r="31" spans="1:15" s="3" customFormat="1" ht="28.5" x14ac:dyDescent="0.25">
      <c r="A31" s="7"/>
      <c r="B31" s="8"/>
      <c r="C31" s="8" t="s">
        <v>377</v>
      </c>
      <c r="D31" s="8" t="s">
        <v>114</v>
      </c>
      <c r="E31" s="8" t="s">
        <v>170</v>
      </c>
      <c r="F31" s="8" t="s">
        <v>227</v>
      </c>
      <c r="G31" s="8" t="s">
        <v>275</v>
      </c>
      <c r="H31" s="8" t="s">
        <v>308</v>
      </c>
      <c r="I31" s="7"/>
      <c r="J31" s="7"/>
      <c r="K31" s="7">
        <v>2</v>
      </c>
      <c r="L31" s="7"/>
      <c r="M31" s="9"/>
      <c r="N31" s="9">
        <f>M31*K31</f>
        <v>0</v>
      </c>
      <c r="O31" s="8" t="s">
        <v>378</v>
      </c>
    </row>
    <row r="32" spans="1:15" s="3" customFormat="1" ht="25.5" customHeight="1" x14ac:dyDescent="0.25">
      <c r="A32" s="7"/>
      <c r="B32" s="8"/>
      <c r="C32" s="8" t="s">
        <v>54</v>
      </c>
      <c r="D32" s="8" t="s">
        <v>115</v>
      </c>
      <c r="E32" s="8" t="s">
        <v>171</v>
      </c>
      <c r="F32" s="8" t="s">
        <v>228</v>
      </c>
      <c r="G32" s="8" t="s">
        <v>275</v>
      </c>
      <c r="H32" s="8" t="s">
        <v>307</v>
      </c>
      <c r="I32" s="7"/>
      <c r="J32" s="7"/>
      <c r="K32" s="7">
        <v>1</v>
      </c>
      <c r="L32" s="7"/>
      <c r="M32" s="9"/>
      <c r="N32" s="9">
        <f>M32*K32</f>
        <v>0</v>
      </c>
      <c r="O32" s="8" t="s">
        <v>352</v>
      </c>
    </row>
    <row r="33" spans="1:15" s="3" customFormat="1" ht="69.75" customHeight="1" x14ac:dyDescent="0.25">
      <c r="A33" s="12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4"/>
    </row>
    <row r="34" spans="1:15" s="3" customFormat="1" ht="28.5" x14ac:dyDescent="0.25">
      <c r="A34" s="7"/>
      <c r="B34" s="8"/>
      <c r="C34" s="8" t="s">
        <v>58</v>
      </c>
      <c r="D34" s="8" t="s">
        <v>120</v>
      </c>
      <c r="E34" s="8" t="s">
        <v>176</v>
      </c>
      <c r="F34" s="8" t="s">
        <v>233</v>
      </c>
      <c r="G34" s="8" t="s">
        <v>277</v>
      </c>
      <c r="H34" s="8" t="s">
        <v>292</v>
      </c>
      <c r="I34" s="7"/>
      <c r="J34" s="7"/>
      <c r="K34" s="7">
        <v>2</v>
      </c>
      <c r="L34" s="7"/>
      <c r="M34" s="9"/>
      <c r="N34" s="9">
        <f>M34*K34</f>
        <v>0</v>
      </c>
      <c r="O34" s="8" t="s">
        <v>381</v>
      </c>
    </row>
    <row r="35" spans="1:15" s="3" customFormat="1" ht="28.5" x14ac:dyDescent="0.25">
      <c r="A35" s="7"/>
      <c r="B35" s="8"/>
      <c r="C35" s="8" t="s">
        <v>65</v>
      </c>
      <c r="D35" s="8" t="s">
        <v>120</v>
      </c>
      <c r="E35" s="8" t="s">
        <v>183</v>
      </c>
      <c r="F35" s="8" t="s">
        <v>240</v>
      </c>
      <c r="G35" s="8" t="s">
        <v>276</v>
      </c>
      <c r="H35" s="8" t="s">
        <v>292</v>
      </c>
      <c r="I35" s="7"/>
      <c r="J35" s="7"/>
      <c r="K35" s="7">
        <v>2</v>
      </c>
      <c r="L35" s="7"/>
      <c r="M35" s="9"/>
      <c r="N35" s="9">
        <f>M35*K35</f>
        <v>0</v>
      </c>
      <c r="O35" s="8" t="s">
        <v>362</v>
      </c>
    </row>
    <row r="36" spans="1:15" s="3" customFormat="1" ht="28.5" x14ac:dyDescent="0.25">
      <c r="A36" s="7"/>
      <c r="B36" s="8"/>
      <c r="C36" s="8" t="s">
        <v>61</v>
      </c>
      <c r="D36" s="8" t="s">
        <v>123</v>
      </c>
      <c r="E36" s="8" t="s">
        <v>179</v>
      </c>
      <c r="F36" s="8" t="s">
        <v>236</v>
      </c>
      <c r="G36" s="8" t="s">
        <v>276</v>
      </c>
      <c r="H36" s="8" t="s">
        <v>292</v>
      </c>
      <c r="I36" s="7"/>
      <c r="J36" s="7"/>
      <c r="K36" s="7">
        <v>3</v>
      </c>
      <c r="L36" s="7"/>
      <c r="M36" s="9"/>
      <c r="N36" s="9">
        <f>M36*K36</f>
        <v>0</v>
      </c>
      <c r="O36" s="8" t="s">
        <v>359</v>
      </c>
    </row>
    <row r="37" spans="1:15" s="3" customFormat="1" ht="28.5" x14ac:dyDescent="0.25">
      <c r="A37" s="7"/>
      <c r="B37" s="8"/>
      <c r="C37" s="8" t="s">
        <v>68</v>
      </c>
      <c r="D37" s="8" t="s">
        <v>129</v>
      </c>
      <c r="E37" s="8" t="s">
        <v>186</v>
      </c>
      <c r="F37" s="8" t="s">
        <v>243</v>
      </c>
      <c r="G37" s="8" t="s">
        <v>276</v>
      </c>
      <c r="H37" s="8" t="s">
        <v>292</v>
      </c>
      <c r="I37" s="7"/>
      <c r="J37" s="7"/>
      <c r="K37" s="7">
        <v>4</v>
      </c>
      <c r="L37" s="7"/>
      <c r="M37" s="9"/>
      <c r="N37" s="9">
        <f>M37*K37</f>
        <v>0</v>
      </c>
      <c r="O37" s="8" t="s">
        <v>365</v>
      </c>
    </row>
    <row r="38" spans="1:15" s="3" customFormat="1" ht="28.5" x14ac:dyDescent="0.25">
      <c r="A38" s="7"/>
      <c r="B38" s="8"/>
      <c r="C38" s="8" t="s">
        <v>64</v>
      </c>
      <c r="D38" s="8" t="s">
        <v>126</v>
      </c>
      <c r="E38" s="8" t="s">
        <v>182</v>
      </c>
      <c r="F38" s="8" t="s">
        <v>239</v>
      </c>
      <c r="G38" s="8" t="s">
        <v>276</v>
      </c>
      <c r="H38" s="8" t="s">
        <v>292</v>
      </c>
      <c r="I38" s="7"/>
      <c r="J38" s="7"/>
      <c r="K38" s="7">
        <v>2</v>
      </c>
      <c r="L38" s="7"/>
      <c r="M38" s="9"/>
      <c r="N38" s="9">
        <f>M38*K38</f>
        <v>0</v>
      </c>
      <c r="O38" s="8" t="s">
        <v>361</v>
      </c>
    </row>
    <row r="39" spans="1:15" s="3" customFormat="1" ht="28.5" x14ac:dyDescent="0.25">
      <c r="A39" s="7"/>
      <c r="B39" s="8"/>
      <c r="C39" s="8" t="s">
        <v>59</v>
      </c>
      <c r="D39" s="8" t="s">
        <v>121</v>
      </c>
      <c r="E39" s="8" t="s">
        <v>177</v>
      </c>
      <c r="F39" s="8" t="s">
        <v>234</v>
      </c>
      <c r="G39" s="8" t="s">
        <v>276</v>
      </c>
      <c r="H39" s="8" t="s">
        <v>292</v>
      </c>
      <c r="I39" s="7"/>
      <c r="J39" s="7"/>
      <c r="K39" s="7">
        <v>5</v>
      </c>
      <c r="L39" s="7"/>
      <c r="M39" s="9"/>
      <c r="N39" s="9">
        <f>M39*K39</f>
        <v>0</v>
      </c>
      <c r="O39" s="8" t="s">
        <v>357</v>
      </c>
    </row>
    <row r="40" spans="1:15" s="3" customFormat="1" ht="28.5" x14ac:dyDescent="0.25">
      <c r="A40" s="7"/>
      <c r="B40" s="8"/>
      <c r="C40" s="8" t="s">
        <v>62</v>
      </c>
      <c r="D40" s="8" t="s">
        <v>124</v>
      </c>
      <c r="E40" s="8" t="s">
        <v>180</v>
      </c>
      <c r="F40" s="8" t="s">
        <v>237</v>
      </c>
      <c r="G40" s="8" t="s">
        <v>276</v>
      </c>
      <c r="H40" s="8" t="s">
        <v>292</v>
      </c>
      <c r="I40" s="7"/>
      <c r="J40" s="7"/>
      <c r="K40" s="7">
        <v>3</v>
      </c>
      <c r="L40" s="7"/>
      <c r="M40" s="9"/>
      <c r="N40" s="9">
        <f>M40*K40</f>
        <v>0</v>
      </c>
      <c r="O40" s="8" t="s">
        <v>360</v>
      </c>
    </row>
    <row r="41" spans="1:15" s="3" customFormat="1" ht="71.25" x14ac:dyDescent="0.25">
      <c r="A41" s="7"/>
      <c r="B41" s="8"/>
      <c r="C41" s="8" t="s">
        <v>380</v>
      </c>
      <c r="D41" s="8" t="s">
        <v>119</v>
      </c>
      <c r="E41" s="8" t="s">
        <v>175</v>
      </c>
      <c r="F41" s="8" t="s">
        <v>232</v>
      </c>
      <c r="G41" s="8" t="s">
        <v>276</v>
      </c>
      <c r="H41" s="8" t="s">
        <v>292</v>
      </c>
      <c r="I41" s="7"/>
      <c r="J41" s="7"/>
      <c r="K41" s="7">
        <v>28</v>
      </c>
      <c r="L41" s="7"/>
      <c r="M41" s="9"/>
      <c r="N41" s="9">
        <f>M41*K41</f>
        <v>0</v>
      </c>
      <c r="O41" s="8" t="s">
        <v>356</v>
      </c>
    </row>
    <row r="42" spans="1:15" s="3" customFormat="1" ht="28.5" x14ac:dyDescent="0.25">
      <c r="A42" s="7"/>
      <c r="B42" s="8"/>
      <c r="C42" s="8" t="s">
        <v>56</v>
      </c>
      <c r="D42" s="8" t="s">
        <v>117</v>
      </c>
      <c r="E42" s="8" t="s">
        <v>173</v>
      </c>
      <c r="F42" s="8" t="s">
        <v>230</v>
      </c>
      <c r="G42" s="8" t="s">
        <v>276</v>
      </c>
      <c r="H42" s="8" t="s">
        <v>292</v>
      </c>
      <c r="I42" s="7"/>
      <c r="J42" s="7"/>
      <c r="K42" s="7">
        <v>1</v>
      </c>
      <c r="L42" s="7"/>
      <c r="M42" s="9"/>
      <c r="N42" s="9">
        <f>M42*K42</f>
        <v>0</v>
      </c>
      <c r="O42" s="8" t="s">
        <v>354</v>
      </c>
    </row>
    <row r="43" spans="1:15" s="3" customFormat="1" ht="28.5" x14ac:dyDescent="0.25">
      <c r="A43" s="7"/>
      <c r="B43" s="8"/>
      <c r="C43" s="8" t="s">
        <v>57</v>
      </c>
      <c r="D43" s="8" t="s">
        <v>118</v>
      </c>
      <c r="E43" s="8" t="s">
        <v>174</v>
      </c>
      <c r="F43" s="8" t="s">
        <v>231</v>
      </c>
      <c r="G43" s="8" t="s">
        <v>276</v>
      </c>
      <c r="H43" s="8" t="s">
        <v>292</v>
      </c>
      <c r="I43" s="7"/>
      <c r="J43" s="7"/>
      <c r="K43" s="7">
        <v>6</v>
      </c>
      <c r="L43" s="7"/>
      <c r="M43" s="9"/>
      <c r="N43" s="9">
        <f>M43*K43</f>
        <v>0</v>
      </c>
      <c r="O43" s="8" t="s">
        <v>355</v>
      </c>
    </row>
    <row r="44" spans="1:15" s="3" customFormat="1" ht="28.5" x14ac:dyDescent="0.25">
      <c r="A44" s="7"/>
      <c r="B44" s="8"/>
      <c r="C44" s="8" t="s">
        <v>67</v>
      </c>
      <c r="D44" s="8" t="s">
        <v>128</v>
      </c>
      <c r="E44" s="8" t="s">
        <v>185</v>
      </c>
      <c r="F44" s="8" t="s">
        <v>242</v>
      </c>
      <c r="G44" s="8" t="s">
        <v>276</v>
      </c>
      <c r="H44" s="8" t="s">
        <v>292</v>
      </c>
      <c r="I44" s="7"/>
      <c r="J44" s="7"/>
      <c r="K44" s="7">
        <v>1</v>
      </c>
      <c r="L44" s="7"/>
      <c r="M44" s="9"/>
      <c r="N44" s="9">
        <f>M44*K44</f>
        <v>0</v>
      </c>
      <c r="O44" s="8" t="s">
        <v>364</v>
      </c>
    </row>
    <row r="45" spans="1:15" s="3" customFormat="1" ht="28.5" x14ac:dyDescent="0.25">
      <c r="A45" s="7"/>
      <c r="B45" s="8"/>
      <c r="C45" s="8" t="s">
        <v>60</v>
      </c>
      <c r="D45" s="8" t="s">
        <v>122</v>
      </c>
      <c r="E45" s="8" t="s">
        <v>178</v>
      </c>
      <c r="F45" s="8" t="s">
        <v>235</v>
      </c>
      <c r="G45" s="8" t="s">
        <v>276</v>
      </c>
      <c r="H45" s="8" t="s">
        <v>309</v>
      </c>
      <c r="I45" s="7"/>
      <c r="J45" s="7"/>
      <c r="K45" s="7">
        <v>1</v>
      </c>
      <c r="L45" s="7"/>
      <c r="M45" s="9"/>
      <c r="N45" s="9">
        <f>M45*K45</f>
        <v>0</v>
      </c>
      <c r="O45" s="8" t="s">
        <v>358</v>
      </c>
    </row>
    <row r="46" spans="1:15" s="3" customFormat="1" ht="28.5" x14ac:dyDescent="0.25">
      <c r="A46" s="7"/>
      <c r="B46" s="8"/>
      <c r="C46" s="8" t="s">
        <v>66</v>
      </c>
      <c r="D46" s="8" t="s">
        <v>127</v>
      </c>
      <c r="E46" s="8" t="s">
        <v>184</v>
      </c>
      <c r="F46" s="8" t="s">
        <v>241</v>
      </c>
      <c r="G46" s="8" t="s">
        <v>276</v>
      </c>
      <c r="H46" s="8" t="s">
        <v>292</v>
      </c>
      <c r="I46" s="7"/>
      <c r="J46" s="7"/>
      <c r="K46" s="7">
        <v>1</v>
      </c>
      <c r="L46" s="7"/>
      <c r="M46" s="9"/>
      <c r="N46" s="9">
        <f>M46*K46</f>
        <v>0</v>
      </c>
      <c r="O46" s="8" t="s">
        <v>363</v>
      </c>
    </row>
    <row r="47" spans="1:15" s="3" customFormat="1" ht="28.5" x14ac:dyDescent="0.25">
      <c r="A47" s="7"/>
      <c r="B47" s="8"/>
      <c r="C47" s="8" t="s">
        <v>55</v>
      </c>
      <c r="D47" s="8" t="s">
        <v>116</v>
      </c>
      <c r="E47" s="8" t="s">
        <v>172</v>
      </c>
      <c r="F47" s="8" t="s">
        <v>229</v>
      </c>
      <c r="G47" s="8" t="s">
        <v>276</v>
      </c>
      <c r="H47" s="8" t="s">
        <v>292</v>
      </c>
      <c r="I47" s="7"/>
      <c r="J47" s="7"/>
      <c r="K47" s="7">
        <v>1</v>
      </c>
      <c r="L47" s="7"/>
      <c r="M47" s="9"/>
      <c r="N47" s="9">
        <f t="shared" ref="N47:N59" si="1">M47*K47</f>
        <v>0</v>
      </c>
      <c r="O47" s="8" t="s">
        <v>353</v>
      </c>
    </row>
    <row r="48" spans="1:15" s="3" customFormat="1" ht="28.5" x14ac:dyDescent="0.25">
      <c r="A48" s="7"/>
      <c r="B48" s="8"/>
      <c r="C48" s="8" t="s">
        <v>63</v>
      </c>
      <c r="D48" s="8" t="s">
        <v>125</v>
      </c>
      <c r="E48" s="8" t="s">
        <v>181</v>
      </c>
      <c r="F48" s="8" t="s">
        <v>238</v>
      </c>
      <c r="G48" s="8" t="s">
        <v>276</v>
      </c>
      <c r="H48" s="8" t="s">
        <v>292</v>
      </c>
      <c r="I48" s="7"/>
      <c r="J48" s="7"/>
      <c r="K48" s="7">
        <v>2</v>
      </c>
      <c r="L48" s="7"/>
      <c r="M48" s="9"/>
      <c r="N48" s="9">
        <f>M48*K48</f>
        <v>0</v>
      </c>
      <c r="O48" s="8" t="s">
        <v>382</v>
      </c>
    </row>
    <row r="49" spans="1:15" s="3" customFormat="1" ht="51.75" customHeight="1" x14ac:dyDescent="0.25">
      <c r="A49" s="12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4"/>
    </row>
    <row r="50" spans="1:15" s="3" customFormat="1" ht="28.5" customHeight="1" x14ac:dyDescent="0.25">
      <c r="A50" s="7"/>
      <c r="B50" s="8"/>
      <c r="C50" s="8" t="s">
        <v>71</v>
      </c>
      <c r="D50" s="8" t="s">
        <v>132</v>
      </c>
      <c r="E50" s="8" t="s">
        <v>188</v>
      </c>
      <c r="F50" s="8" t="s">
        <v>246</v>
      </c>
      <c r="G50" s="8" t="s">
        <v>280</v>
      </c>
      <c r="H50" s="8" t="s">
        <v>311</v>
      </c>
      <c r="I50" s="7"/>
      <c r="J50" s="7"/>
      <c r="K50" s="7">
        <v>1</v>
      </c>
      <c r="L50" s="7"/>
      <c r="M50" s="9"/>
      <c r="N50" s="9">
        <f>M50*K50</f>
        <v>0</v>
      </c>
      <c r="O50" s="8" t="s">
        <v>368</v>
      </c>
    </row>
    <row r="51" spans="1:15" s="3" customFormat="1" ht="28.5" customHeight="1" x14ac:dyDescent="0.25">
      <c r="A51" s="7"/>
      <c r="B51" s="8"/>
      <c r="C51" s="8" t="s">
        <v>69</v>
      </c>
      <c r="D51" s="8" t="s">
        <v>130</v>
      </c>
      <c r="E51" s="8" t="s">
        <v>187</v>
      </c>
      <c r="F51" s="8" t="s">
        <v>244</v>
      </c>
      <c r="G51" s="8" t="s">
        <v>278</v>
      </c>
      <c r="H51" s="8" t="s">
        <v>310</v>
      </c>
      <c r="I51" s="7"/>
      <c r="J51" s="7"/>
      <c r="K51" s="7">
        <v>1</v>
      </c>
      <c r="L51" s="7"/>
      <c r="M51" s="9"/>
      <c r="N51" s="9">
        <f t="shared" si="1"/>
        <v>0</v>
      </c>
      <c r="O51" s="8" t="s">
        <v>366</v>
      </c>
    </row>
    <row r="52" spans="1:15" s="3" customFormat="1" ht="28.5" x14ac:dyDescent="0.25">
      <c r="A52" s="7"/>
      <c r="B52" s="8"/>
      <c r="C52" s="8" t="s">
        <v>70</v>
      </c>
      <c r="D52" s="8" t="s">
        <v>131</v>
      </c>
      <c r="E52" s="8" t="s">
        <v>131</v>
      </c>
      <c r="F52" s="8" t="s">
        <v>245</v>
      </c>
      <c r="G52" s="8" t="s">
        <v>279</v>
      </c>
      <c r="H52" s="8" t="s">
        <v>310</v>
      </c>
      <c r="I52" s="7"/>
      <c r="J52" s="7"/>
      <c r="K52" s="7">
        <v>1</v>
      </c>
      <c r="L52" s="7"/>
      <c r="M52" s="9"/>
      <c r="N52" s="9">
        <f t="shared" si="1"/>
        <v>0</v>
      </c>
      <c r="O52" s="8" t="s">
        <v>367</v>
      </c>
    </row>
    <row r="53" spans="1:15" s="3" customFormat="1" ht="28.5" x14ac:dyDescent="0.25">
      <c r="A53" s="7"/>
      <c r="B53" s="8"/>
      <c r="C53" s="8" t="s">
        <v>72</v>
      </c>
      <c r="D53" s="8" t="s">
        <v>133</v>
      </c>
      <c r="E53" s="8" t="s">
        <v>189</v>
      </c>
      <c r="F53" s="8" t="s">
        <v>247</v>
      </c>
      <c r="G53" s="8" t="s">
        <v>281</v>
      </c>
      <c r="H53" s="8" t="s">
        <v>312</v>
      </c>
      <c r="I53" s="7"/>
      <c r="J53" s="7"/>
      <c r="K53" s="7">
        <v>1</v>
      </c>
      <c r="L53" s="7"/>
      <c r="M53" s="9"/>
      <c r="N53" s="9">
        <f t="shared" si="1"/>
        <v>0</v>
      </c>
      <c r="O53" s="8" t="s">
        <v>369</v>
      </c>
    </row>
    <row r="54" spans="1:15" s="3" customFormat="1" ht="28.5" x14ac:dyDescent="0.25">
      <c r="A54" s="7"/>
      <c r="B54" s="8"/>
      <c r="C54" s="8" t="s">
        <v>383</v>
      </c>
      <c r="D54" s="8" t="s">
        <v>134</v>
      </c>
      <c r="E54" s="8" t="s">
        <v>134</v>
      </c>
      <c r="F54" s="8" t="s">
        <v>248</v>
      </c>
      <c r="G54" s="8" t="s">
        <v>282</v>
      </c>
      <c r="H54" s="8"/>
      <c r="I54" s="7"/>
      <c r="J54" s="7"/>
      <c r="K54" s="7">
        <v>1</v>
      </c>
      <c r="L54" s="7"/>
      <c r="M54" s="9"/>
      <c r="N54" s="9">
        <f t="shared" si="1"/>
        <v>0</v>
      </c>
      <c r="O54" s="8" t="s">
        <v>370</v>
      </c>
    </row>
    <row r="55" spans="1:15" s="3" customFormat="1" ht="28.5" x14ac:dyDescent="0.25">
      <c r="A55" s="7"/>
      <c r="B55" s="8"/>
      <c r="C55" s="8" t="s">
        <v>73</v>
      </c>
      <c r="D55" s="8" t="s">
        <v>135</v>
      </c>
      <c r="E55" s="8" t="s">
        <v>190</v>
      </c>
      <c r="F55" s="8" t="s">
        <v>249</v>
      </c>
      <c r="G55" s="8" t="s">
        <v>283</v>
      </c>
      <c r="H55" s="8" t="s">
        <v>313</v>
      </c>
      <c r="I55" s="7"/>
      <c r="J55" s="7"/>
      <c r="K55" s="7">
        <v>1</v>
      </c>
      <c r="L55" s="7"/>
      <c r="M55" s="9"/>
      <c r="N55" s="9">
        <f t="shared" si="1"/>
        <v>0</v>
      </c>
      <c r="O55" s="8" t="s">
        <v>371</v>
      </c>
    </row>
    <row r="56" spans="1:15" s="3" customFormat="1" ht="28.5" x14ac:dyDescent="0.25">
      <c r="A56" s="7"/>
      <c r="B56" s="8"/>
      <c r="C56" s="8" t="s">
        <v>74</v>
      </c>
      <c r="D56" s="8" t="s">
        <v>136</v>
      </c>
      <c r="E56" s="8" t="s">
        <v>191</v>
      </c>
      <c r="F56" s="8" t="s">
        <v>250</v>
      </c>
      <c r="G56" s="8" t="s">
        <v>284</v>
      </c>
      <c r="H56" s="8" t="s">
        <v>314</v>
      </c>
      <c r="I56" s="7"/>
      <c r="J56" s="7"/>
      <c r="K56" s="7">
        <v>1</v>
      </c>
      <c r="L56" s="7"/>
      <c r="M56" s="9"/>
      <c r="N56" s="9">
        <f t="shared" si="1"/>
        <v>0</v>
      </c>
      <c r="O56" s="8" t="s">
        <v>372</v>
      </c>
    </row>
    <row r="57" spans="1:15" s="3" customFormat="1" ht="28.5" x14ac:dyDescent="0.25">
      <c r="A57" s="7"/>
      <c r="B57" s="8"/>
      <c r="C57" s="8" t="s">
        <v>75</v>
      </c>
      <c r="D57" s="8" t="s">
        <v>137</v>
      </c>
      <c r="E57" s="8" t="s">
        <v>137</v>
      </c>
      <c r="F57" s="8" t="s">
        <v>251</v>
      </c>
      <c r="G57" s="8" t="s">
        <v>285</v>
      </c>
      <c r="H57" s="8" t="s">
        <v>315</v>
      </c>
      <c r="I57" s="7"/>
      <c r="J57" s="7"/>
      <c r="K57" s="7">
        <v>1</v>
      </c>
      <c r="L57" s="7"/>
      <c r="M57" s="9"/>
      <c r="N57" s="9">
        <f t="shared" si="1"/>
        <v>0</v>
      </c>
      <c r="O57" s="8" t="s">
        <v>373</v>
      </c>
    </row>
    <row r="58" spans="1:15" s="3" customFormat="1" ht="28.5" x14ac:dyDescent="0.25">
      <c r="A58" s="7"/>
      <c r="B58" s="8"/>
      <c r="C58" s="8" t="s">
        <v>76</v>
      </c>
      <c r="D58" s="8" t="s">
        <v>138</v>
      </c>
      <c r="E58" s="8" t="s">
        <v>138</v>
      </c>
      <c r="F58" s="8" t="s">
        <v>252</v>
      </c>
      <c r="G58" s="8" t="s">
        <v>286</v>
      </c>
      <c r="H58" s="8" t="s">
        <v>313</v>
      </c>
      <c r="I58" s="7"/>
      <c r="J58" s="7"/>
      <c r="K58" s="7">
        <v>1</v>
      </c>
      <c r="L58" s="7"/>
      <c r="M58" s="9"/>
      <c r="N58" s="9">
        <f t="shared" si="1"/>
        <v>0</v>
      </c>
      <c r="O58" s="8" t="s">
        <v>374</v>
      </c>
    </row>
    <row r="59" spans="1:15" s="3" customFormat="1" ht="28.5" x14ac:dyDescent="0.25">
      <c r="A59" s="7"/>
      <c r="B59" s="8"/>
      <c r="C59" s="8" t="s">
        <v>77</v>
      </c>
      <c r="D59" s="8" t="s">
        <v>139</v>
      </c>
      <c r="E59" s="8" t="s">
        <v>192</v>
      </c>
      <c r="F59" s="8" t="s">
        <v>253</v>
      </c>
      <c r="G59" s="8" t="s">
        <v>287</v>
      </c>
      <c r="H59" s="8" t="s">
        <v>304</v>
      </c>
      <c r="I59" s="7"/>
      <c r="J59" s="7"/>
      <c r="K59" s="7">
        <v>1</v>
      </c>
      <c r="L59" s="7"/>
      <c r="M59" s="9"/>
      <c r="N59" s="9">
        <f t="shared" si="1"/>
        <v>0</v>
      </c>
      <c r="O59" s="8" t="s">
        <v>375</v>
      </c>
    </row>
    <row r="60" spans="1:15" s="3" customFormat="1" ht="28.5" x14ac:dyDescent="0.25">
      <c r="A60" s="7"/>
      <c r="B60" s="8"/>
      <c r="C60" s="8" t="s">
        <v>22</v>
      </c>
      <c r="D60" s="8" t="s">
        <v>79</v>
      </c>
      <c r="E60" s="8" t="s">
        <v>140</v>
      </c>
      <c r="F60" s="8" t="s">
        <v>193</v>
      </c>
      <c r="G60" s="8" t="s">
        <v>255</v>
      </c>
      <c r="H60" s="8" t="s">
        <v>288</v>
      </c>
      <c r="I60" s="7"/>
      <c r="J60" s="7"/>
      <c r="K60" s="7">
        <v>1</v>
      </c>
      <c r="L60" s="7"/>
      <c r="M60" s="9"/>
      <c r="N60" s="9">
        <f t="shared" ref="N60" si="2">M60*K60</f>
        <v>0</v>
      </c>
      <c r="O60" s="8" t="s">
        <v>318</v>
      </c>
    </row>
    <row r="61" spans="1:15" s="3" customFormat="1" ht="42.75" x14ac:dyDescent="0.25">
      <c r="A61" s="7"/>
      <c r="B61" s="8"/>
      <c r="C61" s="8" t="s">
        <v>45</v>
      </c>
      <c r="D61" s="8" t="s">
        <v>103</v>
      </c>
      <c r="E61" s="8" t="s">
        <v>162</v>
      </c>
      <c r="F61" s="8" t="s">
        <v>216</v>
      </c>
      <c r="G61" s="8" t="s">
        <v>266</v>
      </c>
      <c r="H61" s="8" t="s">
        <v>301</v>
      </c>
      <c r="I61" s="7"/>
      <c r="J61" s="7"/>
      <c r="K61" s="7">
        <v>2</v>
      </c>
      <c r="L61" s="7"/>
      <c r="M61" s="9"/>
      <c r="N61" s="9">
        <f>M61*K61</f>
        <v>0</v>
      </c>
      <c r="O61" s="8" t="s">
        <v>342</v>
      </c>
    </row>
    <row r="62" spans="1:15" s="3" customFormat="1" ht="28.5" x14ac:dyDescent="0.25">
      <c r="A62" s="7"/>
      <c r="B62" s="8"/>
      <c r="C62" s="8" t="s">
        <v>46</v>
      </c>
      <c r="D62" s="8" t="s">
        <v>104</v>
      </c>
      <c r="E62" s="8" t="s">
        <v>163</v>
      </c>
      <c r="F62" s="8" t="s">
        <v>217</v>
      </c>
      <c r="G62" s="8" t="s">
        <v>267</v>
      </c>
      <c r="H62" s="8" t="s">
        <v>302</v>
      </c>
      <c r="I62" s="7"/>
      <c r="J62" s="7"/>
      <c r="K62" s="7">
        <v>1</v>
      </c>
      <c r="L62" s="7"/>
      <c r="M62" s="9"/>
      <c r="N62" s="9">
        <f>M62*K62</f>
        <v>0</v>
      </c>
      <c r="O62" s="8" t="s">
        <v>343</v>
      </c>
    </row>
    <row r="63" spans="1:15" s="3" customFormat="1" ht="28.5" x14ac:dyDescent="0.25">
      <c r="A63" s="7"/>
      <c r="B63" s="8"/>
      <c r="C63" s="8" t="s">
        <v>47</v>
      </c>
      <c r="D63" s="8" t="s">
        <v>106</v>
      </c>
      <c r="E63" s="8" t="s">
        <v>106</v>
      </c>
      <c r="F63" s="8" t="s">
        <v>219</v>
      </c>
      <c r="G63" s="8" t="s">
        <v>106</v>
      </c>
      <c r="H63" s="8" t="s">
        <v>303</v>
      </c>
      <c r="I63" s="7"/>
      <c r="J63" s="7"/>
      <c r="K63" s="7">
        <v>1</v>
      </c>
      <c r="L63" s="7"/>
      <c r="M63" s="9"/>
      <c r="N63" s="9">
        <f>M63*K63</f>
        <v>0</v>
      </c>
      <c r="O63" s="8" t="s">
        <v>345</v>
      </c>
    </row>
    <row r="64" spans="1:15" s="3" customFormat="1" ht="28.5" x14ac:dyDescent="0.25">
      <c r="A64" s="15"/>
      <c r="B64" s="16"/>
      <c r="C64" s="16" t="s">
        <v>38</v>
      </c>
      <c r="D64" s="16" t="s">
        <v>96</v>
      </c>
      <c r="E64" s="16" t="s">
        <v>156</v>
      </c>
      <c r="F64" s="16" t="s">
        <v>209</v>
      </c>
      <c r="G64" s="16" t="s">
        <v>260</v>
      </c>
      <c r="H64" s="16" t="s">
        <v>295</v>
      </c>
      <c r="I64" s="15"/>
      <c r="J64" s="15"/>
      <c r="K64" s="15">
        <v>1</v>
      </c>
      <c r="L64" s="15"/>
      <c r="M64" s="17"/>
      <c r="N64" s="17">
        <f>M64*K64</f>
        <v>0</v>
      </c>
      <c r="O64" s="16" t="s">
        <v>335</v>
      </c>
    </row>
    <row r="65" spans="1:15" s="11" customFormat="1" ht="4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 spans="1:15" s="3" customFormat="1" ht="28.5" x14ac:dyDescent="0.25">
      <c r="A66" s="18"/>
      <c r="B66" s="19"/>
      <c r="C66" s="19" t="s">
        <v>25</v>
      </c>
      <c r="D66" s="19" t="s">
        <v>95</v>
      </c>
      <c r="E66" s="19" t="s">
        <v>143</v>
      </c>
      <c r="F66" s="19" t="s">
        <v>196</v>
      </c>
      <c r="G66" s="19" t="s">
        <v>258</v>
      </c>
      <c r="H66" s="19" t="s">
        <v>291</v>
      </c>
      <c r="I66" s="18"/>
      <c r="J66" s="18"/>
      <c r="K66" s="18">
        <v>2</v>
      </c>
      <c r="L66" s="18"/>
      <c r="M66" s="20"/>
      <c r="N66" s="20">
        <f>M66*K66</f>
        <v>0</v>
      </c>
      <c r="O66" s="19" t="s">
        <v>334</v>
      </c>
    </row>
    <row r="67" spans="1:15" s="3" customFormat="1" x14ac:dyDescent="0.25">
      <c r="A67" s="7"/>
      <c r="B67" s="8"/>
      <c r="C67" s="8"/>
      <c r="D67" s="8" t="s">
        <v>107</v>
      </c>
      <c r="E67" s="8"/>
      <c r="F67" s="8" t="s">
        <v>220</v>
      </c>
      <c r="G67" s="8" t="s">
        <v>269</v>
      </c>
      <c r="H67" s="8"/>
      <c r="I67" s="7"/>
      <c r="J67" s="7"/>
      <c r="K67" s="7">
        <v>5</v>
      </c>
      <c r="L67" s="7"/>
      <c r="M67" s="9"/>
      <c r="N67" s="9">
        <f>M67*K67</f>
        <v>0</v>
      </c>
      <c r="O67" s="8" t="s">
        <v>346</v>
      </c>
    </row>
    <row r="68" spans="1:15" s="3" customFormat="1" x14ac:dyDescent="0.25">
      <c r="A68" s="7"/>
      <c r="B68" s="8"/>
      <c r="C68" s="8"/>
      <c r="D68" s="8" t="s">
        <v>78</v>
      </c>
      <c r="E68" s="8"/>
      <c r="F68" s="8" t="s">
        <v>13</v>
      </c>
      <c r="G68" s="8" t="s">
        <v>254</v>
      </c>
      <c r="H68" s="8"/>
      <c r="I68" s="7"/>
      <c r="J68" s="7"/>
      <c r="K68" s="7">
        <v>1</v>
      </c>
      <c r="L68" s="7"/>
      <c r="M68" s="9"/>
      <c r="N68" s="9">
        <f>M68*K68</f>
        <v>0</v>
      </c>
      <c r="O68" s="8" t="s">
        <v>317</v>
      </c>
    </row>
    <row r="69" spans="1:15" s="3" customFormat="1" ht="28.5" x14ac:dyDescent="0.25">
      <c r="A69" s="7"/>
      <c r="B69" s="8"/>
      <c r="C69" s="8"/>
      <c r="D69" s="8" t="s">
        <v>105</v>
      </c>
      <c r="E69" s="8"/>
      <c r="F69" s="8" t="s">
        <v>218</v>
      </c>
      <c r="G69" s="8" t="s">
        <v>268</v>
      </c>
      <c r="H69" s="8"/>
      <c r="I69" s="7"/>
      <c r="J69" s="7"/>
      <c r="K69" s="7">
        <v>1</v>
      </c>
      <c r="L69" s="7"/>
      <c r="M69" s="9"/>
      <c r="N69" s="9">
        <f>M69*K69</f>
        <v>0</v>
      </c>
      <c r="O69" s="8" t="s">
        <v>344</v>
      </c>
    </row>
    <row r="70" spans="1:15" s="3" customFormat="1" x14ac:dyDescent="0.25">
      <c r="A70" s="4"/>
    </row>
    <row r="71" spans="1:15" s="3" customFormat="1" x14ac:dyDescent="0.25">
      <c r="A71" s="4"/>
    </row>
    <row r="72" spans="1:15" s="3" customFormat="1" x14ac:dyDescent="0.25">
      <c r="A72" s="4"/>
    </row>
    <row r="73" spans="1:15" s="3" customFormat="1" x14ac:dyDescent="0.25">
      <c r="A73" s="4"/>
    </row>
    <row r="74" spans="1:15" s="3" customFormat="1" x14ac:dyDescent="0.25">
      <c r="A74" s="4"/>
    </row>
    <row r="75" spans="1:15" s="3" customFormat="1" x14ac:dyDescent="0.25">
      <c r="A75" s="4"/>
    </row>
    <row r="76" spans="1:15" s="3" customFormat="1" x14ac:dyDescent="0.25">
      <c r="A76" s="4"/>
    </row>
    <row r="77" spans="1:15" s="3" customFormat="1" x14ac:dyDescent="0.25">
      <c r="A77" s="4"/>
    </row>
    <row r="78" spans="1:15" s="3" customFormat="1" x14ac:dyDescent="0.25">
      <c r="A78" s="4"/>
    </row>
    <row r="79" spans="1:15" s="3" customFormat="1" x14ac:dyDescent="0.25">
      <c r="A79" s="4"/>
    </row>
    <row r="80" spans="1:15" s="3" customFormat="1" x14ac:dyDescent="0.25">
      <c r="A80" s="4"/>
    </row>
    <row r="81" spans="1:1" s="3" customFormat="1" x14ac:dyDescent="0.25">
      <c r="A81" s="4"/>
    </row>
    <row r="82" spans="1:1" s="3" customFormat="1" x14ac:dyDescent="0.25">
      <c r="A82" s="4"/>
    </row>
    <row r="83" spans="1:1" s="3" customFormat="1" x14ac:dyDescent="0.25">
      <c r="A83" s="4"/>
    </row>
    <row r="84" spans="1:1" s="3" customFormat="1" x14ac:dyDescent="0.25">
      <c r="A84" s="4"/>
    </row>
    <row r="85" spans="1:1" s="3" customFormat="1" x14ac:dyDescent="0.25">
      <c r="A85" s="4"/>
    </row>
    <row r="86" spans="1:1" s="3" customFormat="1" x14ac:dyDescent="0.25">
      <c r="A86" s="4"/>
    </row>
    <row r="87" spans="1:1" s="3" customFormat="1" x14ac:dyDescent="0.25">
      <c r="A87" s="4"/>
    </row>
    <row r="88" spans="1:1" s="3" customFormat="1" x14ac:dyDescent="0.25">
      <c r="A88" s="4"/>
    </row>
    <row r="89" spans="1:1" s="3" customFormat="1" x14ac:dyDescent="0.25">
      <c r="A89" s="4"/>
    </row>
    <row r="90" spans="1:1" s="3" customFormat="1" x14ac:dyDescent="0.25">
      <c r="A90" s="4"/>
    </row>
    <row r="91" spans="1:1" s="3" customFormat="1" x14ac:dyDescent="0.25">
      <c r="A91" s="4"/>
    </row>
    <row r="92" spans="1:1" s="3" customFormat="1" x14ac:dyDescent="0.25">
      <c r="A92" s="4"/>
    </row>
    <row r="93" spans="1:1" s="3" customFormat="1" x14ac:dyDescent="0.25">
      <c r="A93" s="4"/>
    </row>
    <row r="94" spans="1:1" s="3" customFormat="1" x14ac:dyDescent="0.25">
      <c r="A94" s="4"/>
    </row>
    <row r="95" spans="1:1" s="3" customFormat="1" x14ac:dyDescent="0.25">
      <c r="A95" s="4"/>
    </row>
    <row r="96" spans="1:1" s="3" customFormat="1" x14ac:dyDescent="0.25">
      <c r="A96" s="4"/>
    </row>
    <row r="97" spans="1:1" s="3" customFormat="1" x14ac:dyDescent="0.25">
      <c r="A97" s="4"/>
    </row>
    <row r="98" spans="1:1" s="3" customFormat="1" x14ac:dyDescent="0.25">
      <c r="A98" s="4"/>
    </row>
    <row r="99" spans="1:1" s="3" customFormat="1" x14ac:dyDescent="0.25">
      <c r="A99" s="4"/>
    </row>
    <row r="100" spans="1:1" s="3" customFormat="1" x14ac:dyDescent="0.25">
      <c r="A100" s="4"/>
    </row>
    <row r="101" spans="1:1" s="3" customFormat="1" x14ac:dyDescent="0.25">
      <c r="A101" s="4"/>
    </row>
    <row r="102" spans="1:1" s="3" customFormat="1" x14ac:dyDescent="0.25">
      <c r="A102" s="4"/>
    </row>
    <row r="103" spans="1:1" s="3" customFormat="1" x14ac:dyDescent="0.25">
      <c r="A103" s="4"/>
    </row>
    <row r="104" spans="1:1" s="3" customFormat="1" x14ac:dyDescent="0.25">
      <c r="A104" s="4"/>
    </row>
    <row r="105" spans="1:1" s="3" customFormat="1" x14ac:dyDescent="0.25">
      <c r="A105" s="4"/>
    </row>
    <row r="106" spans="1:1" s="3" customFormat="1" x14ac:dyDescent="0.25">
      <c r="A106" s="4"/>
    </row>
    <row r="107" spans="1:1" s="3" customFormat="1" x14ac:dyDescent="0.25">
      <c r="A107" s="4"/>
    </row>
    <row r="108" spans="1:1" s="3" customFormat="1" x14ac:dyDescent="0.25">
      <c r="A108" s="4"/>
    </row>
    <row r="109" spans="1:1" s="3" customFormat="1" x14ac:dyDescent="0.25">
      <c r="A109" s="4"/>
    </row>
    <row r="110" spans="1:1" s="3" customFormat="1" x14ac:dyDescent="0.25">
      <c r="A110" s="4"/>
    </row>
    <row r="111" spans="1:1" s="3" customFormat="1" x14ac:dyDescent="0.25">
      <c r="A111" s="4"/>
    </row>
    <row r="112" spans="1:1" s="3" customFormat="1" x14ac:dyDescent="0.25">
      <c r="A112" s="4"/>
    </row>
    <row r="113" spans="1:1" s="3" customFormat="1" x14ac:dyDescent="0.25">
      <c r="A113" s="4"/>
    </row>
    <row r="114" spans="1:1" s="3" customFormat="1" x14ac:dyDescent="0.25">
      <c r="A114" s="4"/>
    </row>
    <row r="115" spans="1:1" s="3" customFormat="1" x14ac:dyDescent="0.25">
      <c r="A115" s="4"/>
    </row>
    <row r="116" spans="1:1" s="3" customFormat="1" x14ac:dyDescent="0.25">
      <c r="A116" s="4"/>
    </row>
    <row r="117" spans="1:1" s="3" customFormat="1" x14ac:dyDescent="0.25">
      <c r="A117" s="4"/>
    </row>
    <row r="118" spans="1:1" s="3" customFormat="1" x14ac:dyDescent="0.25">
      <c r="A118" s="4"/>
    </row>
    <row r="119" spans="1:1" s="3" customFormat="1" x14ac:dyDescent="0.25">
      <c r="A119" s="4"/>
    </row>
    <row r="120" spans="1:1" s="3" customFormat="1" x14ac:dyDescent="0.25">
      <c r="A120" s="4"/>
    </row>
    <row r="121" spans="1:1" s="3" customFormat="1" x14ac:dyDescent="0.25">
      <c r="A121" s="4"/>
    </row>
    <row r="122" spans="1:1" s="3" customFormat="1" x14ac:dyDescent="0.25">
      <c r="A122" s="4"/>
    </row>
    <row r="123" spans="1:1" s="3" customFormat="1" x14ac:dyDescent="0.25">
      <c r="A123" s="4"/>
    </row>
    <row r="124" spans="1:1" s="3" customFormat="1" x14ac:dyDescent="0.25">
      <c r="A124" s="4"/>
    </row>
    <row r="125" spans="1:1" s="3" customFormat="1" x14ac:dyDescent="0.25">
      <c r="A125" s="4"/>
    </row>
    <row r="126" spans="1:1" s="3" customFormat="1" x14ac:dyDescent="0.25">
      <c r="A126" s="4"/>
    </row>
    <row r="127" spans="1:1" s="3" customFormat="1" x14ac:dyDescent="0.25">
      <c r="A127" s="4"/>
    </row>
    <row r="128" spans="1:1" s="3" customFormat="1" x14ac:dyDescent="0.25">
      <c r="A128" s="4"/>
    </row>
    <row r="129" spans="1:1" s="3" customFormat="1" x14ac:dyDescent="0.25">
      <c r="A129" s="4"/>
    </row>
    <row r="130" spans="1:1" s="3" customFormat="1" x14ac:dyDescent="0.25">
      <c r="A130" s="4"/>
    </row>
    <row r="131" spans="1:1" s="3" customFormat="1" x14ac:dyDescent="0.25">
      <c r="A131" s="4"/>
    </row>
    <row r="132" spans="1:1" s="3" customFormat="1" x14ac:dyDescent="0.25">
      <c r="A132" s="4"/>
    </row>
    <row r="133" spans="1:1" s="3" customFormat="1" x14ac:dyDescent="0.25">
      <c r="A133" s="4"/>
    </row>
    <row r="134" spans="1:1" s="3" customFormat="1" x14ac:dyDescent="0.25">
      <c r="A134" s="4"/>
    </row>
    <row r="135" spans="1:1" s="3" customFormat="1" x14ac:dyDescent="0.25">
      <c r="A135" s="4"/>
    </row>
    <row r="136" spans="1:1" s="3" customFormat="1" x14ac:dyDescent="0.25">
      <c r="A136" s="4"/>
    </row>
    <row r="137" spans="1:1" s="3" customFormat="1" x14ac:dyDescent="0.25">
      <c r="A137" s="4"/>
    </row>
    <row r="138" spans="1:1" s="3" customFormat="1" x14ac:dyDescent="0.25">
      <c r="A138" s="4"/>
    </row>
    <row r="139" spans="1:1" s="3" customFormat="1" x14ac:dyDescent="0.25">
      <c r="A139" s="4"/>
    </row>
    <row r="140" spans="1:1" s="3" customFormat="1" x14ac:dyDescent="0.25">
      <c r="A140" s="4"/>
    </row>
    <row r="141" spans="1:1" s="3" customFormat="1" x14ac:dyDescent="0.25">
      <c r="A141" s="4"/>
    </row>
    <row r="142" spans="1:1" s="3" customFormat="1" x14ac:dyDescent="0.25">
      <c r="A142" s="4"/>
    </row>
    <row r="143" spans="1:1" s="3" customFormat="1" x14ac:dyDescent="0.25">
      <c r="A143" s="4"/>
    </row>
    <row r="144" spans="1:1" s="3" customFormat="1" x14ac:dyDescent="0.25">
      <c r="A144" s="4"/>
    </row>
    <row r="145" spans="1:1" s="3" customFormat="1" x14ac:dyDescent="0.25">
      <c r="A145" s="4"/>
    </row>
    <row r="146" spans="1:1" s="3" customFormat="1" x14ac:dyDescent="0.25">
      <c r="A146" s="4"/>
    </row>
    <row r="147" spans="1:1" s="3" customFormat="1" x14ac:dyDescent="0.25">
      <c r="A147" s="4"/>
    </row>
    <row r="148" spans="1:1" s="3" customFormat="1" x14ac:dyDescent="0.25">
      <c r="A148" s="4"/>
    </row>
    <row r="149" spans="1:1" s="3" customFormat="1" x14ac:dyDescent="0.25">
      <c r="A149" s="4"/>
    </row>
    <row r="150" spans="1:1" s="3" customFormat="1" x14ac:dyDescent="0.25">
      <c r="A150" s="4"/>
    </row>
    <row r="151" spans="1:1" s="3" customFormat="1" x14ac:dyDescent="0.25">
      <c r="A151" s="4"/>
    </row>
    <row r="152" spans="1:1" s="3" customFormat="1" x14ac:dyDescent="0.25">
      <c r="A152" s="4"/>
    </row>
    <row r="153" spans="1:1" s="3" customFormat="1" x14ac:dyDescent="0.25">
      <c r="A153" s="4"/>
    </row>
    <row r="154" spans="1:1" s="3" customFormat="1" x14ac:dyDescent="0.25">
      <c r="A154" s="4"/>
    </row>
    <row r="155" spans="1:1" s="3" customFormat="1" x14ac:dyDescent="0.25">
      <c r="A155" s="4"/>
    </row>
    <row r="156" spans="1:1" s="3" customFormat="1" x14ac:dyDescent="0.25">
      <c r="A156" s="4"/>
    </row>
    <row r="157" spans="1:1" s="3" customFormat="1" x14ac:dyDescent="0.25">
      <c r="A157" s="4"/>
    </row>
    <row r="158" spans="1:1" s="3" customFormat="1" x14ac:dyDescent="0.25">
      <c r="A158" s="4"/>
    </row>
    <row r="159" spans="1:1" s="3" customFormat="1" x14ac:dyDescent="0.25">
      <c r="A159" s="4"/>
    </row>
    <row r="160" spans="1:1" s="3" customFormat="1" x14ac:dyDescent="0.25">
      <c r="A160" s="4"/>
    </row>
    <row r="161" spans="1:1" s="3" customFormat="1" x14ac:dyDescent="0.25">
      <c r="A161" s="4"/>
    </row>
    <row r="162" spans="1:1" s="3" customFormat="1" x14ac:dyDescent="0.25">
      <c r="A162" s="4"/>
    </row>
    <row r="163" spans="1:1" s="3" customFormat="1" x14ac:dyDescent="0.25">
      <c r="A163" s="4"/>
    </row>
    <row r="164" spans="1:1" s="3" customFormat="1" x14ac:dyDescent="0.25">
      <c r="A164" s="4"/>
    </row>
    <row r="165" spans="1:1" s="3" customFormat="1" x14ac:dyDescent="0.25">
      <c r="A165" s="4"/>
    </row>
    <row r="166" spans="1:1" s="3" customFormat="1" x14ac:dyDescent="0.25">
      <c r="A166" s="4"/>
    </row>
    <row r="167" spans="1:1" s="3" customFormat="1" x14ac:dyDescent="0.25">
      <c r="A167" s="4"/>
    </row>
    <row r="168" spans="1:1" s="3" customFormat="1" x14ac:dyDescent="0.25">
      <c r="A168" s="4"/>
    </row>
    <row r="169" spans="1:1" s="3" customFormat="1" x14ac:dyDescent="0.25">
      <c r="A169" s="4"/>
    </row>
    <row r="170" spans="1:1" s="3" customFormat="1" x14ac:dyDescent="0.25">
      <c r="A170" s="4"/>
    </row>
    <row r="171" spans="1:1" s="3" customFormat="1" x14ac:dyDescent="0.25">
      <c r="A171" s="4"/>
    </row>
    <row r="172" spans="1:1" s="3" customFormat="1" x14ac:dyDescent="0.25">
      <c r="A172" s="4"/>
    </row>
    <row r="173" spans="1:1" s="3" customFormat="1" x14ac:dyDescent="0.25">
      <c r="A173" s="4"/>
    </row>
    <row r="174" spans="1:1" s="3" customFormat="1" x14ac:dyDescent="0.25">
      <c r="A174" s="4"/>
    </row>
    <row r="175" spans="1:1" s="3" customFormat="1" x14ac:dyDescent="0.25">
      <c r="A175" s="4"/>
    </row>
    <row r="176" spans="1:1" s="3" customFormat="1" x14ac:dyDescent="0.25">
      <c r="A176" s="4"/>
    </row>
    <row r="177" spans="1:1" s="3" customFormat="1" x14ac:dyDescent="0.25">
      <c r="A177" s="4"/>
    </row>
    <row r="178" spans="1:1" s="3" customFormat="1" x14ac:dyDescent="0.25">
      <c r="A178" s="4"/>
    </row>
    <row r="179" spans="1:1" s="3" customFormat="1" x14ac:dyDescent="0.25">
      <c r="A179" s="4"/>
    </row>
    <row r="180" spans="1:1" s="3" customFormat="1" x14ac:dyDescent="0.25">
      <c r="A180" s="4"/>
    </row>
    <row r="181" spans="1:1" s="3" customFormat="1" x14ac:dyDescent="0.25">
      <c r="A181" s="4"/>
    </row>
    <row r="182" spans="1:1" s="3" customFormat="1" x14ac:dyDescent="0.25">
      <c r="A182" s="4"/>
    </row>
    <row r="183" spans="1:1" s="3" customFormat="1" x14ac:dyDescent="0.25">
      <c r="A183" s="4"/>
    </row>
    <row r="184" spans="1:1" s="3" customFormat="1" x14ac:dyDescent="0.25">
      <c r="A184" s="4"/>
    </row>
    <row r="185" spans="1:1" s="3" customFormat="1" x14ac:dyDescent="0.25">
      <c r="A185" s="4"/>
    </row>
    <row r="186" spans="1:1" s="3" customFormat="1" x14ac:dyDescent="0.25">
      <c r="A186" s="4"/>
    </row>
    <row r="187" spans="1:1" s="3" customFormat="1" x14ac:dyDescent="0.25">
      <c r="A187" s="4"/>
    </row>
    <row r="188" spans="1:1" s="3" customFormat="1" x14ac:dyDescent="0.25">
      <c r="A188" s="4"/>
    </row>
    <row r="189" spans="1:1" s="3" customFormat="1" x14ac:dyDescent="0.25">
      <c r="A189" s="4"/>
    </row>
    <row r="190" spans="1:1" s="3" customFormat="1" x14ac:dyDescent="0.25">
      <c r="A190" s="4"/>
    </row>
    <row r="191" spans="1:1" s="3" customFormat="1" x14ac:dyDescent="0.25">
      <c r="A191" s="4"/>
    </row>
    <row r="192" spans="1:1" s="3" customFormat="1" x14ac:dyDescent="0.25">
      <c r="A192" s="4"/>
    </row>
    <row r="193" spans="1:1" s="3" customFormat="1" x14ac:dyDescent="0.25">
      <c r="A193" s="4"/>
    </row>
    <row r="194" spans="1:1" s="3" customFormat="1" x14ac:dyDescent="0.25">
      <c r="A194" s="4"/>
    </row>
    <row r="195" spans="1:1" s="3" customFormat="1" x14ac:dyDescent="0.25">
      <c r="A195" s="4"/>
    </row>
    <row r="196" spans="1:1" s="3" customFormat="1" x14ac:dyDescent="0.25">
      <c r="A196" s="4"/>
    </row>
    <row r="197" spans="1:1" s="3" customFormat="1" x14ac:dyDescent="0.25">
      <c r="A197" s="4"/>
    </row>
    <row r="198" spans="1:1" s="3" customFormat="1" x14ac:dyDescent="0.25">
      <c r="A198" s="4"/>
    </row>
    <row r="199" spans="1:1" s="3" customFormat="1" x14ac:dyDescent="0.25">
      <c r="A199" s="4"/>
    </row>
    <row r="200" spans="1:1" s="3" customFormat="1" x14ac:dyDescent="0.25">
      <c r="A200" s="4"/>
    </row>
    <row r="201" spans="1:1" s="3" customFormat="1" x14ac:dyDescent="0.25">
      <c r="A201" s="4"/>
    </row>
    <row r="202" spans="1:1" s="3" customFormat="1" x14ac:dyDescent="0.25">
      <c r="A202" s="4"/>
    </row>
    <row r="203" spans="1:1" s="3" customFormat="1" x14ac:dyDescent="0.25">
      <c r="A203" s="4"/>
    </row>
    <row r="204" spans="1:1" s="3" customFormat="1" x14ac:dyDescent="0.25">
      <c r="A204" s="4"/>
    </row>
    <row r="205" spans="1:1" s="3" customFormat="1" x14ac:dyDescent="0.25">
      <c r="A205" s="4"/>
    </row>
    <row r="206" spans="1:1" s="3" customFormat="1" x14ac:dyDescent="0.25">
      <c r="A206" s="4"/>
    </row>
    <row r="207" spans="1:1" s="3" customFormat="1" x14ac:dyDescent="0.25">
      <c r="A207" s="4"/>
    </row>
    <row r="208" spans="1:1" s="3" customFormat="1" x14ac:dyDescent="0.25">
      <c r="A208" s="4"/>
    </row>
    <row r="209" spans="1:1" s="3" customFormat="1" x14ac:dyDescent="0.25">
      <c r="A209" s="4"/>
    </row>
    <row r="210" spans="1:1" s="3" customFormat="1" x14ac:dyDescent="0.25">
      <c r="A210" s="4"/>
    </row>
    <row r="211" spans="1:1" s="3" customFormat="1" x14ac:dyDescent="0.25">
      <c r="A211" s="4"/>
    </row>
    <row r="212" spans="1:1" s="3" customFormat="1" x14ac:dyDescent="0.25">
      <c r="A212" s="4"/>
    </row>
    <row r="213" spans="1:1" s="3" customFormat="1" x14ac:dyDescent="0.25">
      <c r="A213" s="4"/>
    </row>
    <row r="214" spans="1:1" s="3" customFormat="1" x14ac:dyDescent="0.25">
      <c r="A214" s="4"/>
    </row>
    <row r="215" spans="1:1" s="3" customFormat="1" x14ac:dyDescent="0.25">
      <c r="A215" s="4"/>
    </row>
    <row r="216" spans="1:1" s="3" customFormat="1" x14ac:dyDescent="0.25">
      <c r="A216" s="4"/>
    </row>
    <row r="217" spans="1:1" s="3" customFormat="1" x14ac:dyDescent="0.25">
      <c r="A217" s="4"/>
    </row>
    <row r="218" spans="1:1" s="3" customFormat="1" x14ac:dyDescent="0.25">
      <c r="A218" s="4"/>
    </row>
    <row r="219" spans="1:1" s="3" customFormat="1" x14ac:dyDescent="0.25">
      <c r="A219" s="4"/>
    </row>
    <row r="220" spans="1:1" s="3" customFormat="1" x14ac:dyDescent="0.25">
      <c r="A220" s="4"/>
    </row>
    <row r="221" spans="1:1" s="3" customFormat="1" x14ac:dyDescent="0.25">
      <c r="A221" s="4"/>
    </row>
    <row r="222" spans="1:1" s="3" customFormat="1" x14ac:dyDescent="0.25">
      <c r="A222" s="4"/>
    </row>
    <row r="223" spans="1:1" s="3" customFormat="1" x14ac:dyDescent="0.25">
      <c r="A223" s="4"/>
    </row>
    <row r="224" spans="1:1" s="3" customFormat="1" x14ac:dyDescent="0.25">
      <c r="A224" s="4"/>
    </row>
    <row r="225" spans="1:1" s="3" customFormat="1" x14ac:dyDescent="0.25">
      <c r="A225" s="4"/>
    </row>
    <row r="226" spans="1:1" s="3" customFormat="1" x14ac:dyDescent="0.25">
      <c r="A226" s="4"/>
    </row>
    <row r="227" spans="1:1" s="3" customFormat="1" x14ac:dyDescent="0.25">
      <c r="A227" s="4"/>
    </row>
    <row r="228" spans="1:1" s="3" customFormat="1" x14ac:dyDescent="0.25">
      <c r="A228" s="4"/>
    </row>
    <row r="229" spans="1:1" s="3" customFormat="1" x14ac:dyDescent="0.25">
      <c r="A229" s="4"/>
    </row>
    <row r="230" spans="1:1" s="3" customFormat="1" x14ac:dyDescent="0.25">
      <c r="A230" s="4"/>
    </row>
    <row r="231" spans="1:1" s="3" customFormat="1" x14ac:dyDescent="0.25">
      <c r="A231" s="4"/>
    </row>
    <row r="232" spans="1:1" s="3" customFormat="1" x14ac:dyDescent="0.25">
      <c r="A232" s="4"/>
    </row>
    <row r="233" spans="1:1" s="3" customFormat="1" x14ac:dyDescent="0.25">
      <c r="A233" s="4"/>
    </row>
    <row r="234" spans="1:1" s="3" customFormat="1" x14ac:dyDescent="0.25">
      <c r="A234" s="4"/>
    </row>
    <row r="235" spans="1:1" s="3" customFormat="1" x14ac:dyDescent="0.25">
      <c r="A235" s="4"/>
    </row>
    <row r="236" spans="1:1" s="3" customFormat="1" x14ac:dyDescent="0.25">
      <c r="A236" s="4"/>
    </row>
    <row r="237" spans="1:1" s="3" customFormat="1" x14ac:dyDescent="0.25">
      <c r="A237" s="4"/>
    </row>
    <row r="238" spans="1:1" s="3" customFormat="1" x14ac:dyDescent="0.25">
      <c r="A238" s="4"/>
    </row>
    <row r="239" spans="1:1" s="3" customFormat="1" x14ac:dyDescent="0.25">
      <c r="A239" s="4"/>
    </row>
    <row r="240" spans="1:1" s="3" customFormat="1" x14ac:dyDescent="0.25">
      <c r="A240" s="4"/>
    </row>
    <row r="241" spans="1:1" s="3" customFormat="1" x14ac:dyDescent="0.25">
      <c r="A241" s="4"/>
    </row>
    <row r="242" spans="1:1" s="3" customFormat="1" x14ac:dyDescent="0.25">
      <c r="A242" s="4"/>
    </row>
    <row r="243" spans="1:1" s="3" customFormat="1" x14ac:dyDescent="0.25">
      <c r="A243" s="4"/>
    </row>
    <row r="244" spans="1:1" s="3" customFormat="1" x14ac:dyDescent="0.25">
      <c r="A244" s="4"/>
    </row>
    <row r="245" spans="1:1" s="3" customFormat="1" x14ac:dyDescent="0.25">
      <c r="A245" s="4"/>
    </row>
    <row r="246" spans="1:1" s="3" customFormat="1" x14ac:dyDescent="0.25">
      <c r="A246" s="4"/>
    </row>
    <row r="247" spans="1:1" s="3" customFormat="1" x14ac:dyDescent="0.25">
      <c r="A247" s="4"/>
    </row>
    <row r="248" spans="1:1" s="3" customFormat="1" x14ac:dyDescent="0.25">
      <c r="A248" s="4"/>
    </row>
    <row r="249" spans="1:1" s="3" customFormat="1" x14ac:dyDescent="0.25">
      <c r="A249" s="4"/>
    </row>
    <row r="250" spans="1:1" s="3" customFormat="1" x14ac:dyDescent="0.25">
      <c r="A250" s="4"/>
    </row>
    <row r="251" spans="1:1" s="3" customFormat="1" x14ac:dyDescent="0.25">
      <c r="A251" s="4"/>
    </row>
    <row r="252" spans="1:1" s="3" customFormat="1" x14ac:dyDescent="0.25">
      <c r="A252" s="4"/>
    </row>
    <row r="253" spans="1:1" s="3" customFormat="1" x14ac:dyDescent="0.25">
      <c r="A253" s="4"/>
    </row>
    <row r="254" spans="1:1" s="3" customFormat="1" x14ac:dyDescent="0.25">
      <c r="A254" s="4"/>
    </row>
    <row r="255" spans="1:1" s="3" customFormat="1" x14ac:dyDescent="0.25">
      <c r="A255" s="4"/>
    </row>
    <row r="256" spans="1:1" s="3" customFormat="1" x14ac:dyDescent="0.25">
      <c r="A256" s="4"/>
    </row>
    <row r="257" spans="1:1" s="3" customFormat="1" x14ac:dyDescent="0.25">
      <c r="A257" s="4"/>
    </row>
    <row r="258" spans="1:1" s="3" customFormat="1" x14ac:dyDescent="0.25">
      <c r="A258" s="4"/>
    </row>
    <row r="259" spans="1:1" s="3" customFormat="1" x14ac:dyDescent="0.25">
      <c r="A259" s="4"/>
    </row>
    <row r="260" spans="1:1" s="3" customFormat="1" x14ac:dyDescent="0.25">
      <c r="A260" s="4"/>
    </row>
    <row r="261" spans="1:1" s="3" customFormat="1" x14ac:dyDescent="0.25">
      <c r="A261" s="4"/>
    </row>
    <row r="262" spans="1:1" s="3" customFormat="1" x14ac:dyDescent="0.25">
      <c r="A262" s="4"/>
    </row>
    <row r="263" spans="1:1" s="3" customFormat="1" x14ac:dyDescent="0.25">
      <c r="A263" s="4"/>
    </row>
    <row r="264" spans="1:1" s="3" customFormat="1" x14ac:dyDescent="0.25">
      <c r="A264" s="4"/>
    </row>
    <row r="265" spans="1:1" s="3" customFormat="1" x14ac:dyDescent="0.25">
      <c r="A265" s="4"/>
    </row>
    <row r="266" spans="1:1" s="3" customFormat="1" x14ac:dyDescent="0.25">
      <c r="A266" s="4"/>
    </row>
    <row r="267" spans="1:1" s="3" customFormat="1" x14ac:dyDescent="0.25">
      <c r="A267" s="4"/>
    </row>
    <row r="268" spans="1:1" s="3" customFormat="1" x14ac:dyDescent="0.25">
      <c r="A268" s="4"/>
    </row>
    <row r="269" spans="1:1" s="3" customFormat="1" x14ac:dyDescent="0.25">
      <c r="A269" s="4"/>
    </row>
    <row r="270" spans="1:1" s="3" customFormat="1" x14ac:dyDescent="0.25">
      <c r="A270" s="4"/>
    </row>
    <row r="271" spans="1:1" s="3" customFormat="1" x14ac:dyDescent="0.25">
      <c r="A271" s="4"/>
    </row>
    <row r="272" spans="1:1" s="3" customFormat="1" x14ac:dyDescent="0.25">
      <c r="A272" s="4"/>
    </row>
    <row r="273" spans="1:1" s="3" customFormat="1" x14ac:dyDescent="0.25">
      <c r="A273" s="4"/>
    </row>
    <row r="274" spans="1:1" s="3" customFormat="1" x14ac:dyDescent="0.25">
      <c r="A274" s="4"/>
    </row>
    <row r="275" spans="1:1" s="3" customFormat="1" x14ac:dyDescent="0.25">
      <c r="A275" s="4"/>
    </row>
    <row r="276" spans="1:1" s="3" customFormat="1" x14ac:dyDescent="0.25">
      <c r="A276" s="4"/>
    </row>
    <row r="277" spans="1:1" s="3" customFormat="1" x14ac:dyDescent="0.25">
      <c r="A277" s="4"/>
    </row>
    <row r="278" spans="1:1" s="3" customFormat="1" x14ac:dyDescent="0.25">
      <c r="A278" s="4"/>
    </row>
    <row r="279" spans="1:1" s="3" customFormat="1" x14ac:dyDescent="0.25">
      <c r="A279" s="4"/>
    </row>
    <row r="280" spans="1:1" s="3" customFormat="1" x14ac:dyDescent="0.25">
      <c r="A280" s="4"/>
    </row>
    <row r="281" spans="1:1" s="3" customFormat="1" x14ac:dyDescent="0.25">
      <c r="A281" s="4"/>
    </row>
    <row r="282" spans="1:1" s="3" customFormat="1" x14ac:dyDescent="0.25">
      <c r="A282" s="4"/>
    </row>
    <row r="283" spans="1:1" s="3" customFormat="1" x14ac:dyDescent="0.25">
      <c r="A283" s="4"/>
    </row>
    <row r="284" spans="1:1" s="3" customFormat="1" x14ac:dyDescent="0.25">
      <c r="A284" s="4"/>
    </row>
    <row r="285" spans="1:1" s="3" customFormat="1" x14ac:dyDescent="0.25">
      <c r="A285" s="4"/>
    </row>
    <row r="286" spans="1:1" s="3" customFormat="1" x14ac:dyDescent="0.25">
      <c r="A286" s="4"/>
    </row>
    <row r="287" spans="1:1" s="3" customFormat="1" x14ac:dyDescent="0.25">
      <c r="A287" s="4"/>
    </row>
    <row r="288" spans="1:1" s="3" customFormat="1" x14ac:dyDescent="0.25">
      <c r="A288" s="4"/>
    </row>
    <row r="289" spans="1:1" s="3" customFormat="1" x14ac:dyDescent="0.25">
      <c r="A289" s="4"/>
    </row>
    <row r="290" spans="1:1" s="3" customFormat="1" x14ac:dyDescent="0.25">
      <c r="A290" s="4"/>
    </row>
    <row r="291" spans="1:1" s="3" customFormat="1" x14ac:dyDescent="0.25">
      <c r="A291" s="4"/>
    </row>
    <row r="292" spans="1:1" s="3" customFormat="1" x14ac:dyDescent="0.25">
      <c r="A292" s="4"/>
    </row>
    <row r="293" spans="1:1" s="3" customFormat="1" x14ac:dyDescent="0.25">
      <c r="A293" s="4"/>
    </row>
    <row r="294" spans="1:1" s="3" customFormat="1" x14ac:dyDescent="0.25">
      <c r="A294" s="4"/>
    </row>
    <row r="295" spans="1:1" s="3" customFormat="1" x14ac:dyDescent="0.25">
      <c r="A295" s="4"/>
    </row>
    <row r="296" spans="1:1" s="3" customFormat="1" x14ac:dyDescent="0.25">
      <c r="A296" s="4"/>
    </row>
    <row r="297" spans="1:1" s="3" customFormat="1" x14ac:dyDescent="0.25">
      <c r="A297" s="4"/>
    </row>
    <row r="298" spans="1:1" s="3" customFormat="1" x14ac:dyDescent="0.25">
      <c r="A298" s="4"/>
    </row>
    <row r="299" spans="1:1" s="3" customFormat="1" x14ac:dyDescent="0.25">
      <c r="A299" s="4"/>
    </row>
    <row r="300" spans="1:1" s="3" customFormat="1" x14ac:dyDescent="0.25">
      <c r="A300" s="4"/>
    </row>
    <row r="301" spans="1:1" s="3" customFormat="1" x14ac:dyDescent="0.25">
      <c r="A301" s="4"/>
    </row>
    <row r="302" spans="1:1" s="3" customFormat="1" x14ac:dyDescent="0.25">
      <c r="A302" s="4"/>
    </row>
    <row r="303" spans="1:1" s="3" customFormat="1" x14ac:dyDescent="0.25">
      <c r="A303" s="4"/>
    </row>
    <row r="304" spans="1:1" s="3" customFormat="1" x14ac:dyDescent="0.25">
      <c r="A304" s="4"/>
    </row>
    <row r="305" spans="1:1" s="3" customFormat="1" x14ac:dyDescent="0.25">
      <c r="A305" s="4"/>
    </row>
    <row r="306" spans="1:1" s="3" customFormat="1" x14ac:dyDescent="0.25">
      <c r="A306" s="4"/>
    </row>
    <row r="307" spans="1:1" s="3" customFormat="1" x14ac:dyDescent="0.25">
      <c r="A307" s="4"/>
    </row>
    <row r="308" spans="1:1" s="3" customFormat="1" x14ac:dyDescent="0.25">
      <c r="A308" s="4"/>
    </row>
    <row r="309" spans="1:1" s="3" customFormat="1" x14ac:dyDescent="0.25">
      <c r="A309" s="4"/>
    </row>
    <row r="310" spans="1:1" s="3" customFormat="1" x14ac:dyDescent="0.25">
      <c r="A310" s="4"/>
    </row>
    <row r="311" spans="1:1" s="3" customFormat="1" x14ac:dyDescent="0.25">
      <c r="A311" s="4"/>
    </row>
    <row r="312" spans="1:1" s="3" customFormat="1" x14ac:dyDescent="0.25">
      <c r="A312" s="4"/>
    </row>
    <row r="313" spans="1:1" s="3" customFormat="1" x14ac:dyDescent="0.25">
      <c r="A313" s="4"/>
    </row>
    <row r="314" spans="1:1" s="3" customFormat="1" x14ac:dyDescent="0.25">
      <c r="A314" s="4"/>
    </row>
    <row r="315" spans="1:1" s="3" customFormat="1" x14ac:dyDescent="0.25">
      <c r="A315" s="4"/>
    </row>
    <row r="316" spans="1:1" s="3" customFormat="1" x14ac:dyDescent="0.25">
      <c r="A316" s="4"/>
    </row>
    <row r="317" spans="1:1" s="3" customFormat="1" x14ac:dyDescent="0.25">
      <c r="A317" s="4"/>
    </row>
    <row r="318" spans="1:1" s="3" customFormat="1" x14ac:dyDescent="0.25">
      <c r="A318" s="4"/>
    </row>
    <row r="319" spans="1:1" s="3" customFormat="1" x14ac:dyDescent="0.25">
      <c r="A319" s="4"/>
    </row>
    <row r="320" spans="1:1" s="3" customFormat="1" x14ac:dyDescent="0.25">
      <c r="A320" s="4"/>
    </row>
    <row r="321" spans="1:1" s="3" customFormat="1" x14ac:dyDescent="0.25">
      <c r="A321" s="4"/>
    </row>
    <row r="322" spans="1:1" s="3" customFormat="1" x14ac:dyDescent="0.25">
      <c r="A322" s="4"/>
    </row>
    <row r="323" spans="1:1" s="3" customFormat="1" x14ac:dyDescent="0.25">
      <c r="A323" s="4"/>
    </row>
    <row r="324" spans="1:1" s="3" customFormat="1" x14ac:dyDescent="0.25">
      <c r="A324" s="4"/>
    </row>
    <row r="325" spans="1:1" s="3" customFormat="1" x14ac:dyDescent="0.25">
      <c r="A325" s="4"/>
    </row>
    <row r="326" spans="1:1" s="3" customFormat="1" x14ac:dyDescent="0.25">
      <c r="A326" s="4"/>
    </row>
    <row r="327" spans="1:1" s="3" customFormat="1" x14ac:dyDescent="0.25">
      <c r="A327" s="4"/>
    </row>
    <row r="328" spans="1:1" s="3" customFormat="1" x14ac:dyDescent="0.25">
      <c r="A328" s="4"/>
    </row>
    <row r="329" spans="1:1" s="3" customFormat="1" x14ac:dyDescent="0.25">
      <c r="A329" s="4"/>
    </row>
    <row r="330" spans="1:1" s="3" customFormat="1" x14ac:dyDescent="0.25">
      <c r="A330" s="4"/>
    </row>
    <row r="331" spans="1:1" s="3" customFormat="1" x14ac:dyDescent="0.25">
      <c r="A331" s="4"/>
    </row>
    <row r="332" spans="1:1" s="3" customFormat="1" x14ac:dyDescent="0.25">
      <c r="A332" s="4"/>
    </row>
    <row r="333" spans="1:1" s="3" customFormat="1" x14ac:dyDescent="0.25">
      <c r="A333" s="4"/>
    </row>
    <row r="334" spans="1:1" s="3" customFormat="1" x14ac:dyDescent="0.25">
      <c r="A334" s="4"/>
    </row>
    <row r="335" spans="1:1" s="3" customFormat="1" x14ac:dyDescent="0.25">
      <c r="A335" s="4"/>
    </row>
    <row r="336" spans="1:1" s="3" customFormat="1" x14ac:dyDescent="0.25">
      <c r="A336" s="4"/>
    </row>
    <row r="337" spans="1:1" s="3" customFormat="1" x14ac:dyDescent="0.25">
      <c r="A337" s="4"/>
    </row>
    <row r="338" spans="1:1" s="3" customFormat="1" x14ac:dyDescent="0.25">
      <c r="A338" s="4"/>
    </row>
    <row r="339" spans="1:1" s="3" customFormat="1" x14ac:dyDescent="0.25">
      <c r="A339" s="4"/>
    </row>
    <row r="340" spans="1:1" s="3" customFormat="1" x14ac:dyDescent="0.25">
      <c r="A340" s="4"/>
    </row>
    <row r="341" spans="1:1" s="3" customFormat="1" x14ac:dyDescent="0.25">
      <c r="A341" s="4"/>
    </row>
    <row r="342" spans="1:1" s="3" customFormat="1" x14ac:dyDescent="0.25">
      <c r="A342" s="4"/>
    </row>
    <row r="343" spans="1:1" s="3" customFormat="1" x14ac:dyDescent="0.25">
      <c r="A343" s="4"/>
    </row>
    <row r="344" spans="1:1" s="3" customFormat="1" x14ac:dyDescent="0.25">
      <c r="A344" s="4"/>
    </row>
    <row r="345" spans="1:1" s="3" customFormat="1" x14ac:dyDescent="0.25">
      <c r="A345" s="4"/>
    </row>
    <row r="346" spans="1:1" s="3" customFormat="1" x14ac:dyDescent="0.25">
      <c r="A346" s="4"/>
    </row>
    <row r="347" spans="1:1" s="3" customFormat="1" x14ac:dyDescent="0.25">
      <c r="A347" s="4"/>
    </row>
    <row r="348" spans="1:1" s="3" customFormat="1" x14ac:dyDescent="0.25">
      <c r="A348" s="4"/>
    </row>
    <row r="349" spans="1:1" s="3" customFormat="1" x14ac:dyDescent="0.25">
      <c r="A349" s="4"/>
    </row>
    <row r="350" spans="1:1" s="3" customFormat="1" x14ac:dyDescent="0.25">
      <c r="A350" s="4"/>
    </row>
    <row r="351" spans="1:1" s="3" customFormat="1" x14ac:dyDescent="0.25">
      <c r="A351" s="4"/>
    </row>
    <row r="352" spans="1:1" s="3" customFormat="1" x14ac:dyDescent="0.25">
      <c r="A352" s="4"/>
    </row>
    <row r="353" spans="1:1" s="3" customFormat="1" x14ac:dyDescent="0.25">
      <c r="A353" s="4"/>
    </row>
    <row r="354" spans="1:1" s="3" customFormat="1" x14ac:dyDescent="0.25">
      <c r="A354" s="4"/>
    </row>
    <row r="355" spans="1:1" s="3" customFormat="1" x14ac:dyDescent="0.25">
      <c r="A355" s="4"/>
    </row>
    <row r="356" spans="1:1" s="3" customFormat="1" x14ac:dyDescent="0.25">
      <c r="A356" s="4"/>
    </row>
    <row r="357" spans="1:1" s="3" customFormat="1" x14ac:dyDescent="0.25">
      <c r="A357" s="4"/>
    </row>
    <row r="358" spans="1:1" s="3" customFormat="1" x14ac:dyDescent="0.25">
      <c r="A358" s="4"/>
    </row>
    <row r="359" spans="1:1" s="3" customFormat="1" x14ac:dyDescent="0.25">
      <c r="A359" s="4"/>
    </row>
    <row r="360" spans="1:1" s="3" customFormat="1" x14ac:dyDescent="0.25">
      <c r="A360" s="4"/>
    </row>
    <row r="361" spans="1:1" s="3" customFormat="1" x14ac:dyDescent="0.25">
      <c r="A361" s="4"/>
    </row>
    <row r="362" spans="1:1" s="3" customFormat="1" x14ac:dyDescent="0.25">
      <c r="A362" s="4"/>
    </row>
    <row r="363" spans="1:1" s="3" customFormat="1" x14ac:dyDescent="0.25">
      <c r="A363" s="4"/>
    </row>
    <row r="364" spans="1:1" s="3" customFormat="1" x14ac:dyDescent="0.25">
      <c r="A364" s="4"/>
    </row>
    <row r="365" spans="1:1" s="3" customFormat="1" x14ac:dyDescent="0.25">
      <c r="A365" s="4"/>
    </row>
    <row r="366" spans="1:1" s="3" customFormat="1" x14ac:dyDescent="0.25">
      <c r="A366" s="4"/>
    </row>
    <row r="367" spans="1:1" s="3" customFormat="1" x14ac:dyDescent="0.25">
      <c r="A367" s="4"/>
    </row>
    <row r="368" spans="1:1" s="3" customFormat="1" x14ac:dyDescent="0.25">
      <c r="A368" s="4"/>
    </row>
    <row r="369" spans="1:1" s="3" customFormat="1" x14ac:dyDescent="0.25">
      <c r="A369" s="4"/>
    </row>
    <row r="370" spans="1:1" s="3" customFormat="1" x14ac:dyDescent="0.25">
      <c r="A370" s="4"/>
    </row>
    <row r="371" spans="1:1" s="3" customFormat="1" x14ac:dyDescent="0.25">
      <c r="A371" s="4"/>
    </row>
    <row r="372" spans="1:1" s="3" customFormat="1" x14ac:dyDescent="0.25">
      <c r="A372" s="4"/>
    </row>
    <row r="373" spans="1:1" s="3" customFormat="1" x14ac:dyDescent="0.25">
      <c r="A373" s="4"/>
    </row>
    <row r="374" spans="1:1" s="3" customFormat="1" x14ac:dyDescent="0.25">
      <c r="A374" s="4"/>
    </row>
    <row r="375" spans="1:1" s="3" customFormat="1" x14ac:dyDescent="0.25">
      <c r="A375" s="4"/>
    </row>
    <row r="376" spans="1:1" s="3" customFormat="1" x14ac:dyDescent="0.25">
      <c r="A376" s="4"/>
    </row>
    <row r="377" spans="1:1" s="3" customFormat="1" x14ac:dyDescent="0.25">
      <c r="A377" s="4"/>
    </row>
    <row r="378" spans="1:1" s="3" customFormat="1" x14ac:dyDescent="0.25">
      <c r="A378" s="4"/>
    </row>
    <row r="379" spans="1:1" s="3" customFormat="1" x14ac:dyDescent="0.25">
      <c r="A379" s="4"/>
    </row>
    <row r="380" spans="1:1" s="3" customFormat="1" x14ac:dyDescent="0.25">
      <c r="A380" s="4"/>
    </row>
    <row r="381" spans="1:1" s="3" customFormat="1" x14ac:dyDescent="0.25">
      <c r="A381" s="4"/>
    </row>
    <row r="382" spans="1:1" s="3" customFormat="1" x14ac:dyDescent="0.25">
      <c r="A382" s="4"/>
    </row>
    <row r="383" spans="1:1" s="3" customFormat="1" x14ac:dyDescent="0.25">
      <c r="A383" s="4"/>
    </row>
    <row r="384" spans="1:1" s="3" customFormat="1" x14ac:dyDescent="0.25">
      <c r="A384" s="4"/>
    </row>
    <row r="385" spans="1:1" s="3" customFormat="1" x14ac:dyDescent="0.25">
      <c r="A385" s="4"/>
    </row>
    <row r="386" spans="1:1" s="3" customFormat="1" x14ac:dyDescent="0.25">
      <c r="A386" s="4"/>
    </row>
    <row r="387" spans="1:1" s="3" customFormat="1" x14ac:dyDescent="0.25">
      <c r="A387" s="4"/>
    </row>
    <row r="388" spans="1:1" s="3" customFormat="1" x14ac:dyDescent="0.25">
      <c r="A388" s="4"/>
    </row>
    <row r="389" spans="1:1" s="3" customFormat="1" x14ac:dyDescent="0.25">
      <c r="A389" s="4"/>
    </row>
    <row r="390" spans="1:1" s="3" customFormat="1" x14ac:dyDescent="0.25">
      <c r="A390" s="4"/>
    </row>
    <row r="391" spans="1:1" s="3" customFormat="1" x14ac:dyDescent="0.25">
      <c r="A391" s="4"/>
    </row>
    <row r="392" spans="1:1" s="3" customFormat="1" x14ac:dyDescent="0.25">
      <c r="A392" s="4"/>
    </row>
    <row r="393" spans="1:1" s="3" customFormat="1" x14ac:dyDescent="0.25">
      <c r="A393" s="4"/>
    </row>
    <row r="394" spans="1:1" s="3" customFormat="1" x14ac:dyDescent="0.25">
      <c r="A394" s="4"/>
    </row>
    <row r="395" spans="1:1" s="3" customFormat="1" x14ac:dyDescent="0.25">
      <c r="A395" s="4"/>
    </row>
    <row r="396" spans="1:1" s="3" customFormat="1" x14ac:dyDescent="0.25">
      <c r="A396" s="4"/>
    </row>
    <row r="397" spans="1:1" s="3" customFormat="1" x14ac:dyDescent="0.25">
      <c r="A397" s="4"/>
    </row>
    <row r="398" spans="1:1" s="3" customFormat="1" x14ac:dyDescent="0.25">
      <c r="A398" s="4"/>
    </row>
    <row r="399" spans="1:1" s="3" customFormat="1" x14ac:dyDescent="0.25">
      <c r="A399" s="4"/>
    </row>
    <row r="400" spans="1:1" s="3" customFormat="1" x14ac:dyDescent="0.25">
      <c r="A400" s="4"/>
    </row>
    <row r="401" spans="1:1" s="3" customFormat="1" x14ac:dyDescent="0.25">
      <c r="A401" s="4"/>
    </row>
    <row r="402" spans="1:1" s="3" customFormat="1" x14ac:dyDescent="0.25">
      <c r="A402" s="4"/>
    </row>
    <row r="403" spans="1:1" s="3" customFormat="1" x14ac:dyDescent="0.25">
      <c r="A403" s="4"/>
    </row>
    <row r="404" spans="1:1" s="3" customFormat="1" x14ac:dyDescent="0.25">
      <c r="A404" s="4"/>
    </row>
    <row r="405" spans="1:1" s="3" customFormat="1" x14ac:dyDescent="0.25">
      <c r="A405" s="4"/>
    </row>
    <row r="406" spans="1:1" s="3" customFormat="1" x14ac:dyDescent="0.25">
      <c r="A406" s="4"/>
    </row>
    <row r="407" spans="1:1" s="3" customFormat="1" x14ac:dyDescent="0.25">
      <c r="A407" s="4"/>
    </row>
    <row r="408" spans="1:1" s="3" customFormat="1" x14ac:dyDescent="0.25">
      <c r="A408" s="4"/>
    </row>
    <row r="409" spans="1:1" s="3" customFormat="1" x14ac:dyDescent="0.25">
      <c r="A409" s="4"/>
    </row>
    <row r="410" spans="1:1" s="3" customFormat="1" x14ac:dyDescent="0.25">
      <c r="A410" s="4"/>
    </row>
    <row r="411" spans="1:1" s="3" customFormat="1" x14ac:dyDescent="0.25">
      <c r="A411" s="4"/>
    </row>
    <row r="412" spans="1:1" s="3" customFormat="1" x14ac:dyDescent="0.25">
      <c r="A412" s="4"/>
    </row>
    <row r="413" spans="1:1" s="3" customFormat="1" x14ac:dyDescent="0.25">
      <c r="A413" s="4"/>
    </row>
    <row r="414" spans="1:1" s="3" customFormat="1" x14ac:dyDescent="0.25">
      <c r="A414" s="4"/>
    </row>
    <row r="415" spans="1:1" s="3" customFormat="1" x14ac:dyDescent="0.25">
      <c r="A415" s="4"/>
    </row>
    <row r="416" spans="1:1" s="3" customFormat="1" x14ac:dyDescent="0.25">
      <c r="A416" s="4"/>
    </row>
    <row r="417" spans="1:1" s="3" customFormat="1" x14ac:dyDescent="0.25">
      <c r="A417" s="4"/>
    </row>
    <row r="418" spans="1:1" s="3" customFormat="1" x14ac:dyDescent="0.25">
      <c r="A418" s="4"/>
    </row>
    <row r="419" spans="1:1" s="3" customFormat="1" x14ac:dyDescent="0.25">
      <c r="A419" s="4"/>
    </row>
    <row r="420" spans="1:1" s="3" customFormat="1" x14ac:dyDescent="0.25">
      <c r="A420" s="4"/>
    </row>
    <row r="421" spans="1:1" s="3" customFormat="1" x14ac:dyDescent="0.25">
      <c r="A421" s="4"/>
    </row>
    <row r="422" spans="1:1" s="3" customFormat="1" x14ac:dyDescent="0.25">
      <c r="A422" s="4"/>
    </row>
    <row r="423" spans="1:1" s="3" customFormat="1" x14ac:dyDescent="0.25">
      <c r="A423" s="4"/>
    </row>
    <row r="424" spans="1:1" s="3" customFormat="1" x14ac:dyDescent="0.25">
      <c r="A424" s="4"/>
    </row>
    <row r="425" spans="1:1" s="3" customFormat="1" x14ac:dyDescent="0.25">
      <c r="A425" s="4"/>
    </row>
    <row r="426" spans="1:1" s="3" customFormat="1" x14ac:dyDescent="0.25">
      <c r="A426" s="4"/>
    </row>
    <row r="427" spans="1:1" s="3" customFormat="1" x14ac:dyDescent="0.25">
      <c r="A427" s="4"/>
    </row>
    <row r="428" spans="1:1" s="3" customFormat="1" x14ac:dyDescent="0.25">
      <c r="A428" s="4"/>
    </row>
    <row r="429" spans="1:1" s="3" customFormat="1" x14ac:dyDescent="0.25">
      <c r="A429" s="4"/>
    </row>
    <row r="430" spans="1:1" s="3" customFormat="1" x14ac:dyDescent="0.25">
      <c r="A430" s="4"/>
    </row>
    <row r="431" spans="1:1" s="3" customFormat="1" x14ac:dyDescent="0.25">
      <c r="A431" s="4"/>
    </row>
    <row r="432" spans="1:1" s="3" customFormat="1" x14ac:dyDescent="0.25">
      <c r="A432" s="4"/>
    </row>
    <row r="433" spans="1:1" s="3" customFormat="1" x14ac:dyDescent="0.25">
      <c r="A433" s="4"/>
    </row>
    <row r="434" spans="1:1" s="3" customFormat="1" x14ac:dyDescent="0.25">
      <c r="A434" s="4"/>
    </row>
    <row r="435" spans="1:1" s="3" customFormat="1" x14ac:dyDescent="0.25">
      <c r="A435" s="4"/>
    </row>
    <row r="436" spans="1:1" s="3" customFormat="1" x14ac:dyDescent="0.25">
      <c r="A436" s="4"/>
    </row>
    <row r="437" spans="1:1" s="3" customFormat="1" x14ac:dyDescent="0.25">
      <c r="A437" s="4"/>
    </row>
    <row r="438" spans="1:1" s="3" customFormat="1" x14ac:dyDescent="0.25">
      <c r="A438" s="4"/>
    </row>
    <row r="439" spans="1:1" s="3" customFormat="1" x14ac:dyDescent="0.25">
      <c r="A439" s="4"/>
    </row>
    <row r="440" spans="1:1" s="3" customFormat="1" x14ac:dyDescent="0.25">
      <c r="A440" s="4"/>
    </row>
    <row r="441" spans="1:1" s="3" customFormat="1" x14ac:dyDescent="0.25">
      <c r="A441" s="4"/>
    </row>
    <row r="442" spans="1:1" s="3" customFormat="1" x14ac:dyDescent="0.25">
      <c r="A442" s="4"/>
    </row>
    <row r="443" spans="1:1" s="3" customFormat="1" x14ac:dyDescent="0.25">
      <c r="A443" s="4"/>
    </row>
    <row r="444" spans="1:1" s="3" customFormat="1" x14ac:dyDescent="0.25">
      <c r="A444" s="4"/>
    </row>
    <row r="445" spans="1:1" s="3" customFormat="1" x14ac:dyDescent="0.25">
      <c r="A445" s="4"/>
    </row>
    <row r="446" spans="1:1" s="3" customFormat="1" x14ac:dyDescent="0.25">
      <c r="A446" s="4"/>
    </row>
    <row r="447" spans="1:1" s="3" customFormat="1" x14ac:dyDescent="0.25">
      <c r="A447" s="4"/>
    </row>
    <row r="448" spans="1:1" s="3" customFormat="1" x14ac:dyDescent="0.25">
      <c r="A448" s="4"/>
    </row>
    <row r="449" spans="1:1" s="3" customFormat="1" x14ac:dyDescent="0.25">
      <c r="A449" s="4"/>
    </row>
    <row r="450" spans="1:1" s="3" customFormat="1" x14ac:dyDescent="0.25">
      <c r="A450" s="4"/>
    </row>
    <row r="451" spans="1:1" s="3" customFormat="1" x14ac:dyDescent="0.25">
      <c r="A451" s="4"/>
    </row>
    <row r="452" spans="1:1" s="3" customFormat="1" x14ac:dyDescent="0.25">
      <c r="A452" s="4"/>
    </row>
    <row r="453" spans="1:1" s="3" customFormat="1" x14ac:dyDescent="0.25">
      <c r="A453" s="4"/>
    </row>
    <row r="454" spans="1:1" s="3" customFormat="1" x14ac:dyDescent="0.25">
      <c r="A454" s="4"/>
    </row>
    <row r="455" spans="1:1" s="3" customFormat="1" x14ac:dyDescent="0.25">
      <c r="A455" s="4"/>
    </row>
    <row r="456" spans="1:1" s="3" customFormat="1" x14ac:dyDescent="0.25">
      <c r="A456" s="4"/>
    </row>
    <row r="457" spans="1:1" s="3" customFormat="1" x14ac:dyDescent="0.25">
      <c r="A457" s="4"/>
    </row>
    <row r="458" spans="1:1" s="3" customFormat="1" x14ac:dyDescent="0.25">
      <c r="A458" s="4"/>
    </row>
    <row r="459" spans="1:1" s="3" customFormat="1" x14ac:dyDescent="0.25">
      <c r="A459" s="4"/>
    </row>
    <row r="460" spans="1:1" s="3" customFormat="1" x14ac:dyDescent="0.25">
      <c r="A460" s="4"/>
    </row>
    <row r="461" spans="1:1" s="3" customFormat="1" x14ac:dyDescent="0.25">
      <c r="A461" s="4"/>
    </row>
    <row r="462" spans="1:1" s="3" customFormat="1" x14ac:dyDescent="0.25">
      <c r="A462" s="4"/>
    </row>
    <row r="463" spans="1:1" s="3" customFormat="1" x14ac:dyDescent="0.25">
      <c r="A463" s="4"/>
    </row>
    <row r="464" spans="1:1" s="3" customFormat="1" x14ac:dyDescent="0.25">
      <c r="A464" s="4"/>
    </row>
    <row r="465" spans="1:1" s="3" customFormat="1" x14ac:dyDescent="0.25">
      <c r="A465" s="4"/>
    </row>
    <row r="466" spans="1:1" s="3" customFormat="1" x14ac:dyDescent="0.25">
      <c r="A466" s="4"/>
    </row>
    <row r="467" spans="1:1" s="3" customFormat="1" x14ac:dyDescent="0.25">
      <c r="A467" s="4"/>
    </row>
    <row r="468" spans="1:1" s="3" customFormat="1" x14ac:dyDescent="0.25">
      <c r="A468" s="4"/>
    </row>
    <row r="469" spans="1:1" s="3" customFormat="1" x14ac:dyDescent="0.25">
      <c r="A469" s="4"/>
    </row>
    <row r="470" spans="1:1" s="3" customFormat="1" x14ac:dyDescent="0.25">
      <c r="A470" s="4"/>
    </row>
    <row r="471" spans="1:1" s="3" customFormat="1" x14ac:dyDescent="0.25">
      <c r="A471" s="4"/>
    </row>
    <row r="472" spans="1:1" s="3" customFormat="1" x14ac:dyDescent="0.25">
      <c r="A472" s="4"/>
    </row>
    <row r="473" spans="1:1" s="3" customFormat="1" x14ac:dyDescent="0.25">
      <c r="A473" s="4"/>
    </row>
    <row r="474" spans="1:1" s="3" customFormat="1" x14ac:dyDescent="0.25">
      <c r="A474" s="4"/>
    </row>
    <row r="475" spans="1:1" s="3" customFormat="1" x14ac:dyDescent="0.25">
      <c r="A475" s="4"/>
    </row>
    <row r="476" spans="1:1" s="3" customFormat="1" x14ac:dyDescent="0.25">
      <c r="A476" s="4"/>
    </row>
    <row r="477" spans="1:1" s="3" customFormat="1" x14ac:dyDescent="0.25">
      <c r="A477" s="4"/>
    </row>
    <row r="478" spans="1:1" s="3" customFormat="1" x14ac:dyDescent="0.25">
      <c r="A478" s="4"/>
    </row>
    <row r="479" spans="1:1" s="3" customFormat="1" x14ac:dyDescent="0.25">
      <c r="A479" s="4"/>
    </row>
    <row r="480" spans="1:1" s="3" customFormat="1" x14ac:dyDescent="0.25">
      <c r="A480" s="4"/>
    </row>
    <row r="481" spans="1:1" s="3" customFormat="1" x14ac:dyDescent="0.25">
      <c r="A481" s="4"/>
    </row>
    <row r="482" spans="1:1" s="3" customFormat="1" x14ac:dyDescent="0.25">
      <c r="A482" s="4"/>
    </row>
    <row r="483" spans="1:1" s="3" customFormat="1" x14ac:dyDescent="0.25">
      <c r="A483" s="4"/>
    </row>
    <row r="484" spans="1:1" s="3" customFormat="1" x14ac:dyDescent="0.25">
      <c r="A484" s="4"/>
    </row>
    <row r="485" spans="1:1" s="3" customFormat="1" x14ac:dyDescent="0.25">
      <c r="A485" s="4"/>
    </row>
    <row r="486" spans="1:1" s="3" customFormat="1" x14ac:dyDescent="0.25">
      <c r="A486" s="4"/>
    </row>
    <row r="487" spans="1:1" s="3" customFormat="1" x14ac:dyDescent="0.25">
      <c r="A487" s="4"/>
    </row>
    <row r="488" spans="1:1" s="3" customFormat="1" x14ac:dyDescent="0.25">
      <c r="A488" s="4"/>
    </row>
    <row r="489" spans="1:1" s="3" customFormat="1" x14ac:dyDescent="0.25">
      <c r="A489" s="4"/>
    </row>
    <row r="490" spans="1:1" s="3" customFormat="1" x14ac:dyDescent="0.25">
      <c r="A490" s="4"/>
    </row>
    <row r="491" spans="1:1" s="3" customFormat="1" x14ac:dyDescent="0.25">
      <c r="A491" s="4"/>
    </row>
    <row r="492" spans="1:1" s="3" customFormat="1" x14ac:dyDescent="0.25">
      <c r="A492" s="4"/>
    </row>
    <row r="493" spans="1:1" s="3" customFormat="1" x14ac:dyDescent="0.25">
      <c r="A493" s="4"/>
    </row>
    <row r="494" spans="1:1" s="3" customFormat="1" x14ac:dyDescent="0.25">
      <c r="A494" s="4"/>
    </row>
    <row r="495" spans="1:1" s="3" customFormat="1" x14ac:dyDescent="0.25">
      <c r="A495" s="4"/>
    </row>
    <row r="496" spans="1:1" s="3" customFormat="1" x14ac:dyDescent="0.25">
      <c r="A496" s="4"/>
    </row>
    <row r="497" spans="1:1" s="3" customFormat="1" x14ac:dyDescent="0.25">
      <c r="A497" s="4"/>
    </row>
    <row r="498" spans="1:1" s="3" customFormat="1" x14ac:dyDescent="0.25">
      <c r="A498" s="4"/>
    </row>
    <row r="499" spans="1:1" s="3" customFormat="1" x14ac:dyDescent="0.25">
      <c r="A499" s="4"/>
    </row>
    <row r="500" spans="1:1" s="3" customFormat="1" x14ac:dyDescent="0.25">
      <c r="A500" s="4"/>
    </row>
    <row r="501" spans="1:1" s="3" customFormat="1" x14ac:dyDescent="0.25">
      <c r="A501" s="4"/>
    </row>
    <row r="502" spans="1:1" s="3" customFormat="1" x14ac:dyDescent="0.25">
      <c r="A502" s="4"/>
    </row>
    <row r="503" spans="1:1" s="3" customFormat="1" x14ac:dyDescent="0.25">
      <c r="A503" s="4"/>
    </row>
    <row r="504" spans="1:1" s="3" customFormat="1" x14ac:dyDescent="0.25">
      <c r="A504" s="4"/>
    </row>
    <row r="505" spans="1:1" s="3" customFormat="1" x14ac:dyDescent="0.25">
      <c r="A505" s="4"/>
    </row>
    <row r="506" spans="1:1" s="3" customFormat="1" x14ac:dyDescent="0.25">
      <c r="A506" s="4"/>
    </row>
    <row r="507" spans="1:1" s="3" customFormat="1" x14ac:dyDescent="0.25">
      <c r="A507" s="4"/>
    </row>
    <row r="508" spans="1:1" s="3" customFormat="1" x14ac:dyDescent="0.25">
      <c r="A508" s="4"/>
    </row>
    <row r="509" spans="1:1" s="3" customFormat="1" x14ac:dyDescent="0.25">
      <c r="A509" s="4"/>
    </row>
    <row r="510" spans="1:1" s="3" customFormat="1" x14ac:dyDescent="0.25">
      <c r="A510" s="4"/>
    </row>
    <row r="511" spans="1:1" s="3" customFormat="1" x14ac:dyDescent="0.25">
      <c r="A511" s="4"/>
    </row>
    <row r="512" spans="1:1" s="3" customFormat="1" x14ac:dyDescent="0.25">
      <c r="A512" s="4"/>
    </row>
    <row r="513" spans="1:1" s="3" customFormat="1" x14ac:dyDescent="0.25">
      <c r="A513" s="4"/>
    </row>
    <row r="514" spans="1:1" s="3" customFormat="1" x14ac:dyDescent="0.25">
      <c r="A514" s="4"/>
    </row>
    <row r="515" spans="1:1" s="3" customFormat="1" x14ac:dyDescent="0.25">
      <c r="A515" s="4"/>
    </row>
    <row r="516" spans="1:1" s="3" customFormat="1" x14ac:dyDescent="0.25">
      <c r="A516" s="4"/>
    </row>
    <row r="517" spans="1:1" s="3" customFormat="1" x14ac:dyDescent="0.25">
      <c r="A517" s="4"/>
    </row>
    <row r="518" spans="1:1" s="3" customFormat="1" x14ac:dyDescent="0.25">
      <c r="A518" s="4"/>
    </row>
    <row r="519" spans="1:1" s="3" customFormat="1" x14ac:dyDescent="0.25">
      <c r="A519" s="4"/>
    </row>
    <row r="520" spans="1:1" s="3" customFormat="1" x14ac:dyDescent="0.25">
      <c r="A520" s="4"/>
    </row>
    <row r="521" spans="1:1" s="3" customFormat="1" x14ac:dyDescent="0.25">
      <c r="A521" s="4"/>
    </row>
    <row r="522" spans="1:1" s="3" customFormat="1" x14ac:dyDescent="0.25">
      <c r="A522" s="4"/>
    </row>
    <row r="523" spans="1:1" s="3" customFormat="1" x14ac:dyDescent="0.25">
      <c r="A523" s="4"/>
    </row>
    <row r="524" spans="1:1" s="3" customFormat="1" x14ac:dyDescent="0.25">
      <c r="A524" s="4"/>
    </row>
    <row r="525" spans="1:1" s="3" customFormat="1" x14ac:dyDescent="0.25">
      <c r="A525" s="4"/>
    </row>
    <row r="526" spans="1:1" s="3" customFormat="1" x14ac:dyDescent="0.25">
      <c r="A526" s="4"/>
    </row>
    <row r="527" spans="1:1" s="3" customFormat="1" x14ac:dyDescent="0.25">
      <c r="A527" s="4"/>
    </row>
    <row r="528" spans="1:1" s="3" customFormat="1" x14ac:dyDescent="0.25">
      <c r="A528" s="4"/>
    </row>
    <row r="529" spans="1:1" s="3" customFormat="1" x14ac:dyDescent="0.25">
      <c r="A529" s="4"/>
    </row>
    <row r="530" spans="1:1" s="3" customFormat="1" x14ac:dyDescent="0.25">
      <c r="A530" s="4"/>
    </row>
    <row r="531" spans="1:1" s="3" customFormat="1" x14ac:dyDescent="0.25">
      <c r="A531" s="4"/>
    </row>
    <row r="532" spans="1:1" s="3" customFormat="1" x14ac:dyDescent="0.25">
      <c r="A532" s="4"/>
    </row>
    <row r="533" spans="1:1" s="3" customFormat="1" x14ac:dyDescent="0.25">
      <c r="A533" s="4"/>
    </row>
    <row r="534" spans="1:1" s="3" customFormat="1" x14ac:dyDescent="0.25">
      <c r="A534" s="4"/>
    </row>
    <row r="535" spans="1:1" s="3" customFormat="1" x14ac:dyDescent="0.25">
      <c r="A535" s="4"/>
    </row>
    <row r="536" spans="1:1" s="3" customFormat="1" x14ac:dyDescent="0.25">
      <c r="A536" s="4"/>
    </row>
    <row r="537" spans="1:1" s="3" customFormat="1" x14ac:dyDescent="0.25">
      <c r="A537" s="4"/>
    </row>
    <row r="538" spans="1:1" s="3" customFormat="1" x14ac:dyDescent="0.25">
      <c r="A538" s="4"/>
    </row>
    <row r="539" spans="1:1" s="3" customFormat="1" x14ac:dyDescent="0.25">
      <c r="A539" s="4"/>
    </row>
    <row r="540" spans="1:1" s="3" customFormat="1" x14ac:dyDescent="0.25">
      <c r="A540" s="4"/>
    </row>
    <row r="541" spans="1:1" s="3" customFormat="1" x14ac:dyDescent="0.25">
      <c r="A541" s="4"/>
    </row>
    <row r="542" spans="1:1" s="3" customFormat="1" x14ac:dyDescent="0.25">
      <c r="A542" s="4"/>
    </row>
    <row r="543" spans="1:1" s="3" customFormat="1" x14ac:dyDescent="0.25">
      <c r="A543" s="4"/>
    </row>
    <row r="544" spans="1:1" s="3" customFormat="1" x14ac:dyDescent="0.25">
      <c r="A544" s="4"/>
    </row>
    <row r="545" spans="1:1" s="3" customFormat="1" x14ac:dyDescent="0.25">
      <c r="A545" s="4"/>
    </row>
    <row r="546" spans="1:1" s="3" customFormat="1" x14ac:dyDescent="0.25">
      <c r="A546" s="4"/>
    </row>
    <row r="547" spans="1:1" s="3" customFormat="1" x14ac:dyDescent="0.25">
      <c r="A547" s="4"/>
    </row>
    <row r="548" spans="1:1" s="3" customFormat="1" x14ac:dyDescent="0.25">
      <c r="A548" s="4"/>
    </row>
    <row r="549" spans="1:1" s="3" customFormat="1" x14ac:dyDescent="0.25">
      <c r="A549" s="4"/>
    </row>
    <row r="550" spans="1:1" s="3" customFormat="1" x14ac:dyDescent="0.25">
      <c r="A550" s="4"/>
    </row>
    <row r="551" spans="1:1" s="3" customFormat="1" x14ac:dyDescent="0.25">
      <c r="A551" s="4"/>
    </row>
    <row r="552" spans="1:1" s="3" customFormat="1" x14ac:dyDescent="0.25">
      <c r="A552" s="4"/>
    </row>
    <row r="553" spans="1:1" s="3" customFormat="1" x14ac:dyDescent="0.25">
      <c r="A553" s="4"/>
    </row>
    <row r="554" spans="1:1" s="3" customFormat="1" x14ac:dyDescent="0.25">
      <c r="A554" s="4"/>
    </row>
    <row r="555" spans="1:1" s="3" customFormat="1" x14ac:dyDescent="0.25">
      <c r="A555" s="4"/>
    </row>
    <row r="556" spans="1:1" s="3" customFormat="1" x14ac:dyDescent="0.25">
      <c r="A556" s="4"/>
    </row>
    <row r="557" spans="1:1" s="3" customFormat="1" x14ac:dyDescent="0.25">
      <c r="A557" s="4"/>
    </row>
    <row r="558" spans="1:1" s="3" customFormat="1" x14ac:dyDescent="0.25">
      <c r="A558" s="4"/>
    </row>
    <row r="559" spans="1:1" s="3" customFormat="1" x14ac:dyDescent="0.25">
      <c r="A559" s="4"/>
    </row>
    <row r="560" spans="1:1" s="3" customFormat="1" x14ac:dyDescent="0.25">
      <c r="A560" s="4"/>
    </row>
    <row r="561" spans="1:1" s="3" customFormat="1" x14ac:dyDescent="0.25">
      <c r="A561" s="4"/>
    </row>
    <row r="562" spans="1:1" s="3" customFormat="1" x14ac:dyDescent="0.25">
      <c r="A562" s="4"/>
    </row>
    <row r="563" spans="1:1" s="3" customFormat="1" x14ac:dyDescent="0.25">
      <c r="A563" s="4"/>
    </row>
    <row r="564" spans="1:1" s="3" customFormat="1" x14ac:dyDescent="0.25">
      <c r="A564" s="4"/>
    </row>
    <row r="565" spans="1:1" s="3" customFormat="1" x14ac:dyDescent="0.25">
      <c r="A565" s="4"/>
    </row>
    <row r="566" spans="1:1" s="3" customFormat="1" x14ac:dyDescent="0.25">
      <c r="A566" s="4"/>
    </row>
    <row r="567" spans="1:1" s="3" customFormat="1" x14ac:dyDescent="0.25">
      <c r="A567" s="4"/>
    </row>
    <row r="568" spans="1:1" s="3" customFormat="1" x14ac:dyDescent="0.25">
      <c r="A568" s="4"/>
    </row>
    <row r="569" spans="1:1" s="3" customFormat="1" x14ac:dyDescent="0.25">
      <c r="A569" s="4"/>
    </row>
    <row r="570" spans="1:1" s="3" customFormat="1" x14ac:dyDescent="0.25">
      <c r="A570" s="4"/>
    </row>
    <row r="571" spans="1:1" s="3" customFormat="1" x14ac:dyDescent="0.25">
      <c r="A571" s="4"/>
    </row>
    <row r="572" spans="1:1" s="3" customFormat="1" x14ac:dyDescent="0.25">
      <c r="A572" s="4"/>
    </row>
    <row r="573" spans="1:1" s="3" customFormat="1" x14ac:dyDescent="0.25">
      <c r="A573" s="4"/>
    </row>
    <row r="574" spans="1:1" s="3" customFormat="1" x14ac:dyDescent="0.25">
      <c r="A574" s="4"/>
    </row>
    <row r="575" spans="1:1" s="3" customFormat="1" x14ac:dyDescent="0.25">
      <c r="A575" s="4"/>
    </row>
    <row r="576" spans="1:1" s="3" customFormat="1" x14ac:dyDescent="0.25">
      <c r="A576" s="4"/>
    </row>
    <row r="577" spans="1:1" s="3" customFormat="1" x14ac:dyDescent="0.25">
      <c r="A577" s="4"/>
    </row>
    <row r="578" spans="1:1" s="3" customFormat="1" x14ac:dyDescent="0.25">
      <c r="A578" s="4"/>
    </row>
    <row r="579" spans="1:1" s="3" customFormat="1" x14ac:dyDescent="0.25">
      <c r="A579" s="4"/>
    </row>
    <row r="580" spans="1:1" s="3" customFormat="1" x14ac:dyDescent="0.25">
      <c r="A580" s="4"/>
    </row>
    <row r="581" spans="1:1" s="3" customFormat="1" x14ac:dyDescent="0.25">
      <c r="A581" s="4"/>
    </row>
    <row r="582" spans="1:1" s="3" customFormat="1" x14ac:dyDescent="0.25">
      <c r="A582" s="4"/>
    </row>
    <row r="583" spans="1:1" s="3" customFormat="1" x14ac:dyDescent="0.25">
      <c r="A583" s="4"/>
    </row>
    <row r="584" spans="1:1" s="3" customFormat="1" x14ac:dyDescent="0.25">
      <c r="A584" s="4"/>
    </row>
    <row r="585" spans="1:1" s="3" customFormat="1" x14ac:dyDescent="0.25">
      <c r="A585" s="4"/>
    </row>
    <row r="586" spans="1:1" s="3" customFormat="1" x14ac:dyDescent="0.25">
      <c r="A586" s="4"/>
    </row>
    <row r="587" spans="1:1" s="3" customFormat="1" x14ac:dyDescent="0.25">
      <c r="A587" s="4"/>
    </row>
    <row r="588" spans="1:1" s="3" customFormat="1" x14ac:dyDescent="0.25">
      <c r="A588" s="4"/>
    </row>
    <row r="589" spans="1:1" s="3" customFormat="1" x14ac:dyDescent="0.25">
      <c r="A589" s="4"/>
    </row>
    <row r="590" spans="1:1" s="3" customFormat="1" x14ac:dyDescent="0.25">
      <c r="A590" s="4"/>
    </row>
    <row r="591" spans="1:1" s="3" customFormat="1" x14ac:dyDescent="0.25">
      <c r="A591" s="4"/>
    </row>
    <row r="592" spans="1:1" s="3" customFormat="1" x14ac:dyDescent="0.25">
      <c r="A592" s="4"/>
    </row>
    <row r="593" spans="1:1" s="3" customFormat="1" x14ac:dyDescent="0.25">
      <c r="A593" s="4"/>
    </row>
    <row r="594" spans="1:1" s="3" customFormat="1" x14ac:dyDescent="0.25">
      <c r="A594" s="4"/>
    </row>
    <row r="595" spans="1:1" s="3" customFormat="1" x14ac:dyDescent="0.25">
      <c r="A595" s="4"/>
    </row>
    <row r="596" spans="1:1" s="3" customFormat="1" x14ac:dyDescent="0.25">
      <c r="A596" s="4"/>
    </row>
    <row r="597" spans="1:1" s="3" customFormat="1" x14ac:dyDescent="0.25">
      <c r="A597" s="4"/>
    </row>
    <row r="598" spans="1:1" s="3" customFormat="1" x14ac:dyDescent="0.25">
      <c r="A598" s="4"/>
    </row>
    <row r="599" spans="1:1" s="3" customFormat="1" x14ac:dyDescent="0.25">
      <c r="A599" s="4"/>
    </row>
    <row r="600" spans="1:1" s="3" customFormat="1" x14ac:dyDescent="0.25">
      <c r="A600" s="4"/>
    </row>
    <row r="601" spans="1:1" s="3" customFormat="1" x14ac:dyDescent="0.25">
      <c r="A601" s="4"/>
    </row>
    <row r="602" spans="1:1" s="3" customFormat="1" x14ac:dyDescent="0.25">
      <c r="A602" s="4"/>
    </row>
    <row r="603" spans="1:1" s="3" customFormat="1" x14ac:dyDescent="0.25">
      <c r="A603" s="4"/>
    </row>
    <row r="604" spans="1:1" s="3" customFormat="1" x14ac:dyDescent="0.25">
      <c r="A604" s="4"/>
    </row>
    <row r="605" spans="1:1" s="3" customFormat="1" x14ac:dyDescent="0.25">
      <c r="A605" s="4"/>
    </row>
    <row r="606" spans="1:1" s="3" customFormat="1" x14ac:dyDescent="0.25">
      <c r="A606" s="4"/>
    </row>
    <row r="607" spans="1:1" s="3" customFormat="1" x14ac:dyDescent="0.25">
      <c r="A607" s="4"/>
    </row>
    <row r="608" spans="1:1" s="3" customFormat="1" x14ac:dyDescent="0.25">
      <c r="A608" s="4"/>
    </row>
    <row r="609" spans="1:1" s="3" customFormat="1" x14ac:dyDescent="0.25">
      <c r="A609" s="4"/>
    </row>
    <row r="610" spans="1:1" s="3" customFormat="1" x14ac:dyDescent="0.25">
      <c r="A610" s="4"/>
    </row>
    <row r="611" spans="1:1" s="3" customFormat="1" x14ac:dyDescent="0.25">
      <c r="A611" s="4"/>
    </row>
    <row r="612" spans="1:1" s="3" customFormat="1" x14ac:dyDescent="0.25">
      <c r="A612" s="4"/>
    </row>
    <row r="613" spans="1:1" s="3" customFormat="1" x14ac:dyDescent="0.25">
      <c r="A613" s="4"/>
    </row>
    <row r="614" spans="1:1" s="3" customFormat="1" x14ac:dyDescent="0.25">
      <c r="A614" s="4"/>
    </row>
    <row r="615" spans="1:1" s="3" customFormat="1" x14ac:dyDescent="0.25">
      <c r="A615" s="4"/>
    </row>
    <row r="616" spans="1:1" s="3" customFormat="1" x14ac:dyDescent="0.25">
      <c r="A616" s="4"/>
    </row>
    <row r="617" spans="1:1" s="3" customFormat="1" x14ac:dyDescent="0.25">
      <c r="A617" s="4"/>
    </row>
  </sheetData>
  <mergeCells count="4">
    <mergeCell ref="A18:O18"/>
    <mergeCell ref="A33:O33"/>
    <mergeCell ref="A49:O49"/>
    <mergeCell ref="A65:O65"/>
  </mergeCells>
  <conditionalFormatting sqref="A1:F1 H1 K1:O1">
    <cfRule type="expression" dxfId="2" priority="3">
      <formula>MOD(ROW(),2)&gt;0</formula>
    </cfRule>
  </conditionalFormatting>
  <conditionalFormatting sqref="G1">
    <cfRule type="expression" dxfId="1" priority="2">
      <formula>MOD(ROW(),2)&gt;0</formula>
    </cfRule>
  </conditionalFormatting>
  <conditionalFormatting sqref="I1:J1">
    <cfRule type="expression" dxfId="0" priority="1">
      <formula>MOD(ROW(),2)&gt;0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15-12-2020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 Vu</dc:creator>
  <cp:lastModifiedBy>RnD Hardware</cp:lastModifiedBy>
  <dcterms:created xsi:type="dcterms:W3CDTF">2020-12-15T04:27:03Z</dcterms:created>
  <dcterms:modified xsi:type="dcterms:W3CDTF">2023-04-14T07:53:47Z</dcterms:modified>
</cp:coreProperties>
</file>