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2FD908-75B7-4514-982A-ECAB4C6BFCC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ang Tinh CK" sheetId="1" r:id="rId1"/>
    <sheet name="Phieu Tinh CK" sheetId="2" r:id="rId2"/>
    <sheet name="Tồn San Xuat" sheetId="3" r:id="rId3"/>
  </sheets>
  <definedNames>
    <definedName name="_xlnm.Print_Area" localSheetId="0">'Bang Tinh CK'!$A$1:$F$27</definedName>
    <definedName name="_xlnm.Print_Area" localSheetId="1">'Phieu Tinh CK'!$A$1:$H$30</definedName>
    <definedName name="_xlnm.Print_Area" localSheetId="2">'Tồn San Xuat'!$A$1:$H$28</definedName>
  </definedNames>
  <calcPr calcId="181029"/>
</workbook>
</file>

<file path=xl/calcChain.xml><?xml version="1.0" encoding="utf-8"?>
<calcChain xmlns="http://schemas.openxmlformats.org/spreadsheetml/2006/main">
  <c r="F11" i="3" l="1"/>
  <c r="A4" i="3" l="1"/>
  <c r="E5" i="1"/>
  <c r="E11" i="1"/>
  <c r="C19" i="3" l="1"/>
  <c r="E19" i="3"/>
  <c r="D19" i="3"/>
  <c r="F10" i="3"/>
  <c r="C13" i="1" l="1"/>
  <c r="F12" i="3"/>
  <c r="E12" i="1"/>
  <c r="F15" i="3" l="1"/>
  <c r="F13" i="3"/>
  <c r="F14" i="3"/>
  <c r="F16" i="3"/>
  <c r="F19" i="3" l="1"/>
  <c r="E10" i="1"/>
  <c r="E14" i="1" l="1"/>
  <c r="D19" i="2" l="1"/>
  <c r="G21" i="2" l="1"/>
  <c r="E20" i="2" l="1"/>
  <c r="F20" i="2"/>
  <c r="C12" i="2"/>
  <c r="H20" i="2" l="1"/>
  <c r="C9" i="2" l="1"/>
  <c r="E15" i="2" l="1"/>
  <c r="E17" i="2"/>
  <c r="E16" i="2"/>
  <c r="E18" i="2"/>
  <c r="F21" i="2"/>
  <c r="H15" i="2" l="1"/>
  <c r="H17" i="2"/>
  <c r="E21" i="2"/>
  <c r="H16" i="2"/>
  <c r="H18" i="2"/>
  <c r="H21" i="2" l="1"/>
</calcChain>
</file>

<file path=xl/sharedStrings.xml><?xml version="1.0" encoding="utf-8"?>
<sst xmlns="http://schemas.openxmlformats.org/spreadsheetml/2006/main" count="115" uniqueCount="77">
  <si>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</si>
  <si>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</si>
  <si>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</si>
  <si>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</si>
  <si>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</si>
  <si>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</si>
  <si>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Công ty CP Công Nghệ Điện Tử &amp;Viễn Thông Việt Nam</t>
  </si>
  <si>
    <t>TP.KTTH</t>
  </si>
  <si>
    <t>Trần Thị Thu Hà</t>
  </si>
  <si>
    <t>Giám đốc</t>
  </si>
  <si>
    <t>(Ký, ghi rõ họ tên)</t>
  </si>
  <si>
    <t>Ghi chú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</si>
  <si>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</si>
  <si>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</si>
  <si>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</si>
  <si>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</si>
  <si>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</si>
  <si>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</si>
  <si>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</si>
  <si>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 xml:space="preserve">Số lượng sản xuất theo lô </t>
  </si>
  <si>
    <t>Tồn SX đầu tháng</t>
  </si>
  <si>
    <t>Nhập kho</t>
  </si>
  <si>
    <t>Tồn SX cuối tháng</t>
  </si>
  <si>
    <t>ACT-01</t>
  </si>
  <si>
    <t>Temp Sensor Display</t>
  </si>
  <si>
    <t>TỔNG</t>
  </si>
  <si>
    <t>Nguyễn Hải</t>
  </si>
  <si>
    <t>Tồn lỗi</t>
  </si>
  <si>
    <t>Upgrade 4G</t>
  </si>
  <si>
    <t>TG102LE-4G Upgrade</t>
  </si>
  <si>
    <t>Nguyễn Tuấn Đạt</t>
  </si>
  <si>
    <t>Trần Văn Hậu</t>
  </si>
  <si>
    <t>TG102LE-4G URG</t>
  </si>
  <si>
    <t>RFID DEMO</t>
  </si>
  <si>
    <t>Đặng Ngọc Mai</t>
  </si>
  <si>
    <t>HUB_VACC_H1</t>
  </si>
  <si>
    <t>TG102LE-4G(0056)</t>
  </si>
  <si>
    <t>Card Reader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</si>
  <si>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</si>
  <si>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</si>
  <si>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</si>
  <si>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</si>
  <si>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</si>
  <si>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</si>
  <si>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</si>
  <si>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 xml:space="preserve">Tiền phạt 
sản xuất </t>
  </si>
  <si>
    <t xml:space="preserve">Số ngày nghỉ </t>
  </si>
  <si>
    <t>Tỷ lệ % (trong giờ hành chính)</t>
  </si>
  <si>
    <t>Tiền chiết khấu trong giờ hành chính</t>
  </si>
  <si>
    <t>Số tiền bị trừ</t>
  </si>
  <si>
    <t>Tiền 
thực nhận</t>
  </si>
  <si>
    <t>Mã sản phẩm</t>
  </si>
  <si>
    <t>Số lượng nhập kho</t>
  </si>
  <si>
    <t>Đơn giá chiết khấu</t>
  </si>
  <si>
    <t>Thành tiền</t>
  </si>
  <si>
    <t>Tổng tiền nhận được (VND)</t>
  </si>
  <si>
    <t>Tổng thiết bị</t>
  </si>
  <si>
    <t>Phòng ban/ Bộ phận: PKT/ Bộ phận Bảo hành - Sản xuất</t>
  </si>
  <si>
    <t>Tên nhân viên</t>
  </si>
  <si>
    <t>Lô 4 - 2025</t>
  </si>
  <si>
    <t>Người lập</t>
  </si>
  <si>
    <t>T. Phòng kỹ thuật</t>
  </si>
  <si>
    <t>Đào Văn Thông</t>
  </si>
  <si>
    <t>T.Phòng kỹ thuật</t>
  </si>
  <si>
    <t xml:space="preserve">Người lâp </t>
  </si>
  <si>
    <t>PHIẾU XÁC NHẬN TỒN 
SẢN XUẤT THÁNG 10</t>
  </si>
  <si>
    <t>BẢNG TÍNH CHIẾT KHẤU THÁNG 10 NĂM 2025</t>
  </si>
  <si>
    <t>Lô 5 - 2025 (hết lô)</t>
  </si>
  <si>
    <t>Lô 4-2025</t>
  </si>
  <si>
    <t>Kế toán kho</t>
  </si>
  <si>
    <t>Phòng ban/ Bộ phận:PKT/ Bảo hành - Sản xuất</t>
  </si>
  <si>
    <t>Hà Nội, ngày 31 tháng 10 năm 2025</t>
  </si>
  <si>
    <t>CARD READER</t>
  </si>
  <si>
    <t>Địa chỉ: A46 TT19 KĐT Văn Quán, P.Văn Quán, Q.Hà Đông, TP Hà Nội</t>
  </si>
  <si>
    <t>Điện thoại: 0243.6400.767</t>
  </si>
  <si>
    <t>PHIẾU TÍNH CHIẾT KHẤU THÁNG 10 NĂM 2025</t>
  </si>
  <si>
    <t>Lô 5-2025 (hết lô)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</si>
</sst>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11"/>
      <color theme="1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/>
    <xf numFmtId="4" fontId="2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0" fillId="0" borderId="0" xfId="0" applyNumberForma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4" fontId="6" fillId="0" borderId="1" xfId="0" applyNumberFormat="1" applyFont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2" fillId="0" borderId="0" xfId="1" applyFont="1" applyAlignment="1">
      <alignment horizontal="righ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5" fillId="0" borderId="0" xfId="1" applyFont="1" applyAlignment="1">
      <alignment horizontal="left" indent="1"/>
    </xf>
    <xf numFmtId="0" fontId="15" fillId="0" borderId="0" xfId="1" applyFont="1"/>
    <xf numFmtId="0" fontId="15" fillId="0" borderId="0" xfId="1" applyFont="1" applyAlignment="1">
      <alignment horizontal="left"/>
    </xf>
    <xf numFmtId="0" fontId="14" fillId="0" borderId="1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16" fontId="17" fillId="0" borderId="4" xfId="1" quotePrefix="1" applyNumberFormat="1" applyFont="1" applyBorder="1" applyAlignment="1">
      <alignment horizontal="center" vertical="center"/>
    </xf>
    <xf numFmtId="3" fontId="17" fillId="0" borderId="1" xfId="1" applyNumberFormat="1" applyFont="1" applyBorder="1" applyAlignment="1">
      <alignment horizontal="center" vertical="center" wrapText="1"/>
    </xf>
    <xf numFmtId="16" fontId="17" fillId="0" borderId="1" xfId="1" quotePrefix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3" fontId="14" fillId="0" borderId="1" xfId="1" applyNumberFormat="1" applyFont="1" applyBorder="1" applyAlignment="1">
      <alignment horizontal="center" vertical="center"/>
    </xf>
    <xf numFmtId="0" fontId="15" fillId="0" borderId="4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5" fillId="0" borderId="2" xfId="1" applyFont="1" applyBorder="1"/>
    <xf numFmtId="0" fontId="15" fillId="0" borderId="3" xfId="1" applyFont="1" applyBorder="1"/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16" fillId="0" borderId="0" xfId="0" applyFont="1"/>
    <xf numFmtId="0" fontId="18" fillId="0" borderId="1" xfId="0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5" fontId="16" fillId="2" borderId="1" xfId="0" applyNumberFormat="1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0" fillId="0" borderId="8" xfId="0" applyBorder="1" applyAlignment="1"/>
    <xf numFmtId="0" fontId="14" fillId="0" borderId="1" xfId="1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108918</xdr:colOff>
      <xdr:row>0</xdr:row>
      <xdr:rowOff>86968</xdr:rowOff>
    </xdr:from>
    <xdr:to>
      <xdr:col>1</xdr:col>
      <xdr:colOff>1204293</xdr:colOff>
      <xdr:row>2</xdr:row>
      <xdr:rowOff>134592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18" y="8696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95251</xdr:rowOff>
    </xdr:from>
    <xdr:to>
      <xdr:col>1</xdr:col>
      <xdr:colOff>1685925</xdr:colOff>
      <xdr:row>2</xdr:row>
      <xdr:rowOff>98531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95251"/>
          <a:ext cx="2181225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H10" sqref="H10"/>
    </sheetView>
  </sheetViews>
  <sheetFormatPr defaultRowHeight="15" x14ac:dyDescent="0.25"/>
  <cols>
    <col min="1" max="1" width="7.28515625" style="14" customWidth="1"/>
    <col min="2" max="2" width="20.28515625" customWidth="1"/>
    <col min="3" max="3" width="24.5703125" customWidth="1"/>
    <col min="4" max="4" width="20.5703125" style="7" customWidth="1"/>
    <col min="5" max="5" width="19.28515625" style="30" customWidth="1"/>
    <col min="6" max="6" width="26.7109375" customWidth="1"/>
  </cols>
  <sheetData>
    <row r="1" spans="1:6" x14ac:dyDescent="0.25">
      <c r="A1" s="44"/>
      <c r="B1" s="45"/>
      <c r="C1" s="66" t="s">
        <v>6</v>
      </c>
      <c r="D1" s="67"/>
      <c r="E1" s="67"/>
      <c r="F1" s="68"/>
    </row>
    <row r="2" spans="1:6" x14ac:dyDescent="0.25">
      <c r="A2" s="44"/>
      <c r="B2" s="45"/>
      <c r="C2" s="60" t="s">
        <v>73</v>
      </c>
      <c r="D2" s="61"/>
      <c r="E2" s="61"/>
      <c r="F2" s="62"/>
    </row>
    <row r="3" spans="1:6" x14ac:dyDescent="0.25">
      <c r="A3" s="44"/>
      <c r="B3" s="45"/>
      <c r="C3" s="63" t="s">
        <v>74</v>
      </c>
      <c r="D3" s="64"/>
      <c r="E3" s="64"/>
      <c r="F3" s="65"/>
    </row>
    <row r="4" spans="1:6" ht="24.95" customHeight="1" x14ac:dyDescent="0.25">
      <c r="A4" s="78" t="s">
        <v>66</v>
      </c>
      <c r="B4" s="78"/>
      <c r="C4" s="79"/>
      <c r="D4" s="79"/>
      <c r="E4" s="79"/>
      <c r="F4" s="79"/>
    </row>
    <row r="5" spans="1:6" ht="18" customHeight="1" x14ac:dyDescent="0.35">
      <c r="A5" s="1"/>
      <c r="B5" s="1"/>
      <c r="C5" s="1"/>
      <c r="D5" s="5"/>
      <c r="E5" s="46" t="str">
        <f>'Phieu Tinh CK'!H5</f>
        <v>Hà Nội, ngày 31 tháng 10 năm 2025</v>
      </c>
      <c r="F5" s="46"/>
    </row>
    <row r="6" spans="1:6" x14ac:dyDescent="0.25">
      <c r="A6" s="58" t="s">
        <v>40</v>
      </c>
      <c r="B6" s="58"/>
      <c r="C6" s="58"/>
      <c r="D6" s="58"/>
      <c r="E6" s="58"/>
      <c r="F6" s="2"/>
    </row>
    <row r="7" spans="1:6" x14ac:dyDescent="0.25">
      <c r="A7" s="59" t="s">
        <v>57</v>
      </c>
      <c r="B7" s="59"/>
      <c r="C7" s="59"/>
      <c r="D7" s="33"/>
      <c r="E7" s="34"/>
      <c r="F7" s="2"/>
    </row>
    <row r="8" spans="1:6" x14ac:dyDescent="0.25">
      <c r="A8" s="35"/>
      <c r="B8" s="35"/>
      <c r="C8" s="35"/>
      <c r="D8" s="33"/>
      <c r="E8" s="34"/>
      <c r="F8" s="2"/>
    </row>
    <row r="9" spans="1:6" x14ac:dyDescent="0.25">
      <c r="A9" s="11" t="s">
        <v>0</v>
      </c>
      <c r="B9" s="11" t="s">
        <v>51</v>
      </c>
      <c r="C9" s="11" t="s">
        <v>52</v>
      </c>
      <c r="D9" s="36" t="s">
        <v>53</v>
      </c>
      <c r="E9" s="11" t="s">
        <v>54</v>
      </c>
      <c r="F9" s="11" t="s">
        <v>11</v>
      </c>
    </row>
    <row r="10" spans="1:6" x14ac:dyDescent="0.25">
      <c r="A10" s="112">
        <v>1</v>
      </c>
      <c r="B10" s="112" t="s">
        <v>29</v>
      </c>
      <c r="C10" s="112">
        <v>93</v>
      </c>
      <c r="D10" s="115">
        <v>6000</v>
      </c>
      <c r="E10" s="115">
        <f t="shared" ref="E10" si="0">C10*D10</f>
        <v>558000</v>
      </c>
      <c r="F10" s="112" t="s">
        <v>28</v>
      </c>
    </row>
    <row r="11" spans="1:6" x14ac:dyDescent="0.25">
      <c r="A11" s="112">
        <v>2</v>
      </c>
      <c r="B11" s="112" t="s">
        <v>36</v>
      </c>
      <c r="C11" s="112">
        <v>150</v>
      </c>
      <c r="D11" s="115">
        <v>6000</v>
      </c>
      <c r="E11" s="115">
        <f>SUM(C11*D11)</f>
        <v>900000</v>
      </c>
      <c r="F11" s="112" t="s">
        <v>59</v>
      </c>
    </row>
    <row r="12" spans="1:6" x14ac:dyDescent="0.25">
      <c r="A12" s="112">
        <v>3</v>
      </c>
      <c r="B12" s="112" t="s">
        <v>37</v>
      </c>
      <c r="C12" s="112">
        <v>450</v>
      </c>
      <c r="D12" s="115">
        <v>3000</v>
      </c>
      <c r="E12" s="115">
        <f t="shared" ref="E12" si="1">C12*D12</f>
        <v>1350000</v>
      </c>
      <c r="F12" s="112" t="s">
        <v>67</v>
      </c>
    </row>
    <row r="13" spans="1:6" x14ac:dyDescent="0.25">
      <c r="A13" s="73" t="s">
        <v>56</v>
      </c>
      <c r="B13" s="75"/>
      <c r="C13" s="130">
        <f>SUM(C10:C12)</f>
        <v>693</v>
      </c>
      <c r="D13" s="131"/>
      <c r="E13" s="112"/>
      <c r="F13" s="112"/>
    </row>
    <row r="14" spans="1:6" x14ac:dyDescent="0.25">
      <c r="A14" s="132" t="s">
        <v>55</v>
      </c>
      <c r="B14" s="132"/>
      <c r="C14" s="132"/>
      <c r="D14" s="132"/>
      <c r="E14" s="117">
        <f>SUM(E10:E12)</f>
        <v>2808000</v>
      </c>
      <c r="F14" s="112"/>
    </row>
    <row r="15" spans="1:6" x14ac:dyDescent="0.25">
      <c r="A15" s="3"/>
      <c r="B15" s="3"/>
      <c r="C15" s="3"/>
      <c r="D15" s="6"/>
      <c r="E15" s="28"/>
      <c r="F15" s="2"/>
    </row>
    <row r="16" spans="1:6" x14ac:dyDescent="0.25">
      <c r="A16" s="3"/>
      <c r="B16" s="2"/>
      <c r="C16" s="2"/>
      <c r="D16" s="4"/>
      <c r="E16" s="28"/>
      <c r="F16" s="2"/>
    </row>
    <row r="17" spans="1:6" x14ac:dyDescent="0.25">
      <c r="A17" s="42" t="s">
        <v>9</v>
      </c>
      <c r="B17" s="42"/>
      <c r="C17" s="27" t="s">
        <v>7</v>
      </c>
      <c r="D17" s="42" t="s">
        <v>61</v>
      </c>
      <c r="E17" s="42"/>
      <c r="F17" s="16" t="s">
        <v>60</v>
      </c>
    </row>
    <row r="18" spans="1:6" x14ac:dyDescent="0.25">
      <c r="A18" s="43" t="s">
        <v>10</v>
      </c>
      <c r="B18" s="43"/>
      <c r="C18" s="37" t="s">
        <v>10</v>
      </c>
      <c r="D18" s="43" t="s">
        <v>10</v>
      </c>
      <c r="E18" s="43"/>
      <c r="F18" s="37" t="s">
        <v>10</v>
      </c>
    </row>
    <row r="19" spans="1:6" x14ac:dyDescent="0.25">
      <c r="A19" s="27"/>
      <c r="B19" s="27"/>
      <c r="C19" s="27"/>
      <c r="D19" s="16"/>
      <c r="E19" s="28"/>
      <c r="F19" s="16"/>
    </row>
    <row r="20" spans="1:6" x14ac:dyDescent="0.25">
      <c r="A20" s="27"/>
      <c r="B20" s="27"/>
      <c r="C20" s="27"/>
      <c r="D20" s="16"/>
      <c r="E20" s="28"/>
      <c r="F20" s="16"/>
    </row>
    <row r="21" spans="1:6" x14ac:dyDescent="0.25">
      <c r="A21" s="27"/>
      <c r="B21" s="27"/>
      <c r="C21" s="27"/>
      <c r="D21" s="16"/>
      <c r="E21" s="28"/>
      <c r="F21" s="16"/>
    </row>
    <row r="22" spans="1:6" x14ac:dyDescent="0.25">
      <c r="A22" s="29"/>
      <c r="B22" s="29"/>
      <c r="C22" s="29"/>
      <c r="D22" s="39"/>
      <c r="E22" s="28"/>
      <c r="F22" s="29"/>
    </row>
    <row r="23" spans="1:6" x14ac:dyDescent="0.25">
      <c r="A23" s="42" t="s">
        <v>26</v>
      </c>
      <c r="B23" s="42"/>
      <c r="C23" s="27" t="s">
        <v>8</v>
      </c>
      <c r="D23" s="42" t="s">
        <v>62</v>
      </c>
      <c r="E23" s="42"/>
      <c r="F23" s="16" t="s">
        <v>13</v>
      </c>
    </row>
    <row r="24" spans="1:6" x14ac:dyDescent="0.25">
      <c r="A24" s="13"/>
      <c r="B24" s="15"/>
      <c r="C24" s="15"/>
      <c r="D24" s="17"/>
      <c r="E24" s="27"/>
      <c r="F24" s="15"/>
    </row>
    <row r="25" spans="1:6" x14ac:dyDescent="0.25">
      <c r="A25" s="13"/>
      <c r="B25" s="15"/>
      <c r="C25" s="15"/>
      <c r="D25" s="17"/>
      <c r="E25" s="27"/>
      <c r="F25" s="15"/>
    </row>
    <row r="26" spans="1:6" x14ac:dyDescent="0.25">
      <c r="A26" s="13"/>
      <c r="B26" s="15"/>
      <c r="C26" s="15"/>
      <c r="D26" s="17"/>
      <c r="E26" s="27"/>
      <c r="F26" s="15"/>
    </row>
    <row r="27" spans="1:6" x14ac:dyDescent="0.25">
      <c r="A27" s="18"/>
      <c r="B27" s="19"/>
      <c r="C27" s="19"/>
      <c r="D27" s="20"/>
      <c r="E27" s="29"/>
      <c r="F27" s="19"/>
    </row>
  </sheetData>
  <mergeCells count="15">
    <mergeCell ref="A1:B3"/>
    <mergeCell ref="C3:F3"/>
    <mergeCell ref="C2:F2"/>
    <mergeCell ref="C1:F1"/>
    <mergeCell ref="A6:E6"/>
    <mergeCell ref="E5:F5"/>
    <mergeCell ref="A4:F4"/>
    <mergeCell ref="A13:B13"/>
    <mergeCell ref="A14:D14"/>
    <mergeCell ref="A17:B17"/>
    <mergeCell ref="A23:B23"/>
    <mergeCell ref="A18:B18"/>
    <mergeCell ref="D17:E17"/>
    <mergeCell ref="D18:E18"/>
    <mergeCell ref="D23:E2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zoomScale="115" zoomScaleNormal="115" workbookViewId="0">
      <selection activeCell="H28" sqref="H28"/>
    </sheetView>
  </sheetViews>
  <sheetFormatPr defaultColWidth="9.140625" defaultRowHeight="15" x14ac:dyDescent="0.25"/>
  <cols>
    <col min="1" max="1" width="9.140625" style="2"/>
    <col min="2" max="2" width="28.140625" style="2" customWidth="1"/>
    <col min="3" max="3" width="18.7109375" style="2" customWidth="1"/>
    <col min="4" max="4" width="15.28515625" style="2" customWidth="1"/>
    <col min="5" max="5" width="20.42578125" style="2" customWidth="1"/>
    <col min="6" max="6" width="13.85546875" style="2" customWidth="1"/>
    <col min="7" max="7" width="13.28515625" style="2" customWidth="1"/>
    <col min="8" max="8" width="16" style="2" customWidth="1"/>
    <col min="9" max="9" width="17.5703125" style="2" customWidth="1"/>
    <col min="10" max="10" width="17.140625" style="2" customWidth="1"/>
    <col min="11" max="11" width="20.140625" style="2" customWidth="1"/>
    <col min="12" max="12" width="9.140625" style="2"/>
    <col min="13" max="13" width="9.85546875" style="2" bestFit="1" customWidth="1"/>
    <col min="14" max="16384" width="9.140625" style="2"/>
  </cols>
  <sheetData>
    <row r="1" spans="1:8" x14ac:dyDescent="0.25">
      <c r="A1" s="47"/>
      <c r="B1" s="76"/>
      <c r="C1" s="66" t="s">
        <v>6</v>
      </c>
      <c r="D1" s="67"/>
      <c r="E1" s="67"/>
      <c r="F1" s="67"/>
      <c r="G1" s="67"/>
      <c r="H1" s="68"/>
    </row>
    <row r="2" spans="1:8" x14ac:dyDescent="0.25">
      <c r="A2" s="47"/>
      <c r="B2" s="76"/>
      <c r="C2" s="60" t="s">
        <v>73</v>
      </c>
      <c r="D2" s="77"/>
      <c r="E2" s="77"/>
      <c r="F2" s="77"/>
      <c r="G2" s="77"/>
      <c r="H2" s="62"/>
    </row>
    <row r="3" spans="1:8" ht="15.75" customHeight="1" x14ac:dyDescent="0.25">
      <c r="A3" s="47"/>
      <c r="B3" s="76"/>
      <c r="C3" s="63" t="s">
        <v>74</v>
      </c>
      <c r="D3" s="64"/>
      <c r="E3" s="64"/>
      <c r="F3" s="64"/>
      <c r="G3" s="64"/>
      <c r="H3" s="65"/>
    </row>
    <row r="4" spans="1:8" ht="24.95" customHeight="1" x14ac:dyDescent="0.25">
      <c r="A4" s="80" t="s">
        <v>75</v>
      </c>
      <c r="B4" s="81"/>
      <c r="C4" s="81"/>
      <c r="D4" s="81"/>
      <c r="E4" s="81"/>
      <c r="F4" s="81"/>
      <c r="G4" s="81"/>
      <c r="H4" s="82"/>
    </row>
    <row r="5" spans="1:8" ht="15.75" customHeight="1" x14ac:dyDescent="0.35">
      <c r="A5" s="9"/>
      <c r="B5" s="9"/>
      <c r="C5" s="10"/>
      <c r="D5" s="10"/>
      <c r="E5" s="31"/>
      <c r="F5" s="31"/>
      <c r="G5" s="31"/>
      <c r="H5" s="31" t="s">
        <v>71</v>
      </c>
    </row>
    <row r="6" spans="1:8" s="8" customFormat="1" ht="18.75" customHeight="1" x14ac:dyDescent="0.25">
      <c r="A6" s="38" t="s">
        <v>40</v>
      </c>
      <c r="B6" s="38"/>
      <c r="C6" s="38"/>
      <c r="D6" s="38"/>
      <c r="E6" s="38"/>
      <c r="F6" s="38"/>
      <c r="G6" s="38"/>
      <c r="H6" s="38"/>
    </row>
    <row r="7" spans="1:8" s="8" customFormat="1" ht="21.75" customHeight="1" x14ac:dyDescent="0.25">
      <c r="A7" s="69" t="s">
        <v>70</v>
      </c>
      <c r="B7" s="38"/>
      <c r="C7" s="38"/>
      <c r="D7" s="38"/>
      <c r="E7" s="38"/>
      <c r="F7" s="38"/>
      <c r="G7" s="38"/>
      <c r="H7" s="38"/>
    </row>
    <row r="8" spans="1:8" s="8" customFormat="1" ht="21.75" customHeight="1" x14ac:dyDescent="0.25">
      <c r="A8" s="32"/>
      <c r="B8" s="41"/>
      <c r="C8" s="38"/>
      <c r="D8" s="38"/>
      <c r="E8" s="38"/>
      <c r="F8" s="38"/>
      <c r="G8" s="38"/>
      <c r="H8" s="38"/>
    </row>
    <row r="9" spans="1:8" s="8" customFormat="1" ht="21.75" customHeight="1" x14ac:dyDescent="0.25">
      <c r="A9" s="118" t="s">
        <v>2</v>
      </c>
      <c r="B9" s="119"/>
      <c r="C9" s="115">
        <f>'Bang Tinh CK'!E14</f>
        <v>2808000</v>
      </c>
      <c r="D9" s="40"/>
      <c r="E9" s="38"/>
      <c r="F9" s="38"/>
      <c r="G9" s="38"/>
      <c r="H9" s="38"/>
    </row>
    <row r="10" spans="1:8" s="8" customFormat="1" ht="31.5" customHeight="1" x14ac:dyDescent="0.25">
      <c r="A10" s="120" t="s">
        <v>43</v>
      </c>
      <c r="B10" s="121"/>
      <c r="C10" s="115">
        <v>4</v>
      </c>
      <c r="D10" s="40"/>
      <c r="E10" s="38"/>
      <c r="F10" s="38"/>
      <c r="G10" s="38"/>
      <c r="H10" s="38"/>
    </row>
    <row r="11" spans="1:8" s="8" customFormat="1" ht="21.75" customHeight="1" x14ac:dyDescent="0.25">
      <c r="A11" s="122" t="s">
        <v>4</v>
      </c>
      <c r="B11" s="123"/>
      <c r="C11" s="124">
        <v>0</v>
      </c>
      <c r="D11" s="2"/>
      <c r="E11" s="38"/>
      <c r="F11" s="38"/>
      <c r="G11" s="38"/>
      <c r="H11" s="38"/>
    </row>
    <row r="12" spans="1:8" s="8" customFormat="1" ht="30" customHeight="1" x14ac:dyDescent="0.25">
      <c r="A12" s="125" t="s">
        <v>44</v>
      </c>
      <c r="B12" s="126"/>
      <c r="C12" s="124">
        <f>COUNTIFS(C15:C20, "&gt;=2.5",C15:C20,"&lt;7")</f>
        <v>0</v>
      </c>
      <c r="D12" s="2"/>
      <c r="E12" s="38"/>
      <c r="F12" s="38"/>
      <c r="G12" s="38"/>
      <c r="H12" s="38"/>
    </row>
    <row r="13" spans="1:8" s="8" customFormat="1" ht="10.5" customHeight="1" x14ac:dyDescent="0.25">
      <c r="A13" s="2"/>
      <c r="B13" s="2"/>
      <c r="C13" s="2"/>
      <c r="D13" s="2"/>
      <c r="E13" s="38"/>
      <c r="F13" s="38"/>
      <c r="G13" s="38"/>
      <c r="H13" s="38"/>
    </row>
    <row r="14" spans="1:8" ht="42.75" x14ac:dyDescent="0.25">
      <c r="A14" s="11" t="s">
        <v>0</v>
      </c>
      <c r="B14" s="11" t="s">
        <v>58</v>
      </c>
      <c r="C14" s="11" t="s">
        <v>46</v>
      </c>
      <c r="D14" s="21" t="s">
        <v>47</v>
      </c>
      <c r="E14" s="21" t="s">
        <v>48</v>
      </c>
      <c r="F14" s="21" t="s">
        <v>49</v>
      </c>
      <c r="G14" s="21" t="s">
        <v>45</v>
      </c>
      <c r="H14" s="21" t="s">
        <v>50</v>
      </c>
    </row>
    <row r="15" spans="1:8" ht="16.5" customHeight="1" x14ac:dyDescent="0.25">
      <c r="A15" s="112">
        <v>1</v>
      </c>
      <c r="B15" s="112" t="s">
        <v>13</v>
      </c>
      <c r="C15" s="113">
        <v>2</v>
      </c>
      <c r="D15" s="114">
        <v>100</v>
      </c>
      <c r="E15" s="115">
        <f>($C$9*D15)/$D$19</f>
        <v>702000</v>
      </c>
      <c r="F15" s="115">
        <v>0</v>
      </c>
      <c r="G15" s="115">
        <v>0</v>
      </c>
      <c r="H15" s="115">
        <f>((E15-F15)+($F$21/10))-G15</f>
        <v>702000</v>
      </c>
    </row>
    <row r="16" spans="1:8" ht="16.5" customHeight="1" x14ac:dyDescent="0.25">
      <c r="A16" s="112">
        <v>2</v>
      </c>
      <c r="B16" s="112" t="s">
        <v>30</v>
      </c>
      <c r="C16" s="113">
        <v>2</v>
      </c>
      <c r="D16" s="114">
        <v>100</v>
      </c>
      <c r="E16" s="115">
        <f>($C$9*D16)/$D$19</f>
        <v>702000</v>
      </c>
      <c r="F16" s="115">
        <v>0</v>
      </c>
      <c r="G16" s="115">
        <v>0</v>
      </c>
      <c r="H16" s="115">
        <f>((E16-F16)+($F$21/10))-G16</f>
        <v>702000</v>
      </c>
    </row>
    <row r="17" spans="1:10" ht="16.5" customHeight="1" x14ac:dyDescent="0.25">
      <c r="A17" s="112">
        <v>3</v>
      </c>
      <c r="B17" s="112" t="s">
        <v>31</v>
      </c>
      <c r="C17" s="113">
        <v>2</v>
      </c>
      <c r="D17" s="114">
        <v>100</v>
      </c>
      <c r="E17" s="115">
        <f>($C$9*D17)/$D$19</f>
        <v>702000</v>
      </c>
      <c r="F17" s="115">
        <v>0</v>
      </c>
      <c r="G17" s="115">
        <v>0</v>
      </c>
      <c r="H17" s="115">
        <f>((E17-F17)+($F$21/10))-G17</f>
        <v>702000</v>
      </c>
    </row>
    <row r="18" spans="1:10" ht="17.25" customHeight="1" x14ac:dyDescent="0.25">
      <c r="A18" s="112">
        <v>4</v>
      </c>
      <c r="B18" s="112" t="s">
        <v>39</v>
      </c>
      <c r="C18" s="113">
        <v>2</v>
      </c>
      <c r="D18" s="114">
        <v>100</v>
      </c>
      <c r="E18" s="115">
        <f>($C$9*D18)/$D$19</f>
        <v>702000</v>
      </c>
      <c r="F18" s="115">
        <v>0</v>
      </c>
      <c r="G18" s="115">
        <v>0</v>
      </c>
      <c r="H18" s="115">
        <f>((E18-F18)+($F$21/10))-G18</f>
        <v>702000</v>
      </c>
    </row>
    <row r="19" spans="1:10" x14ac:dyDescent="0.25">
      <c r="A19" s="70" t="s">
        <v>5</v>
      </c>
      <c r="B19" s="71"/>
      <c r="C19" s="72"/>
      <c r="D19" s="113">
        <f>SUM(D15:D18)</f>
        <v>400</v>
      </c>
      <c r="E19" s="115"/>
      <c r="F19" s="115"/>
      <c r="G19" s="115"/>
      <c r="H19" s="115"/>
    </row>
    <row r="20" spans="1:10" x14ac:dyDescent="0.25">
      <c r="A20" s="133"/>
      <c r="B20" s="133"/>
      <c r="C20" s="134"/>
      <c r="D20" s="134"/>
      <c r="E20" s="135">
        <f>IF(OR(C20&gt;=7,C20 =""),0,$C$9/($C$10-$C$11))</f>
        <v>0</v>
      </c>
      <c r="F20" s="135">
        <f>IF(C20&lt;2.5,0,IF(AND(C20&gt;=2.5,C20&lt;7),(C20-2)*(($C$9/($C$10-$C$11))/7),0))</f>
        <v>0</v>
      </c>
      <c r="G20" s="135"/>
      <c r="H20" s="135">
        <f>IF(AND(C20&lt;=2.5,C20&lt;&gt;""),E20+$F$21/($C$10-$C$12-$C$11),E20-F20)</f>
        <v>0</v>
      </c>
      <c r="I20" s="2" t="s">
        <v>3</v>
      </c>
    </row>
    <row r="21" spans="1:10" x14ac:dyDescent="0.25">
      <c r="A21" s="73" t="s">
        <v>1</v>
      </c>
      <c r="B21" s="74"/>
      <c r="C21" s="75"/>
      <c r="D21" s="116"/>
      <c r="E21" s="117">
        <f>SUM(E15:E18)</f>
        <v>2808000</v>
      </c>
      <c r="F21" s="117">
        <f>SUM(F15:F20)</f>
        <v>0</v>
      </c>
      <c r="G21" s="117">
        <f>SUM(G15:G18)</f>
        <v>0</v>
      </c>
      <c r="H21" s="117">
        <f>SUM(H15:H20)</f>
        <v>2808000</v>
      </c>
      <c r="J21" s="12"/>
    </row>
    <row r="22" spans="1:10" ht="26.25" customHeight="1" x14ac:dyDescent="0.25">
      <c r="A22" s="127" t="s">
        <v>12</v>
      </c>
      <c r="B22" s="128"/>
      <c r="C22" s="128"/>
      <c r="D22" s="129"/>
    </row>
    <row r="24" spans="1:10" x14ac:dyDescent="0.25">
      <c r="A24" s="42" t="s">
        <v>9</v>
      </c>
      <c r="B24" s="42"/>
      <c r="C24" s="49" t="s">
        <v>7</v>
      </c>
      <c r="D24" s="49"/>
      <c r="E24" s="49" t="s">
        <v>63</v>
      </c>
      <c r="F24" s="49"/>
      <c r="G24" s="49" t="s">
        <v>64</v>
      </c>
      <c r="H24" s="49"/>
    </row>
    <row r="25" spans="1:10" x14ac:dyDescent="0.25">
      <c r="A25" s="48" t="s">
        <v>10</v>
      </c>
      <c r="B25" s="48"/>
      <c r="C25" s="48" t="s">
        <v>10</v>
      </c>
      <c r="D25" s="48"/>
      <c r="E25" s="48" t="s">
        <v>10</v>
      </c>
      <c r="F25" s="48"/>
      <c r="G25" s="48" t="s">
        <v>10</v>
      </c>
      <c r="H25" s="48"/>
    </row>
    <row r="26" spans="1:10" x14ac:dyDescent="0.25">
      <c r="A26" s="13"/>
      <c r="B26" s="15"/>
    </row>
    <row r="27" spans="1:10" x14ac:dyDescent="0.25">
      <c r="A27" s="13"/>
      <c r="B27" s="15"/>
    </row>
    <row r="28" spans="1:10" x14ac:dyDescent="0.25">
      <c r="A28" s="13"/>
      <c r="B28" s="15"/>
    </row>
    <row r="29" spans="1:10" x14ac:dyDescent="0.25">
      <c r="A29" s="18"/>
      <c r="B29" s="19"/>
    </row>
    <row r="30" spans="1:10" x14ac:dyDescent="0.25">
      <c r="A30" s="42" t="s">
        <v>26</v>
      </c>
      <c r="B30" s="42"/>
      <c r="C30" s="49" t="s">
        <v>8</v>
      </c>
      <c r="D30" s="49"/>
      <c r="E30" s="49" t="s">
        <v>62</v>
      </c>
      <c r="F30" s="49"/>
      <c r="G30" s="49" t="s">
        <v>13</v>
      </c>
      <c r="H30" s="49"/>
    </row>
  </sheetData>
  <mergeCells count="23">
    <mergeCell ref="A21:C21"/>
    <mergeCell ref="A25:B25"/>
    <mergeCell ref="A30:B30"/>
    <mergeCell ref="G24:H24"/>
    <mergeCell ref="G25:H25"/>
    <mergeCell ref="G30:H30"/>
    <mergeCell ref="A24:B24"/>
    <mergeCell ref="C30:D30"/>
    <mergeCell ref="E24:F24"/>
    <mergeCell ref="E30:F30"/>
    <mergeCell ref="E25:F25"/>
    <mergeCell ref="C24:D24"/>
    <mergeCell ref="C25:D25"/>
    <mergeCell ref="A10:B10"/>
    <mergeCell ref="A19:C19"/>
    <mergeCell ref="A12:B12"/>
    <mergeCell ref="A1:B3"/>
    <mergeCell ref="C1:H1"/>
    <mergeCell ref="C2:H2"/>
    <mergeCell ref="C3:H3"/>
    <mergeCell ref="A4:H4"/>
    <mergeCell ref="A9:B9"/>
    <mergeCell ref="A11:B11"/>
  </mergeCells>
  <pageMargins left="0.5" right="1" top="0.5" bottom="0.5" header="0" footer="0"/>
  <pageSetup paperSize="9" scale="95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8"/>
  <sheetViews>
    <sheetView tabSelected="1" view="pageBreakPreview" zoomScale="115" zoomScaleNormal="100" zoomScaleSheetLayoutView="115" workbookViewId="0">
      <selection activeCell="F20" sqref="F20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3.85546875" customWidth="1"/>
  </cols>
  <sheetData>
    <row r="1" spans="1:9" ht="15.75" customHeight="1" x14ac:dyDescent="0.25">
      <c r="A1" s="50"/>
      <c r="B1" s="50"/>
      <c r="C1" s="50"/>
      <c r="D1" s="51" t="s">
        <v>65</v>
      </c>
      <c r="E1" s="52"/>
      <c r="F1" s="52"/>
      <c r="G1" s="110" t="s">
        <v>14</v>
      </c>
      <c r="H1" s="111"/>
    </row>
    <row r="2" spans="1:9" ht="15.75" customHeight="1" x14ac:dyDescent="0.25">
      <c r="A2" s="50"/>
      <c r="B2" s="50"/>
      <c r="C2" s="50"/>
      <c r="D2" s="53"/>
      <c r="E2" s="54"/>
      <c r="F2" s="54"/>
      <c r="G2" s="110" t="s">
        <v>15</v>
      </c>
      <c r="H2" s="111"/>
    </row>
    <row r="3" spans="1:9" ht="15.75" customHeight="1" x14ac:dyDescent="0.25">
      <c r="A3" s="50"/>
      <c r="B3" s="50"/>
      <c r="C3" s="50"/>
      <c r="D3" s="55"/>
      <c r="E3" s="56"/>
      <c r="F3" s="56"/>
      <c r="G3" s="110" t="s">
        <v>16</v>
      </c>
      <c r="H3" s="111"/>
    </row>
    <row r="4" spans="1:9" x14ac:dyDescent="0.25">
      <c r="A4" s="57" t="str">
        <f>'Phieu Tinh CK'!H5</f>
        <v>Hà Nội, ngày 31 tháng 10 năm 2025</v>
      </c>
      <c r="B4" s="57"/>
      <c r="C4" s="57"/>
      <c r="D4" s="57"/>
      <c r="E4" s="57"/>
      <c r="F4" s="57"/>
      <c r="G4" s="57"/>
      <c r="H4" s="57"/>
    </row>
    <row r="5" spans="1:9" ht="15.75" x14ac:dyDescent="0.25">
      <c r="A5" s="83" t="s">
        <v>41</v>
      </c>
      <c r="B5" s="84"/>
      <c r="C5" s="85"/>
      <c r="D5" s="23"/>
      <c r="E5" s="23"/>
      <c r="F5" s="24"/>
      <c r="G5" s="24"/>
      <c r="H5" s="22"/>
    </row>
    <row r="6" spans="1:9" ht="15.75" x14ac:dyDescent="0.25">
      <c r="A6" s="83" t="s">
        <v>42</v>
      </c>
      <c r="B6" s="84"/>
      <c r="C6" s="84"/>
      <c r="D6" s="22"/>
      <c r="E6" s="25"/>
      <c r="F6" s="26"/>
      <c r="G6" s="25"/>
      <c r="H6" s="22"/>
    </row>
    <row r="7" spans="1:9" ht="15.75" x14ac:dyDescent="0.25">
      <c r="A7" s="25"/>
      <c r="B7" s="25"/>
      <c r="C7" s="25"/>
      <c r="D7" s="25"/>
      <c r="E7" s="25"/>
      <c r="F7" s="25"/>
      <c r="G7" s="25"/>
      <c r="H7" s="25"/>
    </row>
    <row r="8" spans="1:9" ht="15.75" customHeight="1" x14ac:dyDescent="0.25">
      <c r="A8" s="86" t="s">
        <v>0</v>
      </c>
      <c r="B8" s="86" t="s">
        <v>17</v>
      </c>
      <c r="C8" s="87" t="s">
        <v>18</v>
      </c>
      <c r="D8" s="88"/>
      <c r="E8" s="88"/>
      <c r="F8" s="89"/>
      <c r="G8" s="138" t="s">
        <v>11</v>
      </c>
      <c r="H8" s="138"/>
      <c r="I8" s="137"/>
    </row>
    <row r="9" spans="1:9" x14ac:dyDescent="0.25">
      <c r="A9" s="90"/>
      <c r="B9" s="90"/>
      <c r="C9" s="91" t="s">
        <v>19</v>
      </c>
      <c r="D9" s="91" t="s">
        <v>20</v>
      </c>
      <c r="E9" s="91" t="s">
        <v>21</v>
      </c>
      <c r="F9" s="91" t="s">
        <v>22</v>
      </c>
      <c r="G9" s="138"/>
      <c r="H9" s="138"/>
      <c r="I9" s="137"/>
    </row>
    <row r="10" spans="1:9" ht="15.75" customHeight="1" x14ac:dyDescent="0.25">
      <c r="A10" s="92">
        <v>1</v>
      </c>
      <c r="B10" s="93" t="s">
        <v>36</v>
      </c>
      <c r="C10" s="94">
        <v>1000</v>
      </c>
      <c r="D10" s="94">
        <v>1000</v>
      </c>
      <c r="E10" s="94">
        <v>150</v>
      </c>
      <c r="F10" s="94">
        <f>D10-E10</f>
        <v>850</v>
      </c>
      <c r="G10" s="136" t="s">
        <v>68</v>
      </c>
      <c r="H10" s="136"/>
      <c r="I10" s="137"/>
    </row>
    <row r="11" spans="1:9" ht="15.75" customHeight="1" x14ac:dyDescent="0.25">
      <c r="A11" s="92">
        <v>2</v>
      </c>
      <c r="B11" s="93" t="s">
        <v>72</v>
      </c>
      <c r="C11" s="94">
        <v>1000</v>
      </c>
      <c r="D11" s="94">
        <v>450</v>
      </c>
      <c r="E11" s="94">
        <v>450</v>
      </c>
      <c r="F11" s="94">
        <f>D11-E11</f>
        <v>0</v>
      </c>
      <c r="G11" s="136" t="s">
        <v>76</v>
      </c>
      <c r="H11" s="136"/>
      <c r="I11" s="137"/>
    </row>
    <row r="12" spans="1:9" x14ac:dyDescent="0.25">
      <c r="A12" s="92">
        <v>3</v>
      </c>
      <c r="B12" s="95" t="s">
        <v>38</v>
      </c>
      <c r="C12" s="94">
        <v>200</v>
      </c>
      <c r="D12" s="94">
        <v>2</v>
      </c>
      <c r="E12" s="94">
        <v>0</v>
      </c>
      <c r="F12" s="96">
        <f>D12-E12</f>
        <v>2</v>
      </c>
      <c r="G12" s="136" t="s">
        <v>27</v>
      </c>
      <c r="H12" s="136"/>
      <c r="I12" s="137"/>
    </row>
    <row r="13" spans="1:9" x14ac:dyDescent="0.25">
      <c r="A13" s="92">
        <v>4</v>
      </c>
      <c r="B13" s="97" t="s">
        <v>24</v>
      </c>
      <c r="C13" s="94">
        <v>200</v>
      </c>
      <c r="D13" s="94">
        <v>178</v>
      </c>
      <c r="E13" s="94">
        <v>0</v>
      </c>
      <c r="F13" s="96">
        <f t="shared" ref="F13" si="0">D13</f>
        <v>178</v>
      </c>
      <c r="G13" s="136" t="s">
        <v>27</v>
      </c>
      <c r="H13" s="136"/>
      <c r="I13" s="137"/>
    </row>
    <row r="14" spans="1:9" x14ac:dyDescent="0.25">
      <c r="A14" s="92">
        <v>5</v>
      </c>
      <c r="B14" s="97" t="s">
        <v>23</v>
      </c>
      <c r="C14" s="94">
        <v>300</v>
      </c>
      <c r="D14" s="94">
        <v>52</v>
      </c>
      <c r="E14" s="94">
        <v>0</v>
      </c>
      <c r="F14" s="96">
        <f>D14-E14</f>
        <v>52</v>
      </c>
      <c r="G14" s="136" t="s">
        <v>27</v>
      </c>
      <c r="H14" s="136"/>
    </row>
    <row r="15" spans="1:9" x14ac:dyDescent="0.25">
      <c r="A15" s="92">
        <v>6</v>
      </c>
      <c r="B15" s="95" t="s">
        <v>23</v>
      </c>
      <c r="C15" s="94">
        <v>200</v>
      </c>
      <c r="D15" s="94">
        <v>22</v>
      </c>
      <c r="E15" s="94">
        <v>0</v>
      </c>
      <c r="F15" s="96">
        <f>D15-E15</f>
        <v>22</v>
      </c>
      <c r="G15" s="136" t="s">
        <v>27</v>
      </c>
      <c r="H15" s="136"/>
    </row>
    <row r="16" spans="1:9" x14ac:dyDescent="0.25">
      <c r="A16" s="92">
        <v>7</v>
      </c>
      <c r="B16" s="95" t="s">
        <v>35</v>
      </c>
      <c r="C16" s="94">
        <v>30</v>
      </c>
      <c r="D16" s="94">
        <v>2</v>
      </c>
      <c r="E16" s="94">
        <v>0</v>
      </c>
      <c r="F16" s="96">
        <f>D16-E16</f>
        <v>2</v>
      </c>
      <c r="G16" s="136" t="s">
        <v>27</v>
      </c>
      <c r="H16" s="136"/>
    </row>
    <row r="17" spans="1:8" x14ac:dyDescent="0.25">
      <c r="A17" s="92">
        <v>8</v>
      </c>
      <c r="B17" s="95" t="s">
        <v>33</v>
      </c>
      <c r="C17" s="94">
        <v>30</v>
      </c>
      <c r="D17" s="94">
        <v>3</v>
      </c>
      <c r="E17" s="94">
        <v>0</v>
      </c>
      <c r="F17" s="96">
        <v>3</v>
      </c>
      <c r="G17" s="136" t="s">
        <v>27</v>
      </c>
      <c r="H17" s="136"/>
    </row>
    <row r="18" spans="1:8" x14ac:dyDescent="0.25">
      <c r="A18" s="92">
        <v>9</v>
      </c>
      <c r="B18" s="95" t="s">
        <v>32</v>
      </c>
      <c r="C18" s="94"/>
      <c r="D18" s="94"/>
      <c r="E18" s="94">
        <v>93</v>
      </c>
      <c r="F18" s="96"/>
      <c r="G18" s="136"/>
      <c r="H18" s="136"/>
    </row>
    <row r="19" spans="1:8" x14ac:dyDescent="0.25">
      <c r="A19" s="98" t="s">
        <v>25</v>
      </c>
      <c r="B19" s="99"/>
      <c r="C19" s="100">
        <f>SUM(C10:C18)</f>
        <v>2960</v>
      </c>
      <c r="D19" s="100">
        <f>SUM(D10:D18)</f>
        <v>1709</v>
      </c>
      <c r="E19" s="100">
        <f>SUM(E10:E18)</f>
        <v>693</v>
      </c>
      <c r="F19" s="100">
        <f>SUM(F10:F18)</f>
        <v>1109</v>
      </c>
      <c r="G19" s="101"/>
      <c r="H19" s="102"/>
    </row>
    <row r="20" spans="1:8" ht="15.75" x14ac:dyDescent="0.25">
      <c r="A20" s="25"/>
      <c r="B20" s="25"/>
      <c r="C20" s="25"/>
      <c r="D20" s="25"/>
      <c r="E20" s="25"/>
      <c r="F20" s="25"/>
      <c r="G20" s="25"/>
      <c r="H20" s="25"/>
    </row>
    <row r="21" spans="1:8" x14ac:dyDescent="0.25">
      <c r="A21" s="103" t="s">
        <v>7</v>
      </c>
      <c r="B21" s="103"/>
      <c r="C21" s="103" t="s">
        <v>63</v>
      </c>
      <c r="D21" s="103"/>
      <c r="E21" s="103" t="s">
        <v>69</v>
      </c>
      <c r="F21" s="103"/>
      <c r="G21" s="42" t="s">
        <v>64</v>
      </c>
      <c r="H21" s="42"/>
    </row>
    <row r="22" spans="1:8" ht="15.75" customHeight="1" x14ac:dyDescent="0.25">
      <c r="A22" s="43" t="s">
        <v>10</v>
      </c>
      <c r="B22" s="43"/>
      <c r="C22" s="43" t="s">
        <v>10</v>
      </c>
      <c r="D22" s="43"/>
      <c r="E22" s="43" t="s">
        <v>10</v>
      </c>
      <c r="F22" s="43"/>
      <c r="G22" s="43" t="s">
        <v>10</v>
      </c>
      <c r="H22" s="43"/>
    </row>
    <row r="23" spans="1:8" x14ac:dyDescent="0.25">
      <c r="A23" s="59"/>
      <c r="B23" s="59"/>
      <c r="C23" s="59"/>
      <c r="D23" s="59"/>
      <c r="E23" s="59"/>
      <c r="F23" s="104"/>
      <c r="G23" s="59"/>
      <c r="H23" s="59"/>
    </row>
    <row r="24" spans="1:8" x14ac:dyDescent="0.25">
      <c r="A24" s="59"/>
      <c r="B24" s="59"/>
      <c r="C24" s="59"/>
      <c r="D24" s="34"/>
      <c r="E24" s="59"/>
      <c r="F24" s="59"/>
      <c r="G24" s="59"/>
      <c r="H24" s="59"/>
    </row>
    <row r="25" spans="1:8" x14ac:dyDescent="0.25">
      <c r="A25" s="105"/>
      <c r="B25" s="105"/>
      <c r="C25" s="105"/>
      <c r="D25" s="105"/>
      <c r="E25" s="105"/>
      <c r="F25" s="106"/>
      <c r="G25" s="105"/>
      <c r="H25" s="105"/>
    </row>
    <row r="26" spans="1:8" x14ac:dyDescent="0.25">
      <c r="A26" s="105"/>
      <c r="B26" s="105"/>
      <c r="C26" s="107"/>
      <c r="D26" s="107"/>
      <c r="E26" s="105"/>
      <c r="F26" s="106"/>
      <c r="G26" s="105"/>
      <c r="H26" s="105"/>
    </row>
    <row r="27" spans="1:8" x14ac:dyDescent="0.25">
      <c r="A27" s="108" t="s">
        <v>8</v>
      </c>
      <c r="B27" s="108"/>
      <c r="C27" s="108" t="s">
        <v>62</v>
      </c>
      <c r="D27" s="108"/>
      <c r="E27" s="108" t="s">
        <v>34</v>
      </c>
      <c r="F27" s="108"/>
      <c r="G27" s="108" t="s">
        <v>13</v>
      </c>
      <c r="H27" s="108"/>
    </row>
    <row r="28" spans="1:8" x14ac:dyDescent="0.25">
      <c r="A28" s="84"/>
      <c r="B28" s="84"/>
      <c r="C28" s="84"/>
      <c r="D28" s="109"/>
      <c r="E28" s="84"/>
      <c r="F28" s="84"/>
      <c r="G28" s="84"/>
      <c r="H28" s="84"/>
    </row>
  </sheetData>
  <mergeCells count="34">
    <mergeCell ref="A27:B27"/>
    <mergeCell ref="C27:D27"/>
    <mergeCell ref="E27:F27"/>
    <mergeCell ref="G27:H27"/>
    <mergeCell ref="C26:D26"/>
    <mergeCell ref="G21:H21"/>
    <mergeCell ref="G22:H22"/>
    <mergeCell ref="C21:D21"/>
    <mergeCell ref="G12:H12"/>
    <mergeCell ref="A19:B19"/>
    <mergeCell ref="G19:H19"/>
    <mergeCell ref="G18:H18"/>
    <mergeCell ref="G14:H14"/>
    <mergeCell ref="G13:H13"/>
    <mergeCell ref="G15:H15"/>
    <mergeCell ref="A21:B21"/>
    <mergeCell ref="A22:B22"/>
    <mergeCell ref="C22:D22"/>
    <mergeCell ref="E21:F21"/>
    <mergeCell ref="E22:F22"/>
    <mergeCell ref="G16:H16"/>
    <mergeCell ref="G17:H17"/>
    <mergeCell ref="G11:H11"/>
    <mergeCell ref="A1:C3"/>
    <mergeCell ref="D1:F3"/>
    <mergeCell ref="G1:H1"/>
    <mergeCell ref="G2:H2"/>
    <mergeCell ref="G3:H3"/>
    <mergeCell ref="A8:A9"/>
    <mergeCell ref="B8:B9"/>
    <mergeCell ref="C8:F8"/>
    <mergeCell ref="G8:H9"/>
    <mergeCell ref="A4:H4"/>
    <mergeCell ref="G10:H10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Tinh CK</vt:lpstr>
      <vt:lpstr>Phieu Tinh CK</vt:lpstr>
      <vt:lpstr>Tồn San Xuat</vt:lpstr>
      <vt:lpstr>'Bang Tinh CK'!Print_Area</vt:lpstr>
      <vt:lpstr>'Phieu Tinh CK'!Print_Area</vt:lpstr>
      <vt:lpstr>'Tồn San Xuat'!Print_Area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2025-10-31T06:43:48Z</dcterms:modified>
</cp:coreProperties>
</file>