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ungNM\Downloads\"/>
    </mc:Choice>
  </mc:AlternateContent>
  <xr:revisionPtr revIDLastSave="0" documentId="13_ncr:1_{CAF65FEB-9491-448A-BA72-84E523E0CFD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ield=VariantName" sheetId="1" r:id="rId1"/>
  </sheets>
  <externalReferences>
    <externalReference r:id="rId2"/>
  </externalReferences>
  <definedNames>
    <definedName name="_xlnm._FilterDatabase" localSheetId="0" hidden="1">'Field=VariantName'!$A$5:$N$58</definedName>
    <definedName name="_xlnm.Print_Titles" localSheetId="0">'Field=VariantName'!$5:$5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" i="1" l="1"/>
  <c r="A59" i="1"/>
  <c r="A60" i="1"/>
  <c r="L58" i="1"/>
  <c r="H58" i="1"/>
  <c r="E58" i="1"/>
  <c r="A58" i="1"/>
  <c r="L57" i="1"/>
  <c r="E57" i="1"/>
  <c r="A57" i="1"/>
  <c r="L56" i="1"/>
  <c r="E56" i="1"/>
  <c r="A56" i="1"/>
  <c r="L55" i="1"/>
  <c r="A55" i="1"/>
  <c r="L54" i="1"/>
  <c r="E54" i="1"/>
  <c r="A54" i="1"/>
  <c r="L53" i="1"/>
  <c r="E53" i="1"/>
  <c r="A53" i="1"/>
  <c r="L52" i="1"/>
  <c r="H52" i="1"/>
  <c r="E52" i="1"/>
  <c r="A52" i="1"/>
  <c r="L51" i="1"/>
  <c r="E51" i="1"/>
  <c r="A51" i="1"/>
  <c r="L50" i="1"/>
  <c r="A50" i="1"/>
  <c r="L49" i="1"/>
  <c r="E49" i="1"/>
  <c r="A49" i="1"/>
  <c r="L48" i="1"/>
  <c r="E48" i="1"/>
  <c r="A48" i="1"/>
  <c r="L47" i="1"/>
  <c r="E47" i="1"/>
  <c r="A47" i="1"/>
  <c r="L46" i="1"/>
  <c r="E46" i="1"/>
  <c r="A46" i="1"/>
  <c r="L45" i="1"/>
  <c r="E45" i="1"/>
  <c r="A45" i="1"/>
  <c r="L44" i="1"/>
  <c r="E44" i="1"/>
  <c r="A44" i="1"/>
  <c r="L43" i="1"/>
  <c r="E43" i="1"/>
  <c r="A43" i="1"/>
  <c r="L42" i="1"/>
  <c r="E42" i="1"/>
  <c r="A42" i="1"/>
  <c r="L41" i="1"/>
  <c r="E41" i="1"/>
  <c r="A41" i="1"/>
  <c r="L40" i="1"/>
  <c r="E40" i="1"/>
  <c r="A40" i="1"/>
  <c r="L39" i="1"/>
  <c r="E39" i="1"/>
  <c r="A39" i="1"/>
  <c r="L38" i="1"/>
  <c r="E38" i="1"/>
  <c r="A38" i="1"/>
  <c r="L37" i="1"/>
  <c r="E37" i="1"/>
  <c r="A37" i="1"/>
  <c r="L36" i="1"/>
  <c r="E36" i="1"/>
  <c r="A36" i="1"/>
  <c r="L35" i="1"/>
  <c r="E35" i="1"/>
  <c r="A35" i="1"/>
  <c r="L34" i="1"/>
  <c r="E34" i="1"/>
  <c r="A34" i="1"/>
  <c r="L33" i="1"/>
  <c r="E33" i="1"/>
  <c r="A33" i="1"/>
  <c r="L32" i="1"/>
  <c r="E32" i="1"/>
  <c r="A32" i="1"/>
  <c r="L31" i="1"/>
  <c r="E31" i="1"/>
  <c r="A31" i="1"/>
  <c r="L30" i="1"/>
  <c r="E30" i="1"/>
  <c r="A30" i="1"/>
  <c r="L29" i="1"/>
  <c r="E29" i="1"/>
  <c r="A29" i="1"/>
  <c r="L28" i="1"/>
  <c r="H28" i="1"/>
  <c r="E28" i="1"/>
  <c r="A28" i="1"/>
  <c r="L27" i="1"/>
  <c r="E27" i="1"/>
  <c r="A27" i="1"/>
  <c r="L26" i="1"/>
  <c r="H26" i="1"/>
  <c r="E26" i="1"/>
  <c r="A26" i="1"/>
  <c r="L25" i="1"/>
  <c r="E25" i="1"/>
  <c r="A25" i="1"/>
  <c r="L24" i="1"/>
  <c r="E24" i="1"/>
  <c r="A24" i="1"/>
  <c r="L23" i="1"/>
  <c r="E23" i="1"/>
  <c r="A23" i="1"/>
  <c r="L22" i="1"/>
  <c r="E22" i="1"/>
  <c r="A22" i="1"/>
  <c r="L21" i="1"/>
  <c r="E21" i="1"/>
  <c r="A21" i="1"/>
  <c r="L20" i="1"/>
  <c r="E20" i="1"/>
  <c r="A20" i="1"/>
  <c r="L19" i="1"/>
  <c r="E19" i="1"/>
  <c r="A19" i="1"/>
  <c r="L18" i="1"/>
  <c r="E18" i="1"/>
  <c r="A18" i="1"/>
  <c r="L17" i="1"/>
  <c r="E17" i="1"/>
  <c r="A17" i="1"/>
  <c r="L16" i="1"/>
  <c r="E16" i="1"/>
  <c r="A16" i="1"/>
  <c r="L15" i="1"/>
  <c r="E15" i="1"/>
  <c r="A15" i="1"/>
  <c r="L14" i="1"/>
  <c r="E14" i="1"/>
  <c r="A14" i="1"/>
  <c r="L13" i="1"/>
  <c r="E13" i="1"/>
  <c r="A13" i="1"/>
  <c r="L12" i="1"/>
  <c r="E12" i="1"/>
  <c r="A12" i="1"/>
  <c r="L11" i="1"/>
  <c r="E11" i="1"/>
  <c r="A11" i="1"/>
  <c r="L10" i="1"/>
  <c r="E10" i="1"/>
  <c r="A10" i="1"/>
  <c r="L9" i="1"/>
  <c r="E9" i="1"/>
  <c r="A9" i="1"/>
  <c r="L8" i="1"/>
  <c r="E8" i="1"/>
  <c r="A8" i="1"/>
  <c r="L7" i="1"/>
  <c r="E7" i="1"/>
  <c r="A7" i="1"/>
  <c r="L6" i="1"/>
  <c r="H6" i="1"/>
  <c r="E6" i="1"/>
  <c r="A6" i="1"/>
</calcChain>
</file>

<file path=xl/sharedStrings.xml><?xml version="1.0" encoding="utf-8"?>
<sst xmlns="http://schemas.openxmlformats.org/spreadsheetml/2006/main" count="349" uniqueCount="254">
  <si>
    <t>Rev:</t>
  </si>
  <si>
    <t>Tracker_56</t>
  </si>
  <si>
    <t>Production QTY</t>
  </si>
  <si>
    <t>Customer:</t>
  </si>
  <si>
    <t>HW version:</t>
  </si>
  <si>
    <t>Checked by:</t>
  </si>
  <si>
    <t>Date created:</t>
  </si>
  <si>
    <t>Board code:</t>
  </si>
  <si>
    <t>Prepared by:</t>
  </si>
  <si>
    <t/>
  </si>
  <si>
    <t>Approved by:</t>
  </si>
  <si>
    <t>8/27/2025</t>
  </si>
  <si>
    <t>STT</t>
  </si>
  <si>
    <t>Internal Code</t>
  </si>
  <si>
    <t>Category</t>
  </si>
  <si>
    <t>Description</t>
  </si>
  <si>
    <t>Manufacture</t>
  </si>
  <si>
    <t>Partnumber</t>
  </si>
  <si>
    <t>Manufacturer 2</t>
  </si>
  <si>
    <t>Manufacturer's Part Number 2</t>
  </si>
  <si>
    <t>Designator</t>
  </si>
  <si>
    <t>Quantity</t>
  </si>
  <si>
    <t>Mounting type</t>
  </si>
  <si>
    <t>Note</t>
  </si>
  <si>
    <t>Cần xin ảnh thực tế của linh kiện</t>
  </si>
  <si>
    <t>Anten</t>
  </si>
  <si>
    <t>25x25x4mm thick GPS Patch Antenna</t>
  </si>
  <si>
    <t>JTDT1575-1602S</t>
  </si>
  <si>
    <t>VT_ANTENNA_GPS AH316M</t>
  </si>
  <si>
    <t>AT1</t>
  </si>
  <si>
    <t>TH</t>
  </si>
  <si>
    <t>ko có, mkp xử lý</t>
  </si>
  <si>
    <t>Capacitor</t>
  </si>
  <si>
    <t>CAP CER 100nF 50V C0G/NP0 0603 ±5%</t>
  </si>
  <si>
    <t>CL10C104JB8NNNC</t>
  </si>
  <si>
    <t>VT_CAP_C0603 100nF</t>
  </si>
  <si>
    <t>C1, C5, C6, C7, C10, C12, C13, C16, C20, C27, C29, C31, C33, C37, C39, C47, C50, C51, C52, C53, C54, C55, C56, C57, C58, C59, C60, C61, C65, C66, C67</t>
  </si>
  <si>
    <t>SMD</t>
  </si>
  <si>
    <t>CAP CER 4.7UF 100V X5R 1210</t>
  </si>
  <si>
    <t>HMK325BJ475KM-PE</t>
  </si>
  <si>
    <t>C2, C24</t>
  </si>
  <si>
    <t>CAP ALUM 100UF 20% 6.3V SMD 5x5.4mm, CAP ALUM 10UF 20% 35V SMD 5x5.4mm</t>
  </si>
  <si>
    <t>UWT1V100MCL1GB</t>
  </si>
  <si>
    <t>VT_CAP TAN 100uF 6.3V</t>
  </si>
  <si>
    <t>C3, C8, C26</t>
  </si>
  <si>
    <t>CAP CER 33PF 50V C0G 0603</t>
  </si>
  <si>
    <t>AC0603FRNPO9BN330</t>
  </si>
  <si>
    <t>VT_TỤ ĐIỆN_C0603 33pF</t>
  </si>
  <si>
    <t>C4, C62</t>
  </si>
  <si>
    <t>CAP CER 10nF 50V C0G/NP0 0603</t>
  </si>
  <si>
    <t>CL10C103JB8NNNC</t>
  </si>
  <si>
    <t>VT_CAP_C0603 10nF</t>
  </si>
  <si>
    <t>C9, C68</t>
  </si>
  <si>
    <t>CAP CER 2.2UF 16V X7R 0603</t>
  </si>
  <si>
    <t>CL10A225KQ8NNNC</t>
  </si>
  <si>
    <t>VT_CAP_C0603 2.2uF(GRM188R61H225KE11J)</t>
  </si>
  <si>
    <t>C11, C14, C15, C17, C28</t>
  </si>
  <si>
    <t>CAP CER 22PF 50V C0G/NP0 0603</t>
  </si>
  <si>
    <t>CL10C220JB8NNNC</t>
  </si>
  <si>
    <t>VT_CAP_C0603 22pF</t>
  </si>
  <si>
    <t>C18, C19, C21, C22, C38, C48, C49</t>
  </si>
  <si>
    <t>CAP CER 10UF 16V X5R 0603</t>
  </si>
  <si>
    <t>EMK107BBJ106MA-T</t>
  </si>
  <si>
    <t>VT_Tụ điện_C0603 10uf</t>
  </si>
  <si>
    <t>C23, C30, C34, C64</t>
  </si>
  <si>
    <t>CAP CER 1000PF 50V C0G/NP0 0603</t>
  </si>
  <si>
    <t>CL10C102JB8NNNC</t>
  </si>
  <si>
    <t>VT_TỤ ĐIỆN_C0603 1nF VT_CAP_C0603 1nF</t>
  </si>
  <si>
    <t>C40</t>
  </si>
  <si>
    <t>CAP CER 150PF 50V C0G/NP0 0603</t>
  </si>
  <si>
    <t>CL10C151JB8NNNC</t>
  </si>
  <si>
    <t>VT_CAP_C0603 150pF</t>
  </si>
  <si>
    <t>C41, C42, C45, C46</t>
  </si>
  <si>
    <t>CAP CER 220PF 50V C0G/NP0 0603</t>
  </si>
  <si>
    <t>CL10C221JB8NNNC</t>
  </si>
  <si>
    <t>VT_CAP_C0603 220pF</t>
  </si>
  <si>
    <t>C43, C44</t>
  </si>
  <si>
    <t>CAP CER 10PF 50V C0G/NP0 0603</t>
  </si>
  <si>
    <t>CL10C100JB8NNNC</t>
  </si>
  <si>
    <t>VT_TỤ ĐIỆN_C0603 10pF</t>
  </si>
  <si>
    <t>C63</t>
  </si>
  <si>
    <t>Connector</t>
  </si>
  <si>
    <t>CONN D-SUB PLUG 9POS PNL MNT</t>
  </si>
  <si>
    <t>772-E09-103R001</t>
  </si>
  <si>
    <t>VT_CONNECTOR_DB9 male, th</t>
  </si>
  <si>
    <t>COM1</t>
  </si>
  <si>
    <t>Diode</t>
  </si>
  <si>
    <t>DIODE SCHOTTKY 60V 2A SOD123W</t>
  </si>
  <si>
    <t>PMEG6020ER,115</t>
  </si>
  <si>
    <t>D1, D4, D8</t>
  </si>
  <si>
    <t>TVS DIODE 36V 58.1V DO214AB</t>
  </si>
  <si>
    <t>SMCJ36A-E3/9AT</t>
  </si>
  <si>
    <t>VT_DIODE_ SMCJ36A</t>
  </si>
  <si>
    <t>D2</t>
  </si>
  <si>
    <t>TVS DIODE 5VWM 9.2VC SMA</t>
  </si>
  <si>
    <t>SMAJ5.0A</t>
  </si>
  <si>
    <t>VT_DIODE_SMAJ5.0A</t>
  </si>
  <si>
    <t>D3</t>
  </si>
  <si>
    <t>DIODE GEN PURP 100V 300MA SOD123</t>
  </si>
  <si>
    <t>1N4148W-7-F</t>
  </si>
  <si>
    <t>VT_DIODE_1N4148W-7-F</t>
  </si>
  <si>
    <t>D5, D7, D9</t>
  </si>
  <si>
    <t>LED RED CLEAR 0603 SMD</t>
  </si>
  <si>
    <t>QTLP601CRTR</t>
  </si>
  <si>
    <t>VT_LED_0603 Red</t>
  </si>
  <si>
    <t>D10, D11, D12, D13</t>
  </si>
  <si>
    <t>Fuse</t>
  </si>
  <si>
    <t>PTC RESET FUSE 60V 750MA 2016</t>
  </si>
  <si>
    <t>2016L075/60MR</t>
  </si>
  <si>
    <t xml:space="preserve">VT_Fuse_60V_750MA_ Cầu chì tự phục hồi </t>
  </si>
  <si>
    <t>F1</t>
  </si>
  <si>
    <t>Micro-Fit 3.0™ Straight Header, 3.00mm Pitch, Dual Row, 4 Circuits</t>
  </si>
  <si>
    <t>M3045-2x2-B</t>
  </si>
  <si>
    <t>VT_Connector_2*2 (M3045)</t>
  </si>
  <si>
    <t>H1, H2</t>
  </si>
  <si>
    <t>Socket Nano Sim 7pin (6+1)</t>
  </si>
  <si>
    <t>MUP-C7801-2</t>
  </si>
  <si>
    <t xml:space="preserve">VT_MUP_C7801 Socket nano sim 7P( khay sim) </t>
  </si>
  <si>
    <t>J2</t>
  </si>
  <si>
    <t>Inductor</t>
  </si>
  <si>
    <t>FIXED IND 2.2UH 1.6A 76 MOHM SMD</t>
  </si>
  <si>
    <t>LQH32PN2R2NN0</t>
  </si>
  <si>
    <t>Shenzhen Sunlord Electronics Co., Ltd.</t>
  </si>
  <si>
    <t>VVT_IND_3225 2.2uH</t>
  </si>
  <si>
    <t>L1</t>
  </si>
  <si>
    <t>FIXED IND 10UH 2.5A 61.1MOHM SMD</t>
  </si>
  <si>
    <t>NR6045T100M</t>
  </si>
  <si>
    <t>VT_IND_10uH/1.9A</t>
  </si>
  <si>
    <t>L2</t>
  </si>
  <si>
    <t>Buzzer</t>
  </si>
  <si>
    <t>Buzzer 9*6mm (D*h)</t>
  </si>
  <si>
    <t>TMB09A03</t>
  </si>
  <si>
    <t>VT_Buzzer 3V 9mm</t>
  </si>
  <si>
    <t>LS1</t>
  </si>
  <si>
    <t>IC</t>
  </si>
  <si>
    <t>L76 series, the smallest GNSS modules</t>
  </si>
  <si>
    <t>L76-LB</t>
  </si>
  <si>
    <t>VT_Module_GPS L76</t>
  </si>
  <si>
    <t>M1</t>
  </si>
  <si>
    <t>Marking: SIM65M-C</t>
  </si>
  <si>
    <t>SIM800C is a complete Quad-band GSM/GPRS solution in a SMT type</t>
  </si>
  <si>
    <t>SIM800C</t>
  </si>
  <si>
    <t>VT_Module_GSM sim800C</t>
  </si>
  <si>
    <t>M2</t>
  </si>
  <si>
    <t>Marking: A7682S</t>
  </si>
  <si>
    <t>Transistor</t>
  </si>
  <si>
    <t>TRANS NPN 40V 0.2A SOT-23</t>
  </si>
  <si>
    <t>MMBT3904</t>
  </si>
  <si>
    <t>VT_TRANZITOR_MMBT3904</t>
  </si>
  <si>
    <t>Q1, Q4, Q6, Q7, Q8, Q9, Q10, Q11, Q12 Q13</t>
  </si>
  <si>
    <t>MOSFET P-CH 30V 3.6A SOT-23-3</t>
  </si>
  <si>
    <t>IRLML6402TRPBF</t>
  </si>
  <si>
    <t>VT_MOSFET_IRLML6402TRPBF</t>
  </si>
  <si>
    <t>Q2, Q3, Q5</t>
  </si>
  <si>
    <t>Resistor</t>
  </si>
  <si>
    <t>RES SMD 294K OHM 1% 1/10W 0603</t>
  </si>
  <si>
    <t>RC0603FR-07294KL</t>
  </si>
  <si>
    <t>R1, R3, R12, R14, R15</t>
  </si>
  <si>
    <t>RES SMD 42K2 OHM 1% 1/10W 0603</t>
  </si>
  <si>
    <t>RC0603FR-0742K2L</t>
  </si>
  <si>
    <t>R2, R56, R59, R76</t>
  </si>
  <si>
    <t>RES SMD 68K OHM 1% 1/10W 0603</t>
  </si>
  <si>
    <t>RC0603FR-0768KL</t>
  </si>
  <si>
    <t>VT_ĐIỆN TRỞ_R0603 68K</t>
  </si>
  <si>
    <t>R4</t>
  </si>
  <si>
    <t>RES SMD 100K OHM 1% 1/10W 0603</t>
  </si>
  <si>
    <t>RC0603FR-07100KL</t>
  </si>
  <si>
    <t>VT_ĐIỆN TRỞ_R0603 100K</t>
  </si>
  <si>
    <t>R5, R53, R61, R62</t>
  </si>
  <si>
    <t>RES SMD 210K OHM 1% 1/10W 0603</t>
  </si>
  <si>
    <t>RC0603FR-07210KL</t>
  </si>
  <si>
    <t>VT_RES_R0603 210K</t>
  </si>
  <si>
    <t>R6</t>
  </si>
  <si>
    <t>RES SMD 10K OHM 1% 1/10W 0603</t>
  </si>
  <si>
    <t>RC0603FR-0710KL</t>
  </si>
  <si>
    <t>VT_RES_R0603 10K</t>
  </si>
  <si>
    <t>R7, R8, R9, R10, R17, R23, R25, R27, R36, R37, R42, R43, R44, R47, R48, R49, R50, R54, R58, R60, R71, R73, R75</t>
  </si>
  <si>
    <t>RES SMD 0 OHM JUMPER 1/10W 0603</t>
  </si>
  <si>
    <t>RC0603FR-070RL</t>
  </si>
  <si>
    <t>VT_RES_R0603 0R</t>
  </si>
  <si>
    <t>R11, R26, R39, R40</t>
  </si>
  <si>
    <t>RES SMD 3.3K OHM 1% 1/10W 0603</t>
  </si>
  <si>
    <t>RC0603FR-073K3L</t>
  </si>
  <si>
    <t>VT_RES_R0603 3.3K</t>
  </si>
  <si>
    <t>R16, R34, R64, R65, R66, R67</t>
  </si>
  <si>
    <t>RES SMD 1K OHM 1% 1/10W 0603, RES SMD 100K OHM 1% 1/10W 0603</t>
  </si>
  <si>
    <t>RC0603FR-071KL</t>
  </si>
  <si>
    <t>VT_Điện trở_R0603 1K VT_RES_R0603 1K</t>
  </si>
  <si>
    <t>R13, R19, R20, R21, R24, R51, R55, R63, R68, R69, R70, R72, R74</t>
  </si>
  <si>
    <t>RES SMD 5.6K OHM 1% 1/10W 0603</t>
  </si>
  <si>
    <t>RC0603FR-075K6L</t>
  </si>
  <si>
    <t>VT_RES_R0603 5.6K</t>
  </si>
  <si>
    <t>R22, R29</t>
  </si>
  <si>
    <t>RES SMD 4.7K OHM 1% 1/10W 0603</t>
  </si>
  <si>
    <t>RC0603FR-074K7L</t>
  </si>
  <si>
    <t>VT_ĐIỆN TRỞ_R0603 4.7K</t>
  </si>
  <si>
    <t>R28, R45, R46, R52</t>
  </si>
  <si>
    <t>RES SMD 22 OHM 1% 1/10W 0603</t>
  </si>
  <si>
    <t>RC0603FR-0722RL</t>
  </si>
  <si>
    <t>VT_RES_R0603 22R</t>
  </si>
  <si>
    <t>R30, R31, R32</t>
  </si>
  <si>
    <t>RES SMD 330OHM 1% 1/10W 0603</t>
  </si>
  <si>
    <t>RC0603FR-07330RL</t>
  </si>
  <si>
    <t>VT_RES_R0603 330R</t>
  </si>
  <si>
    <t>R38, R41</t>
  </si>
  <si>
    <t>Buckregulator   with   4.3V   to   60V   input   range   and   3A   continuous  output  current</t>
  </si>
  <si>
    <t>SGM61630AXPS8G/TR</t>
  </si>
  <si>
    <t>U1</t>
  </si>
  <si>
    <t>IC REG LINEAR 3.3V 500MA SOT23-5</t>
  </si>
  <si>
    <t>SPX3819M5-L-3-3/TR</t>
  </si>
  <si>
    <t>VT_IC_SPX3819M5-L-3-3/TR</t>
  </si>
  <si>
    <t>U2</t>
  </si>
  <si>
    <t>LQFP-64(7x7) Microcontrollers (MCU/MPU/SOC) ROHS</t>
  </si>
  <si>
    <t>HOLTEK</t>
  </si>
  <si>
    <t>HT32F52367_LQFP64</t>
  </si>
  <si>
    <t>U3</t>
  </si>
  <si>
    <t>IC RFID RDR/TRN 13.56MZ 32VFQFPN</t>
  </si>
  <si>
    <t>CR95HF-VMD5T</t>
  </si>
  <si>
    <t>VT_IC_CR95HF</t>
  </si>
  <si>
    <t>U5</t>
  </si>
  <si>
    <t>IC FLASH 64MBIT CMOS SPI 8SOIC</t>
  </si>
  <si>
    <t>S25FL164K0XMFI013</t>
  </si>
  <si>
    <t>Winbond</t>
  </si>
  <si>
    <t>VT_IC_bộ nhớ 8M 02( nguồn 3.3V</t>
  </si>
  <si>
    <t>U6</t>
  </si>
  <si>
    <t>ACCELEROMETER 2-16G I2C 12LGA</t>
  </si>
  <si>
    <t>KXTJ3-1057</t>
  </si>
  <si>
    <t>VT_IC_KXTJ3_1057</t>
  </si>
  <si>
    <t>U7</t>
  </si>
  <si>
    <t>2/2 Transceiver Full RS232 16-SOIC</t>
  </si>
  <si>
    <t>MAX3232EIDR</t>
  </si>
  <si>
    <t>VT_IC_Max3232EIDR</t>
  </si>
  <si>
    <t>U8</t>
  </si>
  <si>
    <t>200ms Active Low 1.1V~5.5V 1 SOT-25-5 Supervisor and Reset ICs ROHS</t>
  </si>
  <si>
    <t>DIODES</t>
  </si>
  <si>
    <t>APX823-26W5G-7</t>
  </si>
  <si>
    <t>U4</t>
  </si>
  <si>
    <t>Crystal</t>
  </si>
  <si>
    <t>CRYSTAL 27.12MHz RoHS</t>
  </si>
  <si>
    <t>XRCGB27M120F3M00R0</t>
  </si>
  <si>
    <t>VT_CRYSTAL_SMD 27.12Mhz</t>
  </si>
  <si>
    <t>X1</t>
  </si>
  <si>
    <t>CRYSTAL 8.0MHZ 10PF SMD</t>
  </si>
  <si>
    <t>TZ3313B</t>
  </si>
  <si>
    <t>Y1</t>
  </si>
  <si>
    <t>CRYSTAL 32.7680KHZ 12.5PF SMD</t>
  </si>
  <si>
    <t>ABS07-32.768KHZ-T</t>
  </si>
  <si>
    <t>EPSON</t>
  </si>
  <si>
    <t xml:space="preserve">VT_CRYSTAL_SMD 32.768KHz </t>
  </si>
  <si>
    <t>Y2</t>
  </si>
  <si>
    <t>Vỏ hộp</t>
  </si>
  <si>
    <t>Dây</t>
  </si>
  <si>
    <t>Vnet</t>
  </si>
  <si>
    <t>VNET (LK kho)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</si>
</sst>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39">
    <xf numFmtId="0" fontId="0" fillId="0" borderId="0" xfId="0"/>
    <xf numFmtId="0" fontId="2" fillId="0" borderId="7" xfId="0" applyFont="1" applyBorder="1" applyAlignment="1">
      <alignment vertical="center" wrapText="1"/>
    </xf>
    <xf numFmtId="0" fontId="3" fillId="0" borderId="7" xfId="1" applyNumberFormat="1" applyFont="1" applyBorder="1" applyAlignment="1">
      <alignment horizontal="center" vertical="center" wrapText="1"/>
    </xf>
    <xf numFmtId="0" fontId="2" fillId="0" borderId="11" xfId="1" applyNumberFormat="1" applyFont="1" applyBorder="1" applyAlignment="1">
      <alignment horizontal="right" vertical="center" wrapText="1"/>
    </xf>
    <xf numFmtId="49" fontId="3" fillId="0" borderId="11" xfId="1" applyNumberFormat="1" applyFont="1" applyBorder="1" applyAlignment="1">
      <alignment horizontal="center" vertical="center" wrapText="1"/>
    </xf>
    <xf numFmtId="0" fontId="3" fillId="0" borderId="7" xfId="1" quotePrefix="1" applyNumberFormat="1" applyFont="1" applyBorder="1" applyAlignment="1">
      <alignment horizontal="center" vertical="center" wrapText="1"/>
    </xf>
    <xf numFmtId="0" fontId="2" fillId="0" borderId="7" xfId="1" applyNumberFormat="1" applyFont="1" applyBorder="1" applyAlignment="1">
      <alignment horizontal="right" vertical="center" wrapText="1"/>
    </xf>
    <xf numFmtId="49" fontId="3" fillId="0" borderId="7" xfId="1" quotePrefix="1" applyNumberFormat="1" applyFont="1" applyBorder="1" applyAlignment="1">
      <alignment horizontal="center" vertical="center" wrapText="1"/>
    </xf>
    <xf numFmtId="49" fontId="3" fillId="0" borderId="7" xfId="1" applyNumberFormat="1" applyFont="1" applyBorder="1" applyAlignment="1">
      <alignment horizontal="center" vertical="center" wrapText="1"/>
    </xf>
    <xf numFmtId="0" fontId="2" fillId="3" borderId="12" xfId="1" applyNumberFormat="1" applyFont="1" applyFill="1" applyBorder="1" applyAlignment="1">
      <alignment horizontal="center" vertical="center" wrapText="1"/>
    </xf>
    <xf numFmtId="49" fontId="2" fillId="3" borderId="12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3" borderId="12" xfId="1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2" fillId="0" borderId="4" xfId="1" applyNumberFormat="1" applyFont="1" applyBorder="1" applyAlignment="1">
      <alignment horizontal="center" vertical="center"/>
    </xf>
    <xf numFmtId="0" fontId="2" fillId="0" borderId="6" xfId="1" applyNumberFormat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1" applyNumberFormat="1" applyFont="1" applyBorder="1" applyAlignment="1">
      <alignment horizontal="center" vertical="center" wrapText="1"/>
    </xf>
    <xf numFmtId="0" fontId="2" fillId="0" borderId="2" xfId="1" applyNumberFormat="1" applyFont="1" applyBorder="1" applyAlignment="1">
      <alignment horizontal="center" vertical="center" wrapText="1"/>
    </xf>
    <xf numFmtId="0" fontId="2" fillId="0" borderId="8" xfId="1" applyNumberFormat="1" applyFont="1" applyBorder="1" applyAlignment="1">
      <alignment horizontal="center" vertical="center" wrapText="1"/>
    </xf>
    <xf numFmtId="0" fontId="2" fillId="0" borderId="9" xfId="1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 10 2 2" xfId="1" xr:uid="{00000000-0005-0000-0000-000001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18324</xdr:colOff>
      <xdr:row>0</xdr:row>
      <xdr:rowOff>22713</xdr:rowOff>
    </xdr:from>
    <xdr:to>
      <xdr:col>3</xdr:col>
      <xdr:colOff>220</xdr:colOff>
      <xdr:row>1</xdr:row>
      <xdr:rowOff>434702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24" y="22713"/>
          <a:ext cx="1778946" cy="8882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KP_project\Tracker_56\Circiut\2.PRJ\Project%20Outputs%20for%20TG102LE_4G_A7682_240822\BOM\BOM_Variant%20of%20Tracker_56_2025-08-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_Variant of Tracker_56_2025-"/>
    </sheetNames>
    <sheetDataSet>
      <sheetData sheetId="0">
        <row r="2">
          <cell r="H2" t="str">
            <v>JTDT1575-1602S</v>
          </cell>
          <cell r="I2" t="str">
            <v>A25-4102820-AMT23</v>
          </cell>
          <cell r="J2" t="str">
            <v>Jinchang &amp; Amotech</v>
          </cell>
        </row>
        <row r="3">
          <cell r="H3" t="str">
            <v>PCB</v>
          </cell>
          <cell r="J3" t="str">
            <v>VNET</v>
          </cell>
        </row>
        <row r="4">
          <cell r="H4" t="str">
            <v>CL10C104JB8NNNC</v>
          </cell>
          <cell r="J4" t="str">
            <v>SAMSUNG</v>
          </cell>
        </row>
        <row r="5">
          <cell r="H5" t="str">
            <v>HMK325BJ475KM-PE</v>
          </cell>
          <cell r="J5" t="str">
            <v>Taiyo Yuden</v>
          </cell>
        </row>
        <row r="6">
          <cell r="H6" t="str">
            <v>UWT1V100MCL1GB</v>
          </cell>
          <cell r="J6" t="str">
            <v>Nichicon</v>
          </cell>
        </row>
        <row r="7">
          <cell r="H7" t="str">
            <v>AC0603FRNPO9BN330</v>
          </cell>
          <cell r="J7" t="str">
            <v>Yageo</v>
          </cell>
        </row>
        <row r="8">
          <cell r="H8" t="str">
            <v>CL10C103JB8NNNC</v>
          </cell>
          <cell r="J8" t="str">
            <v>SAMSUNG</v>
          </cell>
        </row>
        <row r="9">
          <cell r="H9" t="str">
            <v>CL10A225KQ8NNNC</v>
          </cell>
          <cell r="J9" t="str">
            <v>SAMSUNG</v>
          </cell>
        </row>
        <row r="10">
          <cell r="H10" t="str">
            <v>CL10C220JB8NNNC</v>
          </cell>
          <cell r="J10" t="str">
            <v>SAMSUNG</v>
          </cell>
        </row>
        <row r="11">
          <cell r="H11" t="str">
            <v>EMK107BBJ106MA-T</v>
          </cell>
          <cell r="J11" t="str">
            <v>Yageo</v>
          </cell>
        </row>
        <row r="12">
          <cell r="H12" t="str">
            <v>NM</v>
          </cell>
          <cell r="J12" t="str">
            <v>Yageo</v>
          </cell>
        </row>
        <row r="13">
          <cell r="H13" t="str">
            <v>CL10C102JB8NNNC</v>
          </cell>
          <cell r="J13" t="str">
            <v>SAMSUNG</v>
          </cell>
        </row>
        <row r="14">
          <cell r="H14" t="str">
            <v>CL10C151JB8NNNC</v>
          </cell>
          <cell r="J14" t="str">
            <v>SAMSUNG</v>
          </cell>
        </row>
        <row r="15">
          <cell r="H15" t="str">
            <v>CL10C221JB8NNNC</v>
          </cell>
          <cell r="J15" t="str">
            <v>SAMSUNG</v>
          </cell>
        </row>
        <row r="16">
          <cell r="H16" t="str">
            <v>CL10C104JB8NNNC</v>
          </cell>
          <cell r="J16" t="str">
            <v>SAMSUNG</v>
          </cell>
        </row>
        <row r="17">
          <cell r="H17" t="str">
            <v>AC0603FRNPO9BN330</v>
          </cell>
          <cell r="J17" t="str">
            <v>Yageo</v>
          </cell>
        </row>
        <row r="18">
          <cell r="H18" t="str">
            <v>CL10C100JB8NNNC</v>
          </cell>
          <cell r="J18" t="str">
            <v>SAMSUNG</v>
          </cell>
        </row>
        <row r="19">
          <cell r="H19" t="str">
            <v>EMK107BBJ106MA-T</v>
          </cell>
          <cell r="J19" t="str">
            <v>Yageo</v>
          </cell>
        </row>
        <row r="20">
          <cell r="H20" t="str">
            <v>772-E09-103R001</v>
          </cell>
          <cell r="J20" t="str">
            <v>Norcomp Inc.</v>
          </cell>
        </row>
        <row r="21">
          <cell r="H21" t="str">
            <v>PMEG6020ER,115</v>
          </cell>
          <cell r="J21" t="str">
            <v>NXP</v>
          </cell>
        </row>
        <row r="22">
          <cell r="H22" t="str">
            <v>SMCJ36A-E3/9AT</v>
          </cell>
          <cell r="J22" t="str">
            <v>Vishay</v>
          </cell>
        </row>
        <row r="23">
          <cell r="H23" t="str">
            <v>SMAJ5.0A</v>
          </cell>
          <cell r="J23" t="str">
            <v>Littelfuse Inc.</v>
          </cell>
        </row>
        <row r="24">
          <cell r="H24" t="str">
            <v>1N4148W-7-F</v>
          </cell>
          <cell r="J24" t="str">
            <v>DIODES</v>
          </cell>
        </row>
        <row r="25">
          <cell r="H25" t="str">
            <v>QTLP601CRTR</v>
          </cell>
          <cell r="J25" t="str">
            <v>Everlight</v>
          </cell>
        </row>
        <row r="26">
          <cell r="H26" t="str">
            <v>2016L075/60MR</v>
          </cell>
          <cell r="J26" t="str">
            <v>Littelfuse Inc.</v>
          </cell>
        </row>
        <row r="27">
          <cell r="H27" t="str">
            <v>M3045-2x2-B</v>
          </cell>
          <cell r="I27" t="str">
            <v>43045-</v>
          </cell>
          <cell r="J27" t="str">
            <v>China</v>
          </cell>
        </row>
        <row r="29">
          <cell r="H29" t="str">
            <v>MUP-C7801-2</v>
          </cell>
          <cell r="J29" t="str">
            <v>MUP</v>
          </cell>
        </row>
        <row r="31">
          <cell r="H31" t="str">
            <v>LQH32PN2R2NN0</v>
          </cell>
          <cell r="I31" t="str">
            <v>SWPA3015S2R2NT</v>
          </cell>
          <cell r="J31" t="str">
            <v>Murata</v>
          </cell>
        </row>
        <row r="32">
          <cell r="H32" t="str">
            <v>NR6045T100M</v>
          </cell>
          <cell r="J32" t="str">
            <v>Taiyo Yuden</v>
          </cell>
        </row>
        <row r="33">
          <cell r="H33" t="str">
            <v>TMB09A03</v>
          </cell>
          <cell r="J33" t="str">
            <v>China</v>
          </cell>
        </row>
        <row r="34">
          <cell r="H34" t="str">
            <v>L76-LB</v>
          </cell>
          <cell r="J34" t="str">
            <v>Quectel</v>
          </cell>
        </row>
        <row r="35">
          <cell r="H35" t="str">
            <v>SIM800C</v>
          </cell>
          <cell r="J35" t="str">
            <v>SIMCOM</v>
          </cell>
        </row>
        <row r="36">
          <cell r="H36" t="str">
            <v>MMBT3904</v>
          </cell>
          <cell r="J36" t="str">
            <v>Fairchild</v>
          </cell>
        </row>
        <row r="37">
          <cell r="H37" t="str">
            <v>IRLML6402TRPBF</v>
          </cell>
          <cell r="J37" t="str">
            <v>Infineon Technologies</v>
          </cell>
        </row>
        <row r="38">
          <cell r="H38" t="str">
            <v>MMBT3904</v>
          </cell>
          <cell r="J38" t="str">
            <v>Fairchild</v>
          </cell>
        </row>
        <row r="39">
          <cell r="H39" t="str">
            <v>RC0603FR-07294KL</v>
          </cell>
          <cell r="J39" t="str">
            <v>Yageo</v>
          </cell>
        </row>
        <row r="40">
          <cell r="H40" t="str">
            <v>RC0603FR-0742K2L</v>
          </cell>
          <cell r="J40" t="str">
            <v>Yageo</v>
          </cell>
        </row>
        <row r="41">
          <cell r="H41" t="str">
            <v>RC0603FR-0768KL</v>
          </cell>
          <cell r="J41" t="str">
            <v>Yageo</v>
          </cell>
        </row>
        <row r="42">
          <cell r="H42" t="str">
            <v>RC0603FR-07100KL</v>
          </cell>
          <cell r="J42" t="str">
            <v>Yageo</v>
          </cell>
        </row>
        <row r="43">
          <cell r="H43" t="str">
            <v>RC0603FR-07210KL</v>
          </cell>
          <cell r="J43" t="str">
            <v>Yageo</v>
          </cell>
        </row>
        <row r="44">
          <cell r="H44" t="str">
            <v>RC0603FR-0710KL</v>
          </cell>
          <cell r="J44" t="str">
            <v>Yageo</v>
          </cell>
        </row>
        <row r="45">
          <cell r="H45" t="str">
            <v>RC0603FR-070RL</v>
          </cell>
          <cell r="J45" t="str">
            <v>Yageo</v>
          </cell>
        </row>
        <row r="46">
          <cell r="H46" t="str">
            <v>RC0603FR-073K3L</v>
          </cell>
          <cell r="J46" t="str">
            <v>Yageo</v>
          </cell>
        </row>
        <row r="47">
          <cell r="H47" t="str">
            <v>RC0603FR-071KL, RC0603FR-07100KL</v>
          </cell>
          <cell r="J47" t="str">
            <v>Yageo</v>
          </cell>
        </row>
        <row r="48">
          <cell r="H48" t="str">
            <v>RC0603FR-075K6L</v>
          </cell>
          <cell r="J48" t="str">
            <v>Yageo</v>
          </cell>
        </row>
        <row r="49">
          <cell r="H49" t="str">
            <v>RC0603FR-074K7L</v>
          </cell>
          <cell r="J49" t="str">
            <v>Yageo</v>
          </cell>
        </row>
        <row r="50">
          <cell r="H50" t="str">
            <v>RC0603FR-0722RL</v>
          </cell>
          <cell r="J50" t="str">
            <v>Yageo</v>
          </cell>
        </row>
        <row r="51">
          <cell r="H51" t="str">
            <v>RC0603FR-07330RL</v>
          </cell>
          <cell r="J51" t="str">
            <v>Yageo</v>
          </cell>
        </row>
        <row r="52">
          <cell r="H52" t="str">
            <v>RC0603FR-0710KL</v>
          </cell>
          <cell r="J52" t="str">
            <v>Yageo</v>
          </cell>
        </row>
        <row r="53">
          <cell r="H53" t="str">
            <v>RC0603FR-074K7L</v>
          </cell>
          <cell r="J53" t="str">
            <v>Yageo</v>
          </cell>
        </row>
        <row r="54">
          <cell r="H54" t="str">
            <v>RC0603FR-0742K2L</v>
          </cell>
          <cell r="J54" t="str">
            <v>Yageo</v>
          </cell>
        </row>
        <row r="55">
          <cell r="H55" t="str">
            <v>RC0603FR-0742K2L</v>
          </cell>
          <cell r="J55" t="str">
            <v>Yageo</v>
          </cell>
        </row>
        <row r="56">
          <cell r="H56" t="str">
            <v>SGM61630AXPS8G/TR</v>
          </cell>
          <cell r="J56" t="str">
            <v>SGMICRO</v>
          </cell>
        </row>
        <row r="57">
          <cell r="H57" t="str">
            <v>SPX3819M5-L-3-3/TR</v>
          </cell>
          <cell r="J57" t="str">
            <v>MaxLinear</v>
          </cell>
        </row>
        <row r="59">
          <cell r="H59" t="str">
            <v>CR95HF-VMD5T</v>
          </cell>
          <cell r="J59" t="str">
            <v>ST</v>
          </cell>
        </row>
        <row r="60">
          <cell r="H60" t="str">
            <v>S25FL164K0XMFI013</v>
          </cell>
          <cell r="I60" t="str">
            <v>W25Q64JVSSIQ TR</v>
          </cell>
          <cell r="J60" t="str">
            <v>Cypress</v>
          </cell>
        </row>
        <row r="61">
          <cell r="H61" t="str">
            <v>KXTJ3-1057</v>
          </cell>
          <cell r="J61" t="str">
            <v>Kionix Inc.</v>
          </cell>
        </row>
        <row r="62">
          <cell r="H62" t="str">
            <v>MAX3232EIDR</v>
          </cell>
          <cell r="J62" t="str">
            <v>TI</v>
          </cell>
        </row>
        <row r="63">
          <cell r="H63" t="str">
            <v>XRCGB27M120F3M00R0</v>
          </cell>
          <cell r="J63" t="str">
            <v>Murata</v>
          </cell>
        </row>
        <row r="64">
          <cell r="H64" t="str">
            <v>TZ3313B</v>
          </cell>
          <cell r="J64" t="str">
            <v>Taisaw</v>
          </cell>
        </row>
        <row r="65">
          <cell r="H65" t="str">
            <v>ABS07-32.768KHZ-T</v>
          </cell>
          <cell r="I65" t="str">
            <v>FC-135 32.7680KA-A5</v>
          </cell>
          <cell r="J65" t="str">
            <v>Abracon LLC</v>
          </cell>
        </row>
        <row r="66">
          <cell r="H66" t="str">
            <v>SIM-E-MFF2-GL-250</v>
          </cell>
          <cell r="J66" t="str">
            <v>HoloGram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60"/>
  <sheetViews>
    <sheetView tabSelected="1" showWhiteSpace="0" view="pageBreakPreview" topLeftCell="A49" zoomScaleNormal="82" zoomScaleSheetLayoutView="100" workbookViewId="0">
      <selection activeCell="S52" sqref="S52"/>
    </sheetView>
  </sheetViews>
  <sheetFormatPr defaultColWidth="9.140625" defaultRowHeight="12.75" x14ac:dyDescent="0.25"/>
  <cols>
    <col min="1" max="1" width="5.28515625" style="16" customWidth="1"/>
    <col min="2" max="2" width="9.7109375" style="16" customWidth="1"/>
    <col min="3" max="3" width="10.7109375" style="11" customWidth="1"/>
    <col min="4" max="4" width="16.28515625" style="17" customWidth="1"/>
    <col min="5" max="5" width="12.140625" style="11" customWidth="1"/>
    <col min="6" max="6" width="14.85546875" style="11" customWidth="1"/>
    <col min="7" max="7" width="12.140625" style="11" customWidth="1"/>
    <col min="8" max="9" width="14.85546875" style="11" customWidth="1"/>
    <col min="10" max="10" width="14.28515625" style="17" customWidth="1"/>
    <col min="11" max="11" width="4.85546875" style="11" hidden="1" customWidth="1"/>
    <col min="12" max="13" width="4.85546875" style="11" customWidth="1"/>
    <col min="14" max="14" width="9.140625" style="11" bestFit="1" customWidth="1"/>
    <col min="15" max="15" width="9.140625" style="16"/>
    <col min="16" max="16" width="15.28515625" style="16" hidden="1" customWidth="1"/>
    <col min="17" max="16384" width="9.140625" style="16"/>
  </cols>
  <sheetData>
    <row r="1" spans="1:16" ht="37.5" customHeight="1" x14ac:dyDescent="0.25">
      <c r="A1" s="28"/>
      <c r="B1" s="29"/>
      <c r="C1" s="29"/>
      <c r="D1" s="32" t="str">
        <f>UPPER("Bill of Materials")</f>
        <v>BILL OF MATERIALS</v>
      </c>
      <c r="E1" s="33"/>
      <c r="F1" s="33"/>
      <c r="G1" s="33"/>
      <c r="H1" s="33"/>
      <c r="I1" s="33"/>
      <c r="J1" s="34"/>
      <c r="K1" s="35" t="s">
        <v>0</v>
      </c>
      <c r="L1" s="26"/>
      <c r="M1" s="27"/>
      <c r="N1" s="1"/>
    </row>
    <row r="2" spans="1:16" ht="37.5" customHeight="1" x14ac:dyDescent="0.25">
      <c r="A2" s="30"/>
      <c r="B2" s="31"/>
      <c r="C2" s="31"/>
      <c r="D2" s="36" t="s">
        <v>1</v>
      </c>
      <c r="E2" s="37"/>
      <c r="F2" s="37"/>
      <c r="G2" s="37"/>
      <c r="H2" s="37"/>
      <c r="I2" s="37"/>
      <c r="J2" s="38"/>
      <c r="K2" s="35" t="s">
        <v>2</v>
      </c>
      <c r="L2" s="26"/>
      <c r="M2" s="27"/>
      <c r="N2" s="1"/>
    </row>
    <row r="3" spans="1:16" ht="37.5" customHeight="1" x14ac:dyDescent="0.25">
      <c r="A3" s="23" t="s">
        <v>3</v>
      </c>
      <c r="B3" s="24"/>
      <c r="C3" s="2" t="s">
        <v>252</v>
      </c>
      <c r="D3" s="3" t="s">
        <v>4</v>
      </c>
      <c r="E3" s="2"/>
      <c r="F3" s="4"/>
      <c r="G3" s="3" t="s">
        <v>5</v>
      </c>
      <c r="H3" s="4"/>
      <c r="I3" s="4"/>
      <c r="J3" s="4"/>
      <c r="K3" s="35" t="s">
        <v>6</v>
      </c>
      <c r="L3" s="26"/>
      <c r="M3" s="26"/>
      <c r="N3" s="27"/>
    </row>
    <row r="4" spans="1:16" ht="37.5" customHeight="1" x14ac:dyDescent="0.25">
      <c r="A4" s="23" t="s">
        <v>7</v>
      </c>
      <c r="B4" s="24"/>
      <c r="C4" s="5" t="s">
        <v>1</v>
      </c>
      <c r="D4" s="6" t="s">
        <v>8</v>
      </c>
      <c r="E4" s="7" t="s">
        <v>9</v>
      </c>
      <c r="F4" s="8"/>
      <c r="G4" s="6" t="s">
        <v>10</v>
      </c>
      <c r="H4" s="8"/>
      <c r="I4" s="8"/>
      <c r="J4" s="8"/>
      <c r="K4" s="25" t="s">
        <v>11</v>
      </c>
      <c r="L4" s="26"/>
      <c r="M4" s="26"/>
      <c r="N4" s="27"/>
      <c r="O4" s="21"/>
    </row>
    <row r="5" spans="1:16" s="11" customFormat="1" ht="33" customHeight="1" x14ac:dyDescent="0.25">
      <c r="A5" s="9" t="s">
        <v>12</v>
      </c>
      <c r="B5" s="9" t="s">
        <v>13</v>
      </c>
      <c r="C5" s="20" t="s">
        <v>14</v>
      </c>
      <c r="D5" s="9" t="s">
        <v>15</v>
      </c>
      <c r="E5" s="9" t="s">
        <v>16</v>
      </c>
      <c r="F5" s="10" t="s">
        <v>17</v>
      </c>
      <c r="G5" s="9" t="s">
        <v>18</v>
      </c>
      <c r="H5" s="10" t="s">
        <v>19</v>
      </c>
      <c r="I5" s="10" t="s">
        <v>253</v>
      </c>
      <c r="J5" s="10" t="s">
        <v>20</v>
      </c>
      <c r="K5" s="9" t="s">
        <v>21</v>
      </c>
      <c r="L5" s="9" t="s">
        <v>21</v>
      </c>
      <c r="M5" s="9" t="s">
        <v>22</v>
      </c>
      <c r="N5" s="9" t="s">
        <v>23</v>
      </c>
      <c r="O5" s="22"/>
      <c r="P5" s="11" t="s">
        <v>24</v>
      </c>
    </row>
    <row r="6" spans="1:16" ht="25.5" x14ac:dyDescent="0.25">
      <c r="A6" s="12">
        <f t="shared" ref="A6:A60" si="0">ROW(A6)-ROW($A$5)</f>
        <v>1</v>
      </c>
      <c r="B6" s="12"/>
      <c r="C6" s="13" t="s">
        <v>25</v>
      </c>
      <c r="D6" s="13" t="s">
        <v>26</v>
      </c>
      <c r="E6" s="13" t="str">
        <f>VLOOKUP(F6,'[1]BOM_Variant of Tracker_56_2025-'!$H$2:$J$66,3,0)</f>
        <v>Jinchang &amp; Amotech</v>
      </c>
      <c r="F6" s="13" t="s">
        <v>27</v>
      </c>
      <c r="G6" s="13"/>
      <c r="H6" s="13" t="str">
        <f>VLOOKUP(F6,'[1]BOM_Variant of Tracker_56_2025-'!$H$2:$I$66,2,0)</f>
        <v>A25-4102820-AMT23</v>
      </c>
      <c r="I6" s="14" t="s">
        <v>28</v>
      </c>
      <c r="J6" s="13" t="s">
        <v>29</v>
      </c>
      <c r="K6" s="13">
        <v>1</v>
      </c>
      <c r="L6" s="13">
        <f>K6*10</f>
        <v>10</v>
      </c>
      <c r="M6" s="13" t="s">
        <v>30</v>
      </c>
      <c r="N6" s="13"/>
      <c r="O6" s="21"/>
      <c r="P6" s="16" t="s">
        <v>31</v>
      </c>
    </row>
    <row r="7" spans="1:16" ht="127.5" x14ac:dyDescent="0.25">
      <c r="A7" s="12">
        <f t="shared" si="0"/>
        <v>2</v>
      </c>
      <c r="B7" s="12"/>
      <c r="C7" s="13" t="s">
        <v>32</v>
      </c>
      <c r="D7" s="13" t="s">
        <v>33</v>
      </c>
      <c r="E7" s="13" t="str">
        <f>VLOOKUP(F7,'[1]BOM_Variant of Tracker_56_2025-'!$H$2:$J$66,3,0)</f>
        <v>SAMSUNG</v>
      </c>
      <c r="F7" s="13" t="s">
        <v>34</v>
      </c>
      <c r="G7" s="13"/>
      <c r="H7" s="13"/>
      <c r="I7" s="13" t="s">
        <v>35</v>
      </c>
      <c r="J7" s="13" t="s">
        <v>36</v>
      </c>
      <c r="K7" s="13">
        <v>31</v>
      </c>
      <c r="L7" s="13">
        <f t="shared" ref="L7:L58" si="1">K7*10</f>
        <v>310</v>
      </c>
      <c r="M7" s="13" t="s">
        <v>37</v>
      </c>
      <c r="N7" s="13"/>
      <c r="O7" s="21"/>
    </row>
    <row r="8" spans="1:16" ht="25.5" x14ac:dyDescent="0.25">
      <c r="A8" s="12">
        <f t="shared" si="0"/>
        <v>3</v>
      </c>
      <c r="B8" s="12"/>
      <c r="C8" s="13" t="s">
        <v>32</v>
      </c>
      <c r="D8" s="13" t="s">
        <v>38</v>
      </c>
      <c r="E8" s="13" t="str">
        <f>VLOOKUP(F8,'[1]BOM_Variant of Tracker_56_2025-'!$H$2:$J$66,3,0)</f>
        <v>Taiyo Yuden</v>
      </c>
      <c r="F8" s="13" t="s">
        <v>39</v>
      </c>
      <c r="G8" s="13"/>
      <c r="H8" s="13"/>
      <c r="I8" s="15"/>
      <c r="J8" s="13" t="s">
        <v>40</v>
      </c>
      <c r="K8" s="13">
        <v>2</v>
      </c>
      <c r="L8" s="13">
        <f t="shared" si="1"/>
        <v>20</v>
      </c>
      <c r="M8" s="13" t="s">
        <v>37</v>
      </c>
      <c r="N8" s="13"/>
    </row>
    <row r="9" spans="1:16" ht="63.75" x14ac:dyDescent="0.25">
      <c r="A9" s="12">
        <f t="shared" si="0"/>
        <v>4</v>
      </c>
      <c r="B9" s="12"/>
      <c r="C9" s="13" t="s">
        <v>32</v>
      </c>
      <c r="D9" s="13" t="s">
        <v>41</v>
      </c>
      <c r="E9" s="13" t="str">
        <f>VLOOKUP(F9,'[1]BOM_Variant of Tracker_56_2025-'!$H$2:$J$66,3,0)</f>
        <v>Nichicon</v>
      </c>
      <c r="F9" s="13" t="s">
        <v>42</v>
      </c>
      <c r="G9" s="13"/>
      <c r="H9" s="13"/>
      <c r="I9" s="13" t="s">
        <v>43</v>
      </c>
      <c r="J9" s="13" t="s">
        <v>44</v>
      </c>
      <c r="K9" s="13">
        <v>3</v>
      </c>
      <c r="L9" s="13">
        <f t="shared" si="1"/>
        <v>30</v>
      </c>
      <c r="M9" s="13" t="s">
        <v>37</v>
      </c>
      <c r="N9" s="13"/>
    </row>
    <row r="10" spans="1:16" ht="38.25" x14ac:dyDescent="0.25">
      <c r="A10" s="12">
        <f t="shared" si="0"/>
        <v>5</v>
      </c>
      <c r="B10" s="12"/>
      <c r="C10" s="13" t="s">
        <v>32</v>
      </c>
      <c r="D10" s="13" t="s">
        <v>45</v>
      </c>
      <c r="E10" s="13" t="str">
        <f>VLOOKUP(F10,'[1]BOM_Variant of Tracker_56_2025-'!$H$2:$J$66,3,0)</f>
        <v>Yageo</v>
      </c>
      <c r="F10" s="13" t="s">
        <v>46</v>
      </c>
      <c r="G10" s="13"/>
      <c r="H10" s="13"/>
      <c r="I10" s="13" t="s">
        <v>47</v>
      </c>
      <c r="J10" s="13" t="s">
        <v>48</v>
      </c>
      <c r="K10" s="13">
        <v>2</v>
      </c>
      <c r="L10" s="13">
        <f t="shared" si="1"/>
        <v>20</v>
      </c>
      <c r="M10" s="13" t="s">
        <v>37</v>
      </c>
      <c r="N10" s="13"/>
    </row>
    <row r="11" spans="1:16" ht="25.5" x14ac:dyDescent="0.25">
      <c r="A11" s="12">
        <f t="shared" si="0"/>
        <v>6</v>
      </c>
      <c r="B11" s="12"/>
      <c r="C11" s="13" t="s">
        <v>32</v>
      </c>
      <c r="D11" s="13" t="s">
        <v>49</v>
      </c>
      <c r="E11" s="13" t="str">
        <f>VLOOKUP(F11,'[1]BOM_Variant of Tracker_56_2025-'!$H$2:$J$66,3,0)</f>
        <v>SAMSUNG</v>
      </c>
      <c r="F11" s="13" t="s">
        <v>50</v>
      </c>
      <c r="G11" s="13"/>
      <c r="H11" s="13"/>
      <c r="I11" s="13" t="s">
        <v>51</v>
      </c>
      <c r="J11" s="13" t="s">
        <v>52</v>
      </c>
      <c r="K11" s="13">
        <v>2</v>
      </c>
      <c r="L11" s="13">
        <f t="shared" si="1"/>
        <v>20</v>
      </c>
      <c r="M11" s="13" t="s">
        <v>37</v>
      </c>
      <c r="N11" s="13"/>
    </row>
    <row r="12" spans="1:16" ht="38.25" x14ac:dyDescent="0.25">
      <c r="A12" s="12">
        <f t="shared" si="0"/>
        <v>7</v>
      </c>
      <c r="B12" s="12"/>
      <c r="C12" s="13" t="s">
        <v>32</v>
      </c>
      <c r="D12" s="13" t="s">
        <v>53</v>
      </c>
      <c r="E12" s="13" t="str">
        <f>VLOOKUP(F12,'[1]BOM_Variant of Tracker_56_2025-'!$H$2:$J$66,3,0)</f>
        <v>SAMSUNG</v>
      </c>
      <c r="F12" s="13" t="s">
        <v>54</v>
      </c>
      <c r="G12" s="13"/>
      <c r="H12" s="13"/>
      <c r="I12" s="13" t="s">
        <v>55</v>
      </c>
      <c r="J12" s="13" t="s">
        <v>56</v>
      </c>
      <c r="K12" s="13">
        <v>5</v>
      </c>
      <c r="L12" s="13">
        <f t="shared" si="1"/>
        <v>50</v>
      </c>
      <c r="M12" s="13" t="s">
        <v>37</v>
      </c>
      <c r="N12" s="13"/>
    </row>
    <row r="13" spans="1:16" ht="38.25" x14ac:dyDescent="0.25">
      <c r="A13" s="12">
        <f t="shared" si="0"/>
        <v>8</v>
      </c>
      <c r="B13" s="12"/>
      <c r="C13" s="13" t="s">
        <v>32</v>
      </c>
      <c r="D13" s="13" t="s">
        <v>57</v>
      </c>
      <c r="E13" s="13" t="str">
        <f>VLOOKUP(F13,'[1]BOM_Variant of Tracker_56_2025-'!$H$2:$J$66,3,0)</f>
        <v>SAMSUNG</v>
      </c>
      <c r="F13" s="13" t="s">
        <v>58</v>
      </c>
      <c r="G13" s="13"/>
      <c r="H13" s="13"/>
      <c r="I13" s="13" t="s">
        <v>59</v>
      </c>
      <c r="J13" s="13" t="s">
        <v>60</v>
      </c>
      <c r="K13" s="13">
        <v>7</v>
      </c>
      <c r="L13" s="13">
        <f t="shared" si="1"/>
        <v>70</v>
      </c>
      <c r="M13" s="13" t="s">
        <v>37</v>
      </c>
      <c r="N13" s="13"/>
    </row>
    <row r="14" spans="1:16" ht="25.5" x14ac:dyDescent="0.25">
      <c r="A14" s="12">
        <f t="shared" si="0"/>
        <v>9</v>
      </c>
      <c r="B14" s="12"/>
      <c r="C14" s="13" t="s">
        <v>32</v>
      </c>
      <c r="D14" s="13" t="s">
        <v>61</v>
      </c>
      <c r="E14" s="13" t="str">
        <f>VLOOKUP(F14,'[1]BOM_Variant of Tracker_56_2025-'!$H$2:$J$66,3,0)</f>
        <v>Yageo</v>
      </c>
      <c r="F14" s="13" t="s">
        <v>62</v>
      </c>
      <c r="G14" s="13"/>
      <c r="H14" s="13"/>
      <c r="I14" s="13" t="s">
        <v>63</v>
      </c>
      <c r="J14" s="13" t="s">
        <v>64</v>
      </c>
      <c r="K14" s="13">
        <v>4</v>
      </c>
      <c r="L14" s="13">
        <f t="shared" si="1"/>
        <v>40</v>
      </c>
      <c r="M14" s="13" t="s">
        <v>37</v>
      </c>
      <c r="N14" s="13"/>
    </row>
    <row r="15" spans="1:16" ht="51" x14ac:dyDescent="0.25">
      <c r="A15" s="12">
        <f t="shared" si="0"/>
        <v>10</v>
      </c>
      <c r="B15" s="12"/>
      <c r="C15" s="13" t="s">
        <v>32</v>
      </c>
      <c r="D15" s="13" t="s">
        <v>65</v>
      </c>
      <c r="E15" s="13" t="str">
        <f>VLOOKUP(F15,'[1]BOM_Variant of Tracker_56_2025-'!$H$2:$J$66,3,0)</f>
        <v>SAMSUNG</v>
      </c>
      <c r="F15" s="13" t="s">
        <v>66</v>
      </c>
      <c r="G15" s="13"/>
      <c r="H15" s="13"/>
      <c r="I15" s="13" t="s">
        <v>67</v>
      </c>
      <c r="J15" s="13" t="s">
        <v>68</v>
      </c>
      <c r="K15" s="13">
        <v>1</v>
      </c>
      <c r="L15" s="13">
        <f t="shared" si="1"/>
        <v>10</v>
      </c>
      <c r="M15" s="13" t="s">
        <v>37</v>
      </c>
      <c r="N15" s="13"/>
    </row>
    <row r="16" spans="1:16" ht="25.5" x14ac:dyDescent="0.25">
      <c r="A16" s="12">
        <f t="shared" si="0"/>
        <v>11</v>
      </c>
      <c r="B16" s="12"/>
      <c r="C16" s="13" t="s">
        <v>32</v>
      </c>
      <c r="D16" s="13" t="s">
        <v>69</v>
      </c>
      <c r="E16" s="13" t="str">
        <f>VLOOKUP(F16,'[1]BOM_Variant of Tracker_56_2025-'!$H$2:$J$66,3,0)</f>
        <v>SAMSUNG</v>
      </c>
      <c r="F16" s="13" t="s">
        <v>70</v>
      </c>
      <c r="G16" s="13"/>
      <c r="H16" s="13"/>
      <c r="I16" s="13" t="s">
        <v>71</v>
      </c>
      <c r="J16" s="13" t="s">
        <v>72</v>
      </c>
      <c r="K16" s="13">
        <v>4</v>
      </c>
      <c r="L16" s="13">
        <f t="shared" si="1"/>
        <v>40</v>
      </c>
      <c r="M16" s="13" t="s">
        <v>37</v>
      </c>
      <c r="N16" s="13"/>
    </row>
    <row r="17" spans="1:14" ht="25.5" x14ac:dyDescent="0.25">
      <c r="A17" s="12">
        <f t="shared" si="0"/>
        <v>12</v>
      </c>
      <c r="B17" s="12"/>
      <c r="C17" s="13" t="s">
        <v>32</v>
      </c>
      <c r="D17" s="13" t="s">
        <v>73</v>
      </c>
      <c r="E17" s="13" t="str">
        <f>VLOOKUP(F17,'[1]BOM_Variant of Tracker_56_2025-'!$H$2:$J$66,3,0)</f>
        <v>SAMSUNG</v>
      </c>
      <c r="F17" s="13" t="s">
        <v>74</v>
      </c>
      <c r="G17" s="13"/>
      <c r="H17" s="13"/>
      <c r="I17" s="13" t="s">
        <v>75</v>
      </c>
      <c r="J17" s="13" t="s">
        <v>76</v>
      </c>
      <c r="K17" s="13">
        <v>2</v>
      </c>
      <c r="L17" s="13">
        <f t="shared" si="1"/>
        <v>20</v>
      </c>
      <c r="M17" s="13" t="s">
        <v>37</v>
      </c>
      <c r="N17" s="13"/>
    </row>
    <row r="18" spans="1:14" ht="38.25" x14ac:dyDescent="0.25">
      <c r="A18" s="12">
        <f t="shared" si="0"/>
        <v>13</v>
      </c>
      <c r="B18" s="12"/>
      <c r="C18" s="13" t="s">
        <v>32</v>
      </c>
      <c r="D18" s="13" t="s">
        <v>77</v>
      </c>
      <c r="E18" s="13" t="str">
        <f>VLOOKUP(F18,'[1]BOM_Variant of Tracker_56_2025-'!$H$2:$J$66,3,0)</f>
        <v>SAMSUNG</v>
      </c>
      <c r="F18" s="13" t="s">
        <v>78</v>
      </c>
      <c r="G18" s="13"/>
      <c r="H18" s="13"/>
      <c r="I18" s="13" t="s">
        <v>79</v>
      </c>
      <c r="J18" s="13" t="s">
        <v>80</v>
      </c>
      <c r="K18" s="13">
        <v>1</v>
      </c>
      <c r="L18" s="13">
        <f t="shared" si="1"/>
        <v>10</v>
      </c>
      <c r="M18" s="13" t="s">
        <v>37</v>
      </c>
      <c r="N18" s="13"/>
    </row>
    <row r="19" spans="1:14" ht="38.25" x14ac:dyDescent="0.25">
      <c r="A19" s="12">
        <f t="shared" si="0"/>
        <v>14</v>
      </c>
      <c r="B19" s="12"/>
      <c r="C19" s="13" t="s">
        <v>81</v>
      </c>
      <c r="D19" s="13" t="s">
        <v>82</v>
      </c>
      <c r="E19" s="13" t="str">
        <f>VLOOKUP(F19,'[1]BOM_Variant of Tracker_56_2025-'!$H$2:$J$66,3,0)</f>
        <v>Norcomp Inc.</v>
      </c>
      <c r="F19" s="13" t="s">
        <v>83</v>
      </c>
      <c r="G19" s="13"/>
      <c r="H19" s="13"/>
      <c r="I19" s="14" t="s">
        <v>84</v>
      </c>
      <c r="J19" s="13" t="s">
        <v>85</v>
      </c>
      <c r="K19" s="13">
        <v>1</v>
      </c>
      <c r="L19" s="13">
        <f t="shared" si="1"/>
        <v>10</v>
      </c>
      <c r="M19" s="13" t="s">
        <v>37</v>
      </c>
      <c r="N19" s="13"/>
    </row>
    <row r="20" spans="1:14" ht="38.25" x14ac:dyDescent="0.25">
      <c r="A20" s="12">
        <f t="shared" si="0"/>
        <v>15</v>
      </c>
      <c r="B20" s="12"/>
      <c r="C20" s="13" t="s">
        <v>86</v>
      </c>
      <c r="D20" s="13" t="s">
        <v>87</v>
      </c>
      <c r="E20" s="13" t="str">
        <f>VLOOKUP(F20,'[1]BOM_Variant of Tracker_56_2025-'!$H$2:$J$66,3,0)</f>
        <v>NXP</v>
      </c>
      <c r="F20" s="13" t="s">
        <v>88</v>
      </c>
      <c r="G20" s="13"/>
      <c r="H20" s="13"/>
      <c r="I20" s="15"/>
      <c r="J20" s="13" t="s">
        <v>89</v>
      </c>
      <c r="K20" s="13">
        <v>3</v>
      </c>
      <c r="L20" s="13">
        <f t="shared" si="1"/>
        <v>30</v>
      </c>
      <c r="M20" s="13" t="s">
        <v>37</v>
      </c>
      <c r="N20" s="13"/>
    </row>
    <row r="21" spans="1:14" ht="25.5" x14ac:dyDescent="0.25">
      <c r="A21" s="12">
        <f t="shared" si="0"/>
        <v>16</v>
      </c>
      <c r="B21" s="12"/>
      <c r="C21" s="13" t="s">
        <v>86</v>
      </c>
      <c r="D21" s="13" t="s">
        <v>90</v>
      </c>
      <c r="E21" s="13" t="str">
        <f>VLOOKUP(F21,'[1]BOM_Variant of Tracker_56_2025-'!$H$2:$J$66,3,0)</f>
        <v>Vishay</v>
      </c>
      <c r="F21" s="13" t="s">
        <v>91</v>
      </c>
      <c r="G21" s="13"/>
      <c r="H21" s="13"/>
      <c r="I21" s="13" t="s">
        <v>92</v>
      </c>
      <c r="J21" s="13" t="s">
        <v>93</v>
      </c>
      <c r="K21" s="13">
        <v>1</v>
      </c>
      <c r="L21" s="13">
        <f t="shared" si="1"/>
        <v>10</v>
      </c>
      <c r="M21" s="13" t="s">
        <v>37</v>
      </c>
      <c r="N21" s="13"/>
    </row>
    <row r="22" spans="1:14" ht="25.5" x14ac:dyDescent="0.25">
      <c r="A22" s="12">
        <f t="shared" si="0"/>
        <v>17</v>
      </c>
      <c r="B22" s="12"/>
      <c r="C22" s="13" t="s">
        <v>86</v>
      </c>
      <c r="D22" s="13" t="s">
        <v>94</v>
      </c>
      <c r="E22" s="13" t="str">
        <f>VLOOKUP(F22,'[1]BOM_Variant of Tracker_56_2025-'!$H$2:$J$66,3,0)</f>
        <v>Littelfuse Inc.</v>
      </c>
      <c r="F22" s="13" t="s">
        <v>95</v>
      </c>
      <c r="G22" s="13"/>
      <c r="H22" s="13"/>
      <c r="I22" s="13" t="s">
        <v>96</v>
      </c>
      <c r="J22" s="13" t="s">
        <v>97</v>
      </c>
      <c r="K22" s="13">
        <v>1</v>
      </c>
      <c r="L22" s="13">
        <f t="shared" si="1"/>
        <v>10</v>
      </c>
      <c r="M22" s="13" t="s">
        <v>37</v>
      </c>
      <c r="N22" s="13"/>
    </row>
    <row r="23" spans="1:14" ht="38.25" x14ac:dyDescent="0.25">
      <c r="A23" s="12">
        <f t="shared" si="0"/>
        <v>18</v>
      </c>
      <c r="B23" s="12"/>
      <c r="C23" s="13" t="s">
        <v>86</v>
      </c>
      <c r="D23" s="13" t="s">
        <v>98</v>
      </c>
      <c r="E23" s="13" t="str">
        <f>VLOOKUP(F23,'[1]BOM_Variant of Tracker_56_2025-'!$H$2:$J$66,3,0)</f>
        <v>DIODES</v>
      </c>
      <c r="F23" s="13" t="s">
        <v>99</v>
      </c>
      <c r="G23" s="13"/>
      <c r="H23" s="13"/>
      <c r="I23" s="13" t="s">
        <v>100</v>
      </c>
      <c r="J23" s="13" t="s">
        <v>101</v>
      </c>
      <c r="K23" s="13">
        <v>3</v>
      </c>
      <c r="L23" s="13">
        <f t="shared" si="1"/>
        <v>30</v>
      </c>
      <c r="M23" s="13" t="s">
        <v>37</v>
      </c>
      <c r="N23" s="13"/>
    </row>
    <row r="24" spans="1:14" ht="25.5" x14ac:dyDescent="0.25">
      <c r="A24" s="12">
        <f t="shared" si="0"/>
        <v>19</v>
      </c>
      <c r="B24" s="12"/>
      <c r="C24" s="13" t="s">
        <v>86</v>
      </c>
      <c r="D24" s="13" t="s">
        <v>102</v>
      </c>
      <c r="E24" s="13" t="str">
        <f>VLOOKUP(F24,'[1]BOM_Variant of Tracker_56_2025-'!$H$2:$J$66,3,0)</f>
        <v>Everlight</v>
      </c>
      <c r="F24" s="13" t="s">
        <v>103</v>
      </c>
      <c r="G24" s="13"/>
      <c r="H24" s="13"/>
      <c r="I24" s="13" t="s">
        <v>104</v>
      </c>
      <c r="J24" s="13" t="s">
        <v>105</v>
      </c>
      <c r="K24" s="13">
        <v>4</v>
      </c>
      <c r="L24" s="13">
        <f t="shared" si="1"/>
        <v>40</v>
      </c>
      <c r="M24" s="13" t="s">
        <v>37</v>
      </c>
      <c r="N24" s="13"/>
    </row>
    <row r="25" spans="1:14" ht="38.25" x14ac:dyDescent="0.25">
      <c r="A25" s="12">
        <f t="shared" si="0"/>
        <v>20</v>
      </c>
      <c r="B25" s="12"/>
      <c r="C25" s="13" t="s">
        <v>106</v>
      </c>
      <c r="D25" s="13" t="s">
        <v>107</v>
      </c>
      <c r="E25" s="13" t="str">
        <f>VLOOKUP(F25,'[1]BOM_Variant of Tracker_56_2025-'!$H$2:$J$66,3,0)</f>
        <v>Littelfuse Inc.</v>
      </c>
      <c r="F25" s="13" t="s">
        <v>108</v>
      </c>
      <c r="G25" s="13"/>
      <c r="H25" s="13"/>
      <c r="I25" s="13" t="s">
        <v>109</v>
      </c>
      <c r="J25" s="13" t="s">
        <v>110</v>
      </c>
      <c r="K25" s="13">
        <v>1</v>
      </c>
      <c r="L25" s="13">
        <f t="shared" si="1"/>
        <v>10</v>
      </c>
      <c r="M25" s="13" t="s">
        <v>37</v>
      </c>
      <c r="N25" s="13"/>
    </row>
    <row r="26" spans="1:14" ht="51" x14ac:dyDescent="0.25">
      <c r="A26" s="12">
        <f t="shared" si="0"/>
        <v>21</v>
      </c>
      <c r="B26" s="12"/>
      <c r="C26" s="13" t="s">
        <v>81</v>
      </c>
      <c r="D26" s="13" t="s">
        <v>111</v>
      </c>
      <c r="E26" s="13" t="str">
        <f>VLOOKUP(F26,'[1]BOM_Variant of Tracker_56_2025-'!$H$2:$J$66,3,0)</f>
        <v>China</v>
      </c>
      <c r="F26" s="13" t="s">
        <v>112</v>
      </c>
      <c r="G26" s="13"/>
      <c r="H26" s="13" t="str">
        <f>VLOOKUP(F26,'[1]BOM_Variant of Tracker_56_2025-'!$H$2:$I$66,2,0)</f>
        <v>43045-</v>
      </c>
      <c r="I26" s="14" t="s">
        <v>113</v>
      </c>
      <c r="J26" s="13" t="s">
        <v>114</v>
      </c>
      <c r="K26" s="13">
        <v>2</v>
      </c>
      <c r="L26" s="13">
        <f t="shared" si="1"/>
        <v>20</v>
      </c>
      <c r="M26" s="13" t="s">
        <v>37</v>
      </c>
      <c r="N26" s="13"/>
    </row>
    <row r="27" spans="1:14" ht="38.25" x14ac:dyDescent="0.25">
      <c r="A27" s="12">
        <f t="shared" si="0"/>
        <v>22</v>
      </c>
      <c r="B27" s="12"/>
      <c r="C27" s="13" t="s">
        <v>81</v>
      </c>
      <c r="D27" s="13" t="s">
        <v>115</v>
      </c>
      <c r="E27" s="13" t="str">
        <f>VLOOKUP(F27,'[1]BOM_Variant of Tracker_56_2025-'!$H$2:$J$66,3,0)</f>
        <v>MUP</v>
      </c>
      <c r="F27" s="13" t="s">
        <v>116</v>
      </c>
      <c r="G27" s="13"/>
      <c r="H27" s="13"/>
      <c r="I27" s="13" t="s">
        <v>117</v>
      </c>
      <c r="J27" s="13" t="s">
        <v>118</v>
      </c>
      <c r="K27" s="13">
        <v>1</v>
      </c>
      <c r="L27" s="13">
        <f t="shared" si="1"/>
        <v>10</v>
      </c>
      <c r="M27" s="13" t="s">
        <v>30</v>
      </c>
      <c r="N27" s="13"/>
    </row>
    <row r="28" spans="1:14" ht="51" x14ac:dyDescent="0.25">
      <c r="A28" s="12">
        <f t="shared" si="0"/>
        <v>23</v>
      </c>
      <c r="B28" s="12"/>
      <c r="C28" s="13" t="s">
        <v>119</v>
      </c>
      <c r="D28" s="13" t="s">
        <v>120</v>
      </c>
      <c r="E28" s="13" t="str">
        <f>VLOOKUP(F28,'[1]BOM_Variant of Tracker_56_2025-'!$H$2:$J$66,3,0)</f>
        <v>Murata</v>
      </c>
      <c r="F28" s="13" t="s">
        <v>121</v>
      </c>
      <c r="G28" s="13" t="s">
        <v>122</v>
      </c>
      <c r="H28" s="13" t="str">
        <f>VLOOKUP(F28,'[1]BOM_Variant of Tracker_56_2025-'!$H$2:$I$66,2,0)</f>
        <v>SWPA3015S2R2NT</v>
      </c>
      <c r="I28" s="13" t="s">
        <v>123</v>
      </c>
      <c r="J28" s="13" t="s">
        <v>124</v>
      </c>
      <c r="K28" s="13">
        <v>1</v>
      </c>
      <c r="L28" s="13">
        <f t="shared" si="1"/>
        <v>10</v>
      </c>
      <c r="M28" s="13" t="s">
        <v>37</v>
      </c>
      <c r="N28" s="13"/>
    </row>
    <row r="29" spans="1:14" ht="38.25" x14ac:dyDescent="0.25">
      <c r="A29" s="12">
        <f t="shared" si="0"/>
        <v>24</v>
      </c>
      <c r="B29" s="12"/>
      <c r="C29" s="13" t="s">
        <v>119</v>
      </c>
      <c r="D29" s="13" t="s">
        <v>125</v>
      </c>
      <c r="E29" s="13" t="str">
        <f>VLOOKUP(F29,'[1]BOM_Variant of Tracker_56_2025-'!$H$2:$J$66,3,0)</f>
        <v>Taiyo Yuden</v>
      </c>
      <c r="F29" s="13" t="s">
        <v>126</v>
      </c>
      <c r="G29" s="13"/>
      <c r="H29" s="13"/>
      <c r="I29" s="13" t="s">
        <v>127</v>
      </c>
      <c r="J29" s="13" t="s">
        <v>128</v>
      </c>
      <c r="K29" s="13">
        <v>1</v>
      </c>
      <c r="L29" s="13">
        <f t="shared" si="1"/>
        <v>10</v>
      </c>
      <c r="M29" s="13" t="s">
        <v>37</v>
      </c>
      <c r="N29" s="13"/>
    </row>
    <row r="30" spans="1:14" ht="25.5" x14ac:dyDescent="0.25">
      <c r="A30" s="12">
        <f t="shared" si="0"/>
        <v>25</v>
      </c>
      <c r="B30" s="12"/>
      <c r="C30" s="13" t="s">
        <v>129</v>
      </c>
      <c r="D30" s="13" t="s">
        <v>130</v>
      </c>
      <c r="E30" s="13" t="str">
        <f>VLOOKUP(F30,'[1]BOM_Variant of Tracker_56_2025-'!$H$2:$J$66,3,0)</f>
        <v>China</v>
      </c>
      <c r="F30" s="13" t="s">
        <v>131</v>
      </c>
      <c r="G30" s="13"/>
      <c r="H30" s="13"/>
      <c r="I30" s="13" t="s">
        <v>132</v>
      </c>
      <c r="J30" s="13" t="s">
        <v>133</v>
      </c>
      <c r="K30" s="13">
        <v>1</v>
      </c>
      <c r="L30" s="13">
        <f t="shared" si="1"/>
        <v>10</v>
      </c>
      <c r="M30" s="13" t="s">
        <v>30</v>
      </c>
      <c r="N30" s="13"/>
    </row>
    <row r="31" spans="1:14" ht="38.25" x14ac:dyDescent="0.25">
      <c r="A31" s="12">
        <f t="shared" si="0"/>
        <v>26</v>
      </c>
      <c r="B31" s="12"/>
      <c r="C31" s="13" t="s">
        <v>134</v>
      </c>
      <c r="D31" s="13" t="s">
        <v>135</v>
      </c>
      <c r="E31" s="13" t="str">
        <f>VLOOKUP(F31,'[1]BOM_Variant of Tracker_56_2025-'!$H$2:$J$66,3,0)</f>
        <v>Quectel</v>
      </c>
      <c r="F31" s="13" t="s">
        <v>136</v>
      </c>
      <c r="G31" s="13"/>
      <c r="H31" s="13"/>
      <c r="I31" s="14" t="s">
        <v>137</v>
      </c>
      <c r="J31" s="13" t="s">
        <v>138</v>
      </c>
      <c r="K31" s="13">
        <v>1</v>
      </c>
      <c r="L31" s="13">
        <f t="shared" si="1"/>
        <v>10</v>
      </c>
      <c r="M31" s="13" t="s">
        <v>37</v>
      </c>
      <c r="N31" s="13" t="s">
        <v>139</v>
      </c>
    </row>
    <row r="32" spans="1:14" ht="63.75" x14ac:dyDescent="0.25">
      <c r="A32" s="12">
        <f t="shared" si="0"/>
        <v>27</v>
      </c>
      <c r="B32" s="12"/>
      <c r="C32" s="13" t="s">
        <v>134</v>
      </c>
      <c r="D32" s="13" t="s">
        <v>140</v>
      </c>
      <c r="E32" s="13" t="str">
        <f>VLOOKUP(F32,'[1]BOM_Variant of Tracker_56_2025-'!$H$2:$J$66,3,0)</f>
        <v>SIMCOM</v>
      </c>
      <c r="F32" s="13" t="s">
        <v>141</v>
      </c>
      <c r="G32" s="13"/>
      <c r="H32" s="13"/>
      <c r="I32" s="14" t="s">
        <v>142</v>
      </c>
      <c r="J32" s="13" t="s">
        <v>143</v>
      </c>
      <c r="K32" s="13">
        <v>1</v>
      </c>
      <c r="L32" s="13">
        <f t="shared" si="1"/>
        <v>10</v>
      </c>
      <c r="M32" s="13" t="s">
        <v>37</v>
      </c>
      <c r="N32" s="13" t="s">
        <v>144</v>
      </c>
    </row>
    <row r="33" spans="1:14" ht="38.25" x14ac:dyDescent="0.25">
      <c r="A33" s="12">
        <f t="shared" si="0"/>
        <v>28</v>
      </c>
      <c r="B33" s="12"/>
      <c r="C33" s="13" t="s">
        <v>145</v>
      </c>
      <c r="D33" s="13" t="s">
        <v>146</v>
      </c>
      <c r="E33" s="13" t="str">
        <f>VLOOKUP(F33,'[1]BOM_Variant of Tracker_56_2025-'!$H$2:$J$66,3,0)</f>
        <v>Fairchild</v>
      </c>
      <c r="F33" s="13" t="s">
        <v>147</v>
      </c>
      <c r="G33" s="13"/>
      <c r="H33" s="13"/>
      <c r="I33" s="13" t="s">
        <v>148</v>
      </c>
      <c r="J33" s="13" t="s">
        <v>149</v>
      </c>
      <c r="K33" s="13">
        <v>10</v>
      </c>
      <c r="L33" s="13">
        <f t="shared" si="1"/>
        <v>100</v>
      </c>
      <c r="M33" s="13" t="s">
        <v>37</v>
      </c>
      <c r="N33" s="13"/>
    </row>
    <row r="34" spans="1:14" ht="25.5" x14ac:dyDescent="0.25">
      <c r="A34" s="12">
        <f t="shared" si="0"/>
        <v>29</v>
      </c>
      <c r="B34" s="12"/>
      <c r="C34" s="13" t="s">
        <v>145</v>
      </c>
      <c r="D34" s="13" t="s">
        <v>150</v>
      </c>
      <c r="E34" s="13" t="str">
        <f>VLOOKUP(F34,'[1]BOM_Variant of Tracker_56_2025-'!$H$2:$J$66,3,0)</f>
        <v>Infineon Technologies</v>
      </c>
      <c r="F34" s="13" t="s">
        <v>151</v>
      </c>
      <c r="G34" s="13"/>
      <c r="H34" s="13"/>
      <c r="I34" s="13" t="s">
        <v>152</v>
      </c>
      <c r="J34" s="13" t="s">
        <v>153</v>
      </c>
      <c r="K34" s="13">
        <v>3</v>
      </c>
      <c r="L34" s="13">
        <f t="shared" si="1"/>
        <v>30</v>
      </c>
      <c r="M34" s="13" t="s">
        <v>37</v>
      </c>
      <c r="N34" s="13"/>
    </row>
    <row r="35" spans="1:14" ht="38.25" x14ac:dyDescent="0.25">
      <c r="A35" s="12">
        <f t="shared" si="0"/>
        <v>30</v>
      </c>
      <c r="B35" s="12"/>
      <c r="C35" s="13" t="s">
        <v>154</v>
      </c>
      <c r="D35" s="13" t="s">
        <v>155</v>
      </c>
      <c r="E35" s="13" t="str">
        <f>VLOOKUP(F35,'[1]BOM_Variant of Tracker_56_2025-'!$H$2:$J$66,3,0)</f>
        <v>Yageo</v>
      </c>
      <c r="F35" s="13" t="s">
        <v>156</v>
      </c>
      <c r="G35" s="13"/>
      <c r="H35" s="13"/>
      <c r="I35" s="15"/>
      <c r="J35" s="13" t="s">
        <v>157</v>
      </c>
      <c r="K35" s="13">
        <v>5</v>
      </c>
      <c r="L35" s="13">
        <f t="shared" si="1"/>
        <v>50</v>
      </c>
      <c r="M35" s="13" t="s">
        <v>37</v>
      </c>
      <c r="N35" s="13"/>
    </row>
    <row r="36" spans="1:14" ht="38.25" x14ac:dyDescent="0.25">
      <c r="A36" s="12">
        <f t="shared" si="0"/>
        <v>31</v>
      </c>
      <c r="B36" s="12"/>
      <c r="C36" s="13" t="s">
        <v>154</v>
      </c>
      <c r="D36" s="13" t="s">
        <v>158</v>
      </c>
      <c r="E36" s="13" t="str">
        <f>VLOOKUP(F36,'[1]BOM_Variant of Tracker_56_2025-'!$H$2:$J$66,3,0)</f>
        <v>Yageo</v>
      </c>
      <c r="F36" s="13" t="s">
        <v>159</v>
      </c>
      <c r="G36" s="13"/>
      <c r="H36" s="13"/>
      <c r="I36" s="15"/>
      <c r="J36" s="13" t="s">
        <v>160</v>
      </c>
      <c r="K36" s="13">
        <v>4</v>
      </c>
      <c r="L36" s="13">
        <f t="shared" si="1"/>
        <v>40</v>
      </c>
      <c r="M36" s="13" t="s">
        <v>37</v>
      </c>
      <c r="N36" s="13"/>
    </row>
    <row r="37" spans="1:14" ht="38.25" x14ac:dyDescent="0.25">
      <c r="A37" s="12">
        <f t="shared" si="0"/>
        <v>32</v>
      </c>
      <c r="B37" s="12"/>
      <c r="C37" s="13" t="s">
        <v>154</v>
      </c>
      <c r="D37" s="13" t="s">
        <v>161</v>
      </c>
      <c r="E37" s="13" t="str">
        <f>VLOOKUP(F37,'[1]BOM_Variant of Tracker_56_2025-'!$H$2:$J$66,3,0)</f>
        <v>Yageo</v>
      </c>
      <c r="F37" s="13" t="s">
        <v>162</v>
      </c>
      <c r="G37" s="13"/>
      <c r="H37" s="13"/>
      <c r="I37" s="13" t="s">
        <v>163</v>
      </c>
      <c r="J37" s="13" t="s">
        <v>164</v>
      </c>
      <c r="K37" s="13">
        <v>1</v>
      </c>
      <c r="L37" s="13">
        <f t="shared" si="1"/>
        <v>10</v>
      </c>
      <c r="M37" s="13" t="s">
        <v>37</v>
      </c>
      <c r="N37" s="13"/>
    </row>
    <row r="38" spans="1:14" ht="38.25" x14ac:dyDescent="0.25">
      <c r="A38" s="12">
        <f t="shared" si="0"/>
        <v>33</v>
      </c>
      <c r="B38" s="12"/>
      <c r="C38" s="13" t="s">
        <v>154</v>
      </c>
      <c r="D38" s="13" t="s">
        <v>165</v>
      </c>
      <c r="E38" s="13" t="str">
        <f>VLOOKUP(F38,'[1]BOM_Variant of Tracker_56_2025-'!$H$2:$J$66,3,0)</f>
        <v>Yageo</v>
      </c>
      <c r="F38" s="13" t="s">
        <v>166</v>
      </c>
      <c r="G38" s="13"/>
      <c r="H38" s="13"/>
      <c r="I38" s="13" t="s">
        <v>167</v>
      </c>
      <c r="J38" s="13" t="s">
        <v>168</v>
      </c>
      <c r="K38" s="13">
        <v>4</v>
      </c>
      <c r="L38" s="13">
        <f t="shared" si="1"/>
        <v>40</v>
      </c>
      <c r="M38" s="13" t="s">
        <v>37</v>
      </c>
      <c r="N38" s="13"/>
    </row>
    <row r="39" spans="1:14" ht="38.25" x14ac:dyDescent="0.25">
      <c r="A39" s="12">
        <f t="shared" si="0"/>
        <v>34</v>
      </c>
      <c r="B39" s="12"/>
      <c r="C39" s="13" t="s">
        <v>154</v>
      </c>
      <c r="D39" s="13" t="s">
        <v>169</v>
      </c>
      <c r="E39" s="13" t="str">
        <f>VLOOKUP(F39,'[1]BOM_Variant of Tracker_56_2025-'!$H$2:$J$66,3,0)</f>
        <v>Yageo</v>
      </c>
      <c r="F39" s="13" t="s">
        <v>170</v>
      </c>
      <c r="G39" s="13"/>
      <c r="H39" s="13"/>
      <c r="I39" s="13" t="s">
        <v>171</v>
      </c>
      <c r="J39" s="13" t="s">
        <v>172</v>
      </c>
      <c r="K39" s="13">
        <v>1</v>
      </c>
      <c r="L39" s="13">
        <f t="shared" si="1"/>
        <v>10</v>
      </c>
      <c r="M39" s="13" t="s">
        <v>37</v>
      </c>
      <c r="N39" s="13"/>
    </row>
    <row r="40" spans="1:14" ht="102" x14ac:dyDescent="0.25">
      <c r="A40" s="12">
        <f t="shared" si="0"/>
        <v>35</v>
      </c>
      <c r="B40" s="12"/>
      <c r="C40" s="13" t="s">
        <v>154</v>
      </c>
      <c r="D40" s="13" t="s">
        <v>173</v>
      </c>
      <c r="E40" s="13" t="str">
        <f>VLOOKUP(F40,'[1]BOM_Variant of Tracker_56_2025-'!$H$2:$J$66,3,0)</f>
        <v>Yageo</v>
      </c>
      <c r="F40" s="13" t="s">
        <v>174</v>
      </c>
      <c r="G40" s="13"/>
      <c r="H40" s="13"/>
      <c r="I40" s="13" t="s">
        <v>175</v>
      </c>
      <c r="J40" s="13" t="s">
        <v>176</v>
      </c>
      <c r="K40" s="13">
        <v>23</v>
      </c>
      <c r="L40" s="13">
        <f t="shared" si="1"/>
        <v>230</v>
      </c>
      <c r="M40" s="13" t="s">
        <v>37</v>
      </c>
      <c r="N40" s="13"/>
    </row>
    <row r="41" spans="1:14" ht="38.25" x14ac:dyDescent="0.25">
      <c r="A41" s="12">
        <f t="shared" si="0"/>
        <v>36</v>
      </c>
      <c r="B41" s="12"/>
      <c r="C41" s="13" t="s">
        <v>154</v>
      </c>
      <c r="D41" s="13" t="s">
        <v>177</v>
      </c>
      <c r="E41" s="13" t="str">
        <f>VLOOKUP(F41,'[1]BOM_Variant of Tracker_56_2025-'!$H$2:$J$66,3,0)</f>
        <v>Yageo</v>
      </c>
      <c r="F41" s="13" t="s">
        <v>178</v>
      </c>
      <c r="G41" s="13"/>
      <c r="H41" s="13"/>
      <c r="I41" s="13" t="s">
        <v>179</v>
      </c>
      <c r="J41" s="13" t="s">
        <v>180</v>
      </c>
      <c r="K41" s="13">
        <v>4</v>
      </c>
      <c r="L41" s="13">
        <f t="shared" si="1"/>
        <v>40</v>
      </c>
      <c r="M41" s="13" t="s">
        <v>37</v>
      </c>
      <c r="N41" s="13"/>
    </row>
    <row r="42" spans="1:14" ht="38.25" x14ac:dyDescent="0.25">
      <c r="A42" s="12">
        <f t="shared" si="0"/>
        <v>37</v>
      </c>
      <c r="B42" s="12"/>
      <c r="C42" s="13" t="s">
        <v>154</v>
      </c>
      <c r="D42" s="13" t="s">
        <v>181</v>
      </c>
      <c r="E42" s="13" t="str">
        <f>VLOOKUP(F42,'[1]BOM_Variant of Tracker_56_2025-'!$H$2:$J$66,3,0)</f>
        <v>Yageo</v>
      </c>
      <c r="F42" s="13" t="s">
        <v>182</v>
      </c>
      <c r="G42" s="13"/>
      <c r="H42" s="13"/>
      <c r="I42" s="13" t="s">
        <v>183</v>
      </c>
      <c r="J42" s="13" t="s">
        <v>184</v>
      </c>
      <c r="K42" s="13">
        <v>6</v>
      </c>
      <c r="L42" s="13">
        <f t="shared" si="1"/>
        <v>60</v>
      </c>
      <c r="M42" s="13" t="s">
        <v>37</v>
      </c>
      <c r="N42" s="13"/>
    </row>
    <row r="43" spans="1:14" ht="63.75" x14ac:dyDescent="0.25">
      <c r="A43" s="12">
        <f t="shared" si="0"/>
        <v>38</v>
      </c>
      <c r="B43" s="12"/>
      <c r="C43" s="13" t="s">
        <v>154</v>
      </c>
      <c r="D43" s="13" t="s">
        <v>185</v>
      </c>
      <c r="E43" s="13" t="e">
        <f>VLOOKUP(F43,'[1]BOM_Variant of Tracker_56_2025-'!$H$2:$J$66,3,0)</f>
        <v>#N/A</v>
      </c>
      <c r="F43" s="13" t="s">
        <v>186</v>
      </c>
      <c r="G43" s="13"/>
      <c r="H43" s="13"/>
      <c r="I43" s="13" t="s">
        <v>187</v>
      </c>
      <c r="J43" s="13" t="s">
        <v>188</v>
      </c>
      <c r="K43" s="13">
        <v>13</v>
      </c>
      <c r="L43" s="13">
        <f t="shared" si="1"/>
        <v>130</v>
      </c>
      <c r="M43" s="13" t="s">
        <v>37</v>
      </c>
      <c r="N43" s="13"/>
    </row>
    <row r="44" spans="1:14" ht="38.25" x14ac:dyDescent="0.25">
      <c r="A44" s="12">
        <f t="shared" si="0"/>
        <v>39</v>
      </c>
      <c r="B44" s="12"/>
      <c r="C44" s="13" t="s">
        <v>154</v>
      </c>
      <c r="D44" s="13" t="s">
        <v>189</v>
      </c>
      <c r="E44" s="13" t="str">
        <f>VLOOKUP(F44,'[1]BOM_Variant of Tracker_56_2025-'!$H$2:$J$66,3,0)</f>
        <v>Yageo</v>
      </c>
      <c r="F44" s="13" t="s">
        <v>190</v>
      </c>
      <c r="G44" s="13"/>
      <c r="H44" s="13"/>
      <c r="I44" s="13" t="s">
        <v>191</v>
      </c>
      <c r="J44" s="13" t="s">
        <v>192</v>
      </c>
      <c r="K44" s="13">
        <v>2</v>
      </c>
      <c r="L44" s="13">
        <f t="shared" si="1"/>
        <v>20</v>
      </c>
      <c r="M44" s="13" t="s">
        <v>37</v>
      </c>
      <c r="N44" s="13"/>
    </row>
    <row r="45" spans="1:14" ht="38.25" x14ac:dyDescent="0.25">
      <c r="A45" s="12">
        <f t="shared" si="0"/>
        <v>40</v>
      </c>
      <c r="B45" s="12"/>
      <c r="C45" s="13" t="s">
        <v>154</v>
      </c>
      <c r="D45" s="13" t="s">
        <v>193</v>
      </c>
      <c r="E45" s="13" t="str">
        <f>VLOOKUP(F45,'[1]BOM_Variant of Tracker_56_2025-'!$H$2:$J$66,3,0)</f>
        <v>Yageo</v>
      </c>
      <c r="F45" s="13" t="s">
        <v>194</v>
      </c>
      <c r="G45" s="13"/>
      <c r="H45" s="13"/>
      <c r="I45" s="13" t="s">
        <v>195</v>
      </c>
      <c r="J45" s="13" t="s">
        <v>196</v>
      </c>
      <c r="K45" s="13">
        <v>4</v>
      </c>
      <c r="L45" s="13">
        <f t="shared" si="1"/>
        <v>40</v>
      </c>
      <c r="M45" s="13" t="s">
        <v>37</v>
      </c>
      <c r="N45" s="13"/>
    </row>
    <row r="46" spans="1:14" ht="25.5" x14ac:dyDescent="0.25">
      <c r="A46" s="12">
        <f t="shared" si="0"/>
        <v>41</v>
      </c>
      <c r="B46" s="12"/>
      <c r="C46" s="13" t="s">
        <v>154</v>
      </c>
      <c r="D46" s="13" t="s">
        <v>197</v>
      </c>
      <c r="E46" s="13" t="str">
        <f>VLOOKUP(F46,'[1]BOM_Variant of Tracker_56_2025-'!$H$2:$J$66,3,0)</f>
        <v>Yageo</v>
      </c>
      <c r="F46" s="13" t="s">
        <v>198</v>
      </c>
      <c r="G46" s="13"/>
      <c r="H46" s="13"/>
      <c r="I46" s="13" t="s">
        <v>199</v>
      </c>
      <c r="J46" s="13" t="s">
        <v>200</v>
      </c>
      <c r="K46" s="13">
        <v>3</v>
      </c>
      <c r="L46" s="13">
        <f t="shared" si="1"/>
        <v>30</v>
      </c>
      <c r="M46" s="13" t="s">
        <v>37</v>
      </c>
      <c r="N46" s="13"/>
    </row>
    <row r="47" spans="1:14" ht="38.25" x14ac:dyDescent="0.25">
      <c r="A47" s="12">
        <f t="shared" si="0"/>
        <v>42</v>
      </c>
      <c r="B47" s="12"/>
      <c r="C47" s="13" t="s">
        <v>154</v>
      </c>
      <c r="D47" s="13" t="s">
        <v>201</v>
      </c>
      <c r="E47" s="13" t="str">
        <f>VLOOKUP(F47,'[1]BOM_Variant of Tracker_56_2025-'!$H$2:$J$66,3,0)</f>
        <v>Yageo</v>
      </c>
      <c r="F47" s="13" t="s">
        <v>202</v>
      </c>
      <c r="G47" s="13"/>
      <c r="H47" s="13"/>
      <c r="I47" s="13" t="s">
        <v>203</v>
      </c>
      <c r="J47" s="13" t="s">
        <v>204</v>
      </c>
      <c r="K47" s="13">
        <v>2</v>
      </c>
      <c r="L47" s="13">
        <f t="shared" si="1"/>
        <v>20</v>
      </c>
      <c r="M47" s="13" t="s">
        <v>37</v>
      </c>
      <c r="N47" s="13"/>
    </row>
    <row r="48" spans="1:14" ht="76.5" x14ac:dyDescent="0.25">
      <c r="A48" s="12">
        <f t="shared" si="0"/>
        <v>43</v>
      </c>
      <c r="B48" s="12"/>
      <c r="C48" s="13" t="s">
        <v>134</v>
      </c>
      <c r="D48" s="13" t="s">
        <v>205</v>
      </c>
      <c r="E48" s="13" t="str">
        <f>VLOOKUP(F48,'[1]BOM_Variant of Tracker_56_2025-'!$H$2:$J$66,3,0)</f>
        <v>SGMICRO</v>
      </c>
      <c r="F48" s="13" t="s">
        <v>206</v>
      </c>
      <c r="G48" s="13"/>
      <c r="H48" s="13"/>
      <c r="I48" s="15"/>
      <c r="J48" s="13" t="s">
        <v>207</v>
      </c>
      <c r="K48" s="13">
        <v>1</v>
      </c>
      <c r="L48" s="13">
        <f t="shared" si="1"/>
        <v>10</v>
      </c>
      <c r="M48" s="13" t="s">
        <v>37</v>
      </c>
      <c r="N48" s="13"/>
    </row>
    <row r="49" spans="1:14" ht="38.25" x14ac:dyDescent="0.25">
      <c r="A49" s="12">
        <f t="shared" si="0"/>
        <v>44</v>
      </c>
      <c r="B49" s="12"/>
      <c r="C49" s="13" t="s">
        <v>134</v>
      </c>
      <c r="D49" s="13" t="s">
        <v>208</v>
      </c>
      <c r="E49" s="13" t="str">
        <f>VLOOKUP(F49,'[1]BOM_Variant of Tracker_56_2025-'!$H$2:$J$66,3,0)</f>
        <v>MaxLinear</v>
      </c>
      <c r="F49" s="13" t="s">
        <v>209</v>
      </c>
      <c r="G49" s="13"/>
      <c r="H49" s="13"/>
      <c r="I49" s="13" t="s">
        <v>210</v>
      </c>
      <c r="J49" s="13" t="s">
        <v>211</v>
      </c>
      <c r="K49" s="13">
        <v>1</v>
      </c>
      <c r="L49" s="13">
        <f t="shared" si="1"/>
        <v>10</v>
      </c>
      <c r="M49" s="13" t="s">
        <v>37</v>
      </c>
      <c r="N49" s="13"/>
    </row>
    <row r="50" spans="1:14" ht="51" x14ac:dyDescent="0.25">
      <c r="A50" s="12">
        <f t="shared" si="0"/>
        <v>45</v>
      </c>
      <c r="B50" s="12"/>
      <c r="C50" s="13" t="s">
        <v>134</v>
      </c>
      <c r="D50" s="13" t="s">
        <v>212</v>
      </c>
      <c r="E50" s="13" t="s">
        <v>213</v>
      </c>
      <c r="F50" s="13" t="s">
        <v>214</v>
      </c>
      <c r="G50" s="13"/>
      <c r="H50" s="13"/>
      <c r="I50" s="15"/>
      <c r="J50" s="13" t="s">
        <v>215</v>
      </c>
      <c r="K50" s="13">
        <v>1</v>
      </c>
      <c r="L50" s="13">
        <f t="shared" si="1"/>
        <v>10</v>
      </c>
      <c r="M50" s="13" t="s">
        <v>37</v>
      </c>
      <c r="N50" s="13"/>
    </row>
    <row r="51" spans="1:14" ht="38.25" x14ac:dyDescent="0.25">
      <c r="A51" s="12">
        <f t="shared" si="0"/>
        <v>46</v>
      </c>
      <c r="B51" s="12"/>
      <c r="C51" s="13" t="s">
        <v>134</v>
      </c>
      <c r="D51" s="13" t="s">
        <v>216</v>
      </c>
      <c r="E51" s="13" t="str">
        <f>VLOOKUP(F51,'[1]BOM_Variant of Tracker_56_2025-'!$H$2:$J$66,3,0)</f>
        <v>ST</v>
      </c>
      <c r="F51" s="13" t="s">
        <v>217</v>
      </c>
      <c r="G51" s="13"/>
      <c r="H51" s="13"/>
      <c r="I51" s="13" t="s">
        <v>218</v>
      </c>
      <c r="J51" s="13" t="s">
        <v>219</v>
      </c>
      <c r="K51" s="13">
        <v>1</v>
      </c>
      <c r="L51" s="13">
        <f t="shared" si="1"/>
        <v>10</v>
      </c>
      <c r="M51" s="13" t="s">
        <v>37</v>
      </c>
      <c r="N51" s="13"/>
    </row>
    <row r="52" spans="1:14" ht="38.25" x14ac:dyDescent="0.25">
      <c r="A52" s="12">
        <f t="shared" si="0"/>
        <v>47</v>
      </c>
      <c r="B52" s="12"/>
      <c r="C52" s="13" t="s">
        <v>134</v>
      </c>
      <c r="D52" s="13" t="s">
        <v>220</v>
      </c>
      <c r="E52" s="13" t="str">
        <f>VLOOKUP(F52,'[1]BOM_Variant of Tracker_56_2025-'!$H$2:$J$66,3,0)</f>
        <v>Cypress</v>
      </c>
      <c r="F52" s="13" t="s">
        <v>221</v>
      </c>
      <c r="G52" s="13" t="s">
        <v>222</v>
      </c>
      <c r="H52" s="13" t="str">
        <f>VLOOKUP(F52,'[1]BOM_Variant of Tracker_56_2025-'!$H$2:$I$66,2,0)</f>
        <v>W25Q64JVSSIQ TR</v>
      </c>
      <c r="I52" s="13" t="s">
        <v>223</v>
      </c>
      <c r="J52" s="13" t="s">
        <v>224</v>
      </c>
      <c r="K52" s="13">
        <v>1</v>
      </c>
      <c r="L52" s="13">
        <f t="shared" si="1"/>
        <v>10</v>
      </c>
      <c r="M52" s="13" t="s">
        <v>37</v>
      </c>
      <c r="N52" s="13"/>
    </row>
    <row r="53" spans="1:14" ht="25.5" x14ac:dyDescent="0.25">
      <c r="A53" s="12">
        <f t="shared" si="0"/>
        <v>48</v>
      </c>
      <c r="B53" s="12"/>
      <c r="C53" s="13" t="s">
        <v>134</v>
      </c>
      <c r="D53" s="13" t="s">
        <v>225</v>
      </c>
      <c r="E53" s="13" t="str">
        <f>VLOOKUP(F53,'[1]BOM_Variant of Tracker_56_2025-'!$H$2:$J$66,3,0)</f>
        <v>Kionix Inc.</v>
      </c>
      <c r="F53" s="13" t="s">
        <v>226</v>
      </c>
      <c r="G53" s="13"/>
      <c r="H53" s="13"/>
      <c r="I53" s="13" t="s">
        <v>227</v>
      </c>
      <c r="J53" s="13" t="s">
        <v>228</v>
      </c>
      <c r="K53" s="13">
        <v>1</v>
      </c>
      <c r="L53" s="13">
        <f t="shared" si="1"/>
        <v>10</v>
      </c>
      <c r="M53" s="13" t="s">
        <v>37</v>
      </c>
      <c r="N53" s="13"/>
    </row>
    <row r="54" spans="1:14" ht="25.5" x14ac:dyDescent="0.25">
      <c r="A54" s="12">
        <f t="shared" si="0"/>
        <v>49</v>
      </c>
      <c r="B54" s="12"/>
      <c r="C54" s="13" t="s">
        <v>134</v>
      </c>
      <c r="D54" s="13" t="s">
        <v>229</v>
      </c>
      <c r="E54" s="13" t="str">
        <f>VLOOKUP(F54,'[1]BOM_Variant of Tracker_56_2025-'!$H$2:$J$66,3,0)</f>
        <v>TI</v>
      </c>
      <c r="F54" s="13" t="s">
        <v>230</v>
      </c>
      <c r="G54" s="13"/>
      <c r="H54" s="13"/>
      <c r="I54" s="13" t="s">
        <v>231</v>
      </c>
      <c r="J54" s="13" t="s">
        <v>232</v>
      </c>
      <c r="K54" s="13">
        <v>1</v>
      </c>
      <c r="L54" s="13">
        <f t="shared" si="1"/>
        <v>10</v>
      </c>
      <c r="M54" s="13" t="s">
        <v>37</v>
      </c>
      <c r="N54" s="13"/>
    </row>
    <row r="55" spans="1:14" ht="63.75" x14ac:dyDescent="0.25">
      <c r="A55" s="12">
        <f t="shared" si="0"/>
        <v>50</v>
      </c>
      <c r="B55" s="12"/>
      <c r="C55" s="13" t="s">
        <v>134</v>
      </c>
      <c r="D55" s="13" t="s">
        <v>233</v>
      </c>
      <c r="E55" s="13" t="s">
        <v>234</v>
      </c>
      <c r="F55" s="13" t="s">
        <v>235</v>
      </c>
      <c r="G55" s="13"/>
      <c r="H55" s="13"/>
      <c r="I55" s="15"/>
      <c r="J55" s="13" t="s">
        <v>236</v>
      </c>
      <c r="K55" s="13">
        <v>1</v>
      </c>
      <c r="L55" s="13">
        <f t="shared" si="1"/>
        <v>10</v>
      </c>
      <c r="M55" s="13" t="s">
        <v>37</v>
      </c>
      <c r="N55" s="13"/>
    </row>
    <row r="56" spans="1:14" ht="25.5" x14ac:dyDescent="0.25">
      <c r="A56" s="12">
        <f t="shared" si="0"/>
        <v>51</v>
      </c>
      <c r="B56" s="12"/>
      <c r="C56" s="13" t="s">
        <v>237</v>
      </c>
      <c r="D56" s="13" t="s">
        <v>238</v>
      </c>
      <c r="E56" s="13" t="str">
        <f>VLOOKUP(F56,'[1]BOM_Variant of Tracker_56_2025-'!$H$2:$J$66,3,0)</f>
        <v>Murata</v>
      </c>
      <c r="F56" s="13" t="s">
        <v>239</v>
      </c>
      <c r="G56" s="13"/>
      <c r="H56" s="13"/>
      <c r="I56" s="13" t="s">
        <v>240</v>
      </c>
      <c r="J56" s="13" t="s">
        <v>241</v>
      </c>
      <c r="K56" s="13">
        <v>1</v>
      </c>
      <c r="L56" s="13">
        <f t="shared" si="1"/>
        <v>10</v>
      </c>
      <c r="M56" s="13" t="s">
        <v>37</v>
      </c>
      <c r="N56" s="13"/>
    </row>
    <row r="57" spans="1:14" ht="25.5" x14ac:dyDescent="0.25">
      <c r="A57" s="12">
        <f t="shared" si="0"/>
        <v>52</v>
      </c>
      <c r="B57" s="12"/>
      <c r="C57" s="13" t="s">
        <v>237</v>
      </c>
      <c r="D57" s="13" t="s">
        <v>242</v>
      </c>
      <c r="E57" s="13" t="str">
        <f>VLOOKUP(F57,'[1]BOM_Variant of Tracker_56_2025-'!$H$2:$J$66,3,0)</f>
        <v>Taisaw</v>
      </c>
      <c r="F57" s="13" t="s">
        <v>243</v>
      </c>
      <c r="G57" s="13"/>
      <c r="H57" s="13"/>
      <c r="I57" s="15"/>
      <c r="J57" s="13" t="s">
        <v>244</v>
      </c>
      <c r="K57" s="13">
        <v>1</v>
      </c>
      <c r="L57" s="13">
        <f t="shared" si="1"/>
        <v>10</v>
      </c>
      <c r="M57" s="13" t="s">
        <v>37</v>
      </c>
      <c r="N57" s="13"/>
    </row>
    <row r="58" spans="1:14" ht="38.25" x14ac:dyDescent="0.25">
      <c r="A58" s="12">
        <f t="shared" si="0"/>
        <v>53</v>
      </c>
      <c r="B58" s="12"/>
      <c r="C58" s="13" t="s">
        <v>237</v>
      </c>
      <c r="D58" s="13" t="s">
        <v>245</v>
      </c>
      <c r="E58" s="13" t="str">
        <f>VLOOKUP(F58,'[1]BOM_Variant of Tracker_56_2025-'!$H$2:$J$66,3,0)</f>
        <v>Abracon LLC</v>
      </c>
      <c r="F58" s="13" t="s">
        <v>246</v>
      </c>
      <c r="G58" s="13" t="s">
        <v>247</v>
      </c>
      <c r="H58" s="13" t="str">
        <f>VLOOKUP(F58,'[1]BOM_Variant of Tracker_56_2025-'!$H$2:$I$66,2,0)</f>
        <v>FC-135 32.7680KA-A5</v>
      </c>
      <c r="I58" s="13" t="s">
        <v>248</v>
      </c>
      <c r="J58" s="13" t="s">
        <v>249</v>
      </c>
      <c r="K58" s="13">
        <v>1</v>
      </c>
      <c r="L58" s="13">
        <f t="shared" si="1"/>
        <v>10</v>
      </c>
      <c r="M58" s="13" t="s">
        <v>37</v>
      </c>
      <c r="N58" s="13"/>
    </row>
    <row r="59" spans="1:14" x14ac:dyDescent="0.25">
      <c r="A59" s="12">
        <f t="shared" si="0"/>
        <v>54</v>
      </c>
      <c r="B59" s="18"/>
      <c r="C59" s="13" t="s">
        <v>250</v>
      </c>
      <c r="D59" s="19"/>
      <c r="E59" s="13"/>
      <c r="F59" s="13"/>
      <c r="G59" s="13"/>
      <c r="H59" s="13"/>
      <c r="I59" s="13"/>
      <c r="J59" s="19"/>
      <c r="K59" s="13"/>
      <c r="L59" s="13">
        <v>10</v>
      </c>
      <c r="M59" s="13"/>
      <c r="N59" s="13"/>
    </row>
    <row r="60" spans="1:14" x14ac:dyDescent="0.25">
      <c r="A60" s="12">
        <f t="shared" si="0"/>
        <v>55</v>
      </c>
      <c r="B60" s="18"/>
      <c r="C60" s="13" t="s">
        <v>251</v>
      </c>
      <c r="D60" s="19"/>
      <c r="E60" s="13"/>
      <c r="F60" s="13"/>
      <c r="G60" s="13"/>
      <c r="H60" s="13"/>
      <c r="I60" s="13"/>
      <c r="J60" s="19"/>
      <c r="K60" s="13"/>
      <c r="L60" s="13">
        <v>10</v>
      </c>
      <c r="M60" s="13"/>
      <c r="N60" s="13"/>
    </row>
  </sheetData>
  <sheetProtection formatCells="0" sort="0" autoFilter="0"/>
  <autoFilter ref="A5:N58" xr:uid="{00000000-0009-0000-0000-000000000000}">
    <sortState xmlns:xlrd2="http://schemas.microsoft.com/office/spreadsheetml/2017/richdata2" ref="A6:N14">
      <sortCondition ref="N5"/>
    </sortState>
  </autoFilter>
  <mergeCells count="9">
    <mergeCell ref="A4:B4"/>
    <mergeCell ref="K4:N4"/>
    <mergeCell ref="A1:C2"/>
    <mergeCell ref="D1:J1"/>
    <mergeCell ref="K1:M1"/>
    <mergeCell ref="D2:J2"/>
    <mergeCell ref="K2:M2"/>
    <mergeCell ref="A3:B3"/>
    <mergeCell ref="K3:N3"/>
  </mergeCells>
  <conditionalFormatting sqref="D1:D1048576">
    <cfRule type="duplicateValues" dxfId="6" priority="7"/>
  </conditionalFormatting>
  <conditionalFormatting sqref="D3:D5">
    <cfRule type="duplicateValues" dxfId="5" priority="6"/>
  </conditionalFormatting>
  <conditionalFormatting sqref="E4">
    <cfRule type="duplicateValues" dxfId="4" priority="1"/>
  </conditionalFormatting>
  <conditionalFormatting sqref="F3:F4">
    <cfRule type="duplicateValues" dxfId="3" priority="4"/>
  </conditionalFormatting>
  <conditionalFormatting sqref="F5">
    <cfRule type="duplicateValues" dxfId="2" priority="5"/>
  </conditionalFormatting>
  <conditionalFormatting sqref="H3:I4">
    <cfRule type="duplicateValues" dxfId="1" priority="2"/>
  </conditionalFormatting>
  <conditionalFormatting sqref="H5:I5">
    <cfRule type="duplicateValues" dxfId="0" priority="3"/>
  </conditionalFormatting>
  <pageMargins left="0.5" right="0.5" top="1" bottom="0" header="0" footer="0"/>
  <pageSetup paperSize="9" scale="60" fitToHeight="0" orientation="portrait" r:id="rId1"/>
  <headerFooter>
    <oddFooter>&amp;C&amp;"Times New Roman,Regular"&amp;P/&amp;N</oddFooter>
  </headerFooter>
  <rowBreaks count="1" manualBreakCount="1">
    <brk id="3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Field=VariantName</vt:lpstr>
      <vt:lpstr>'Field=VariantName'!Print_Titles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TungNM</cp:lastModifiedBy>
  <cp:lastPrinted>2025-10-15T05:06:26Z</cp:lastPrinted>
  <dcterms:created xsi:type="dcterms:W3CDTF">2025-09-23T09:24:53Z</dcterms:created>
  <dcterms:modified xsi:type="dcterms:W3CDTF">2025-10-16T08:40:47Z</dcterms:modified>
</cp:coreProperties>
</file>