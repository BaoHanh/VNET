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675" windowWidth="29040" windowHeight="16440"/>
  </bookViews>
  <sheets>
    <sheet name="Field=VariantName" sheetId="2" r:id="rId1"/>
    <sheet name="Sheet1" sheetId="3" r:id="rId2"/>
  </sheets>
  <definedNames>
    <definedName name="_xlnm._FilterDatabase" localSheetId="0" hidden="1">'Field=VariantName'!$A$1:$K$148</definedName>
    <definedName name="_xlnm.Print_Titles" localSheetId="0">'Field=VariantName'!$1:$1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2" l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3" i="2"/>
  <c r="L4" i="2"/>
  <c r="L5" i="2"/>
  <c r="L6" i="2"/>
  <c r="L7" i="2"/>
  <c r="L2" i="2"/>
  <c r="A136" i="2" l="1"/>
  <c r="A137" i="2"/>
  <c r="A138" i="2"/>
  <c r="A139" i="2"/>
  <c r="A140" i="2"/>
  <c r="A141" i="2"/>
  <c r="A142" i="2"/>
  <c r="A143" i="2"/>
  <c r="A144" i="2"/>
  <c r="A145" i="2"/>
  <c r="A146" i="2"/>
  <c r="A147" i="2"/>
  <c r="A148" i="2"/>
  <c r="A135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93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47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5" i="2"/>
  <c r="A3" i="2"/>
  <c r="A4" i="2"/>
  <c r="A2" i="2"/>
</calcChain>
</file>

<file path=xl/sharedStrings.xml><?xml version="1.0" encoding="utf-8"?>
<sst xmlns="http://schemas.openxmlformats.org/spreadsheetml/2006/main" count="900" uniqueCount="550">
  <si>
    <t>Manufacturer 2</t>
  </si>
  <si>
    <t>Manufacturer's Part Number 2</t>
  </si>
  <si>
    <t>Unit</t>
  </si>
  <si>
    <t>STT</t>
  </si>
  <si>
    <t>Category</t>
  </si>
  <si>
    <t>Capacitor</t>
  </si>
  <si>
    <t>Connector</t>
  </si>
  <si>
    <t>Crystal</t>
  </si>
  <si>
    <t>Diode</t>
  </si>
  <si>
    <t>Ferrite Bead</t>
  </si>
  <si>
    <t>Fuse</t>
  </si>
  <si>
    <t>IC</t>
  </si>
  <si>
    <t>Inductor</t>
  </si>
  <si>
    <t>LED</t>
  </si>
  <si>
    <t>Module</t>
  </si>
  <si>
    <t>MOSFET</t>
  </si>
  <si>
    <t>Resistor</t>
  </si>
  <si>
    <t>Switch</t>
  </si>
  <si>
    <t>Thermistor</t>
  </si>
  <si>
    <t>Transistor</t>
  </si>
  <si>
    <t>Speaker</t>
  </si>
  <si>
    <t>Description</t>
  </si>
  <si>
    <t>100uF 50V 146mA@120Hz ±20% SMD,D8xL10.2mm Aluminum Electrolytic Capacitors - SMD ROHS</t>
  </si>
  <si>
    <t>100V 2.2uF X7R ±10% 1206 Multilayer Ceramic Capacitors MLCC - SMD/SMT ROHS</t>
  </si>
  <si>
    <t>100V 100nF X7R ±10% 1206 Multilayer Ceramic Capacitors MLCC - SMD/SMT ROHS</t>
  </si>
  <si>
    <t>10uF 100V 63mA@120Hz ±20% SMD,D6.3xL5.4mm Aluminum Electrolytic Capacitors - SMD ROHS</t>
  </si>
  <si>
    <t>50V 100nF X7R ±10% 0603 Multilayer Ceramic Capacitors MLCC - SMD/SMT ROHS</t>
  </si>
  <si>
    <t>330uF 10V 108mA@120Hz ±20% SMD,D6.3xL7.7mm Aluminum Electrolytic Capacitors - SMD ROHS</t>
  </si>
  <si>
    <t>16V 22uF X5R 0603 Multilayer Ceramic Capacitors MLCC - SMD/SMT ROHS</t>
  </si>
  <si>
    <t>CAP CER 1UF 50V X5R 0603</t>
  </si>
  <si>
    <t>16V 1uF X5R ±10% 0402 Multilayer Ceramic Capacitors MLCC - SMD/SMT ROHS</t>
  </si>
  <si>
    <t>6.3V 47uF X5R ±20% 0603 Multilayer Ceramic Capacitors MLCC - SMD/SMT ROHS</t>
  </si>
  <si>
    <t>16V 47uF X5R ±20% 1206 Multilayer Ceramic Capacitors MLCC - SMD/SMT ROHS</t>
  </si>
  <si>
    <t>560 pF ±10% 50V Ceramic Capacitor X7R 0603 (1608 Metric)</t>
  </si>
  <si>
    <t>50V 470nF X7R ±10% 0603 Multilayer Ceramic Capacitors MLCC - SMD/SMT ROHS</t>
  </si>
  <si>
    <t>50V 75pF NP0 ±5% 0603 Multilayer Ceramic Capacitors MLCC - SMD/SMT ROHS</t>
  </si>
  <si>
    <t>50V 56nF X7R ±10% 0603 Multilayer Ceramic Capacitors MLCC - SMD/SMT ROHS</t>
  </si>
  <si>
    <t>16V 100nF X7R ±10% 0402 Multilayer Ceramic Capacitors MLCC - SMD/SMT ROHS</t>
  </si>
  <si>
    <t>10V 1Ω@100kHz 47uF ±10% CASE-B-3528-21(mm) Tantalum Capacitors ROHS</t>
  </si>
  <si>
    <t>50V 12pF NP0 ±1% 0402 Multilayer Ceramic Capacitors MLCC - SMD/SMT ROHS</t>
  </si>
  <si>
    <t>CAP CER 4.7uF 16V X5R 0805</t>
  </si>
  <si>
    <t>CAP CER 10uF 16V X5R 0805</t>
  </si>
  <si>
    <t>50V 100nF X7R ±10% 0805 Multilayer Ceramic Capacitors MLCC - SMD/SMT ROHS</t>
  </si>
  <si>
    <t>50V 33pF C0G ±5% 0805 Multilayer Ceramic Capacitors MLCC - SMD/SMT ROHS</t>
  </si>
  <si>
    <t>50V 10pF C0G ±5% 0805 Multilayer Ceramic Capacitors MLCC - SMD/SMT ROHS</t>
  </si>
  <si>
    <t>50V 100pF NP0 ±1% 0402 Multilayer Ceramic Capacitors MLCC - SMD/SMT ROHS</t>
  </si>
  <si>
    <t>50V 10nF X7R ±10% 0402 Multilayer Ceramic Capacitors MLCC - SMD/SMT ROHS</t>
  </si>
  <si>
    <t>4.7uF 35V ±10% 0603 Multilayer Ceramic Capacitors MLCC - SMD/SMT ROHS</t>
  </si>
  <si>
    <t>CAP CER 2.2uF 50V X5R 1206</t>
  </si>
  <si>
    <t>CAP CER 10uF 50V X5R 1206</t>
  </si>
  <si>
    <t>47uF 50V ±20% 66mA@120Hz SMD,D6.3xL7.7mm Aluminum Electrolytic Capacitors RoHS</t>
  </si>
  <si>
    <t>2.2uF ±10% 6.3V X5R 0603 Multilayer Ceramic Capacitors MLCC - SMD/SMT RoHS</t>
  </si>
  <si>
    <t>Battery Clip Nickel -25℃~+85℃ Phosphor Bronze CR2016 SMD Blade Type Power Connector Assemblies RoHS</t>
  </si>
  <si>
    <t>1 Inner pin IPEX Board-End 1.25mm -40℃~+90℃ 3GHz 50Ω 2mm SMD Coaxial Connectors (RF) ROHS</t>
  </si>
  <si>
    <t>SMD PC Card Sockets RoHS</t>
  </si>
  <si>
    <t>67P Surface Mount, Right Angle SMD,P=0.5mm,Surface Mount,Right Angle Centronics Connectors ROHS</t>
  </si>
  <si>
    <t>CRYSTAL 32.7680KHZ 12.5PF SMD</t>
  </si>
  <si>
    <t>25MHz 9pF ±10ppm SMD2016-4P Crystals ROHS</t>
  </si>
  <si>
    <t>1.8V~3.3V 5mA ±30ppm 27MHz SMD3225-4P Crystal Oscillators ROHS</t>
  </si>
  <si>
    <t>DFN1006-2 TVS Diodes ROHS</t>
  </si>
  <si>
    <t>40V Independent 500mV@3A 3A SMA(DO-214AC) Schottky Diodes ROHS</t>
  </si>
  <si>
    <t>60V 700mV@5A 5A SMAF Schottky Diodes ROHS</t>
  </si>
  <si>
    <t>30V 400mV 200mA SOT-23 Schottky Diodes ROHS</t>
  </si>
  <si>
    <t>SOD-123FL Switching Diodes ROHS</t>
  </si>
  <si>
    <t>DIODE GEN PURP 1KV 1A SMA</t>
  </si>
  <si>
    <t>Unidirectional 5V (Max) 6.2V 18.6V 9.4A SOD-523 TVS RoHs</t>
  </si>
  <si>
    <t>43.6A 9.2V 400W 6.4V Unidirectional 5V SOD-123 TVS Diodes RoHS</t>
  </si>
  <si>
    <t>3A@8/20us 23V 70W@8/20us 6V 5V DFN1006-2L TVS Diodes RoHS</t>
  </si>
  <si>
    <t>Independent 10.4V~11.6V 500mW 11V SOD-123 Single Zener Diodes ROHS</t>
  </si>
  <si>
    <t>Independent Type 10A 1.1V@10A 1kV SMC(DO-214AB) Diodes - General Purpose ROHS</t>
  </si>
  <si>
    <t>Unidirectional 36V 40V 58.1V 3.4A SOD-123FL TVS RoHS</t>
  </si>
  <si>
    <t>DFN2510-10 ESD and Surge Protection (TVS/ESD) ROHS</t>
  </si>
  <si>
    <t>10mΩ ±25% 10Ω@100MHz 0603 Ferrite Beads and Chips RoHS</t>
  </si>
  <si>
    <t>0.1Ω ±25% 600Ω@100MHz 0805 Ferrite Beads ROHS</t>
  </si>
  <si>
    <t>50mΩ ±25% 10Ω@100MHz 0603 Ferrite Beads and Chips RoHS</t>
  </si>
  <si>
    <t>FERRITE BEAD 1 KOHM 0805 1.5A</t>
  </si>
  <si>
    <t>6V 1.5A 100A 3A 25mΩ 1206 PTC Resettable Fuses RoHS</t>
  </si>
  <si>
    <t>Buck Adjustable 1V~25V 3.5A 5.5V~40V SOP-8 DC-DC Converters ROHS</t>
  </si>
  <si>
    <t>5.5V 1A 1.5MHz Synchronous Step-Down Regulator, Buck Fixed 600mV~5.5V 2.5V~5.5V 1A SOT-23-5 DC-DC Converters ROHS</t>
  </si>
  <si>
    <t>IC REG CTRLR MULT TOP 10MSOP</t>
  </si>
  <si>
    <t>SOP-8 Real Time Clocks ROHS</t>
  </si>
  <si>
    <t>500mA 77dB@(217Hz) Adjustable 1.2V~5V Positive 5.5V SOT-23-5 Voltage Regulators - Linear, Low Drop Out (LDO) Regulators ROHS</t>
  </si>
  <si>
    <t>SOT-363-6 ESD and Surge Protection (TVS/ESD) ROHS</t>
  </si>
  <si>
    <t>SOT-26 ESD and Surge Protection (TVS/ESD) ROHS</t>
  </si>
  <si>
    <t>QFN-48(6x6) Ethernet Transceivers ROHS</t>
  </si>
  <si>
    <t>IC DRVR/RCVR MULTCH RS232 16SOIC</t>
  </si>
  <si>
    <t>2mV 25nA Dual channel SOIC-8 Comparators ROHS</t>
  </si>
  <si>
    <t>8A 2.2uH ±20% 8.8A 12.5mΩ SMD,7x6.6mm Fixed Inductors RoHS</t>
  </si>
  <si>
    <t>5A 10uH ±20% 7A SMD,7.1x6.6mm Fixed Inductors RoHS</t>
  </si>
  <si>
    <t>2A 2.2uH Magnetic Shielded Inductor ±20% 2A 60mΩ SMD,3x3mm Fixed Inductors RoHS</t>
  </si>
  <si>
    <t>3.3A 22uH ±20% 7A SMD,12.2x12.2mm Arrays, Signal Transformers RoHS</t>
  </si>
  <si>
    <t>250mA 56nH ±5% 820mΩ 0402 Inductors (SMD) ROHS</t>
  </si>
  <si>
    <t>90Ω@100MHz 5Ω 2 SMD-4P,0.8x0.6mm Common Mode Filters ROHS</t>
  </si>
  <si>
    <t>4A 2.2uH ±20% 6A SMD,4x4mm Power Inductors ROHS</t>
  </si>
  <si>
    <t>4A 10uH ±20% 5A 62mΩ SMD,7.1x6.6mm Fixed Inductors RoHS</t>
  </si>
  <si>
    <t>180mA 68nH ±5% 1.4Ω 0402 Fixed Inductors RoHS</t>
  </si>
  <si>
    <t>20mA 225mcd Colorless Transparent Lens -20℃~+85℃ Positive Stick 620nm~630nm Red 120° 50mW 2.3V 0603 LED Indication - Discrete ROH</t>
  </si>
  <si>
    <t>20mA 180mcd Colorless Transparent Lens 565nm~575nm -20℃~+85℃ Positive Stick Yellow-green 120° 50mW 2.4V 0603 LED Indication - Discrete ROH</t>
  </si>
  <si>
    <t>LED YELLOW CLEAR 0603 SMD</t>
  </si>
  <si>
    <t>GNSS Module with GPS, GLONASS, BDS, Galileo, QZSS, High Sensitivity, Low Power Consumption</t>
  </si>
  <si>
    <t>15V 5.6A 36.4mΩ@4.5V,5.6A 1.2W 1V 1 piece P-channel SOT-23(TO-236) MOSFETs ROHS</t>
  </si>
  <si>
    <t>50V 200mA 225mW 5.6Ω@2.75V,200mA 500mV 1 N-channel SOT-23 MOSFETs ROHS</t>
  </si>
  <si>
    <t>SOT-23-3 MOSFETs P-Chanel ROHS</t>
  </si>
  <si>
    <t>20V 5.4A 1.2W 400mV 1 piece P-channel SOT-23(TO-236) MOSFETs ROHS</t>
  </si>
  <si>
    <t>60V 10A 104.2W 24mΩ@10V 3V 1 P-Channel SO-8 Single FETs, MOSFETs ROHS</t>
  </si>
  <si>
    <t>100V 15A 49mΩ@10V,5A 2.8W 3.2V 1 N-Channel VSONP-8(3.1x3.1) MOSFETs ROHS</t>
  </si>
  <si>
    <t>RES SMD 1 OHM 1% 1/10W 0603</t>
  </si>
  <si>
    <t>62.5mW Thick Film Resistor 50V ±100ppm/℃ ±1% 10kΩ 0402 Chip Resistor - Surface Mount ROHS</t>
  </si>
  <si>
    <t>62.5mW Thick Film Resistor 50V ±100ppm/℃ ±1% 100kΩ 0402 Chip Resistor - Surface Mount ROHS</t>
  </si>
  <si>
    <t>62.5mW Thick Film Resistor 50V ±100ppm/℃ ±1% 69.8kΩ 0402 Chip Resistor - Surface Mount ROHS</t>
  </si>
  <si>
    <t>62.5mW Thick Film Resistor 50V ±100ppm/℃ ±1% 24.9kΩ 0402 Chip Resistor - Surface Mount ROHS</t>
  </si>
  <si>
    <t>62.5mW Thick Film Resistor 50V ±100ppm/℃ ±1% 20kΩ 0402 Chip Resistor - Surface Mount ROHS</t>
  </si>
  <si>
    <t>63mW Thick Film Resistor ±100ppm/℃ ±1% 57.6kΩ 0402 Chip Resistor - Surface Mount ROHS</t>
  </si>
  <si>
    <t>62.5mW Thick Film Resistor 50V ±100ppm/℃ ±1% 105kΩ 0402 Chip Resistor - Surface Mount ROHS</t>
  </si>
  <si>
    <t>62.5mW Thick Film Resistor 50V ±100ppm/℃ ±1% 84.5kΩ 0402 Chip Resistor - Surface Mount ROHS</t>
  </si>
  <si>
    <t>62.5mW Thick Film Resistor 50V ±100ppm/℃ ±1% 100Ω 0402 Chip Resistor - Surface Mount ROHS</t>
  </si>
  <si>
    <t>62.5mW Thick Film Resistor 50V ±100ppm/℃ ±1% 1.91kΩ 0402 Chip Resistor - Surface Mount ROHS</t>
  </si>
  <si>
    <t>500mW Thin Film Resistor ±100ppm/℃ ±0.5% 15mΩ 1206 Chip Resistor - Surface Mount ROHS</t>
  </si>
  <si>
    <t>25.5kΩ 62.5mW 50V ±100ppm/℃ Thick Film Resistor ±1% 0402 Chip Resistor - Surface Mount RoHS</t>
  </si>
  <si>
    <t>62.5mW Thick Film Resistor 50V ±100ppm/℃ ±1% 34kΩ 0402 Chip Resistor - Surface Mount ROHS</t>
  </si>
  <si>
    <t>62.5mW Thick Film Resistors 50V ±100ppm/℃ ±1% 4.7kΩ 0402 Chip Resistor - Surface Mount ROHS</t>
  </si>
  <si>
    <t>62.5mW Thick Film Resistor 50V ±100ppm/℃ ±1% 1kΩ 0402 Chip Resistor - Surface Mount ROHS</t>
  </si>
  <si>
    <t>50V Thick Film Resistors 62.5mW 22Ω ±1% ±100ppm/℃ 0402 Chip Resistor - Surface Mount ROHS</t>
  </si>
  <si>
    <t>62.5mW Thick Film Resistor 50V ±100ppm/℃ ±1% 470Ω 0402 Chip Resistor - Surface Mount ROHS</t>
  </si>
  <si>
    <t>62.5mW 0Ω 50V ±1% Thick Film Resistors 0402 Chip Resistor - Surface Mount ROHS</t>
  </si>
  <si>
    <t>62.5mW Thick Film Resistor 50V ±100ppm/℃ ±1% 75Ω 0402 Chip Resistor - Surface Mount ROHS</t>
  </si>
  <si>
    <t>62.5mW Thick Film Resistor 50V ±100ppm/℃ ±1% 590kΩ 0402 Chip Resistor - Surface Mount ROHS</t>
  </si>
  <si>
    <t>62.5mW Thick Film Resistor 50V ±100ppm/℃ ±1% 2.2kΩ 0402 Chip Resistor - Surface Mount ROHS</t>
  </si>
  <si>
    <t>62.5mW Thick Film Resistor 50V ±100ppm/℃ ±1% 47kΩ 0402 Chip Resistor - Surface Mount ROHS</t>
  </si>
  <si>
    <t>62.5mW Thick Film Resistor 50V ±100ppm/℃ ±1% 15kΩ 0402 Chip Resistor - Surface Mount ROHS</t>
  </si>
  <si>
    <t>RES 0 OHM 1206 JUMPER 1/4W SMD</t>
  </si>
  <si>
    <t>1/16W Thick Film Resistors 50V ±100ppm/℃ ±1% 2.49kΩ 0402 Chip Resistor - Surface Mount ROHS</t>
  </si>
  <si>
    <t>RES SMD 2.2K OHM 1% 1/10W 0603</t>
  </si>
  <si>
    <t>62.5mW Thick Film Resistor 50V ±100ppm/℃ ±1% 5.6kΩ 0402 Chip Resistor - Surface Mount ROHS</t>
  </si>
  <si>
    <t>62.5mW Thick Film Resistor 50V ±100ppm/℃ ±1% 3.3kΩ 0402 Chip Resistor - Surface Mount ROHS</t>
  </si>
  <si>
    <t>62.5mW Thick Film Resistor 50V ±100ppm/℃ ±1% 39.2kΩ 0402 Chip Resistor - Surface Mount ROHS</t>
  </si>
  <si>
    <t>62.5mW Thick Film Resistor 50V ±100ppm/℃ ±1% 68kΩ 0402 Chip Resistor - Surface Mount ROHS</t>
  </si>
  <si>
    <t>62.5mW Thick Film Resistor 50V ±1% ±200ppm/℃ 10Ω 0402 Chip Resistor - Surface Mount ROHS</t>
  </si>
  <si>
    <t>75V Thick Film Resistors 100mW 22Ω ±1% ±100ppm/℃ 0603 Chip Resistor - Surface Mount ROHS</t>
  </si>
  <si>
    <t>200kΩ 0603 Chip Resistor - Surface Mount ROHS ±1% 100mW 75V ±100ppm/℃ -55℃~+155℃</t>
  </si>
  <si>
    <t>RES SMD 1M OHM 1% 1/10W 0603</t>
  </si>
  <si>
    <t>125mW 20mΩ ±1200ppm/℃ Thick Film Resistor ±1% 0805 Chip Resistor - Surface Mount ROHS</t>
  </si>
  <si>
    <t>RES SMD 100 OHM 1% 1/10W 0603</t>
  </si>
  <si>
    <t>RES SMD 10K OHM 1% 1/10W 0603</t>
  </si>
  <si>
    <t>RES SMD 0 OHM JUMPER 1/10W 0603</t>
  </si>
  <si>
    <t>100mW 34.8kΩ 75V ±100ppm/℃ Thick Film Resistor ±1% 0603 Chip Resistor - Surface Mount ROHS</t>
  </si>
  <si>
    <t>100mW 80.6kΩ 75V ±100ppm/℃ Thick Film Resistor ±1% 0603 Chip Resistor - Surface Mount ROHS</t>
  </si>
  <si>
    <t>Without bracket 50mA 3.5mm 100000 Times 260gf 12V 3mm 2mm Round Button Standing paste SPST SMD Tactile Switches ROHS</t>
  </si>
  <si>
    <t>10kΩ ±1% 310uA 3435K 100mW ±1% 0603 NTC Thermistors ROHS</t>
  </si>
  <si>
    <t>TRANS NPN 40V 0.2A SOT23</t>
  </si>
  <si>
    <t>TRANS NPN 60V 0.5A SOT23</t>
  </si>
  <si>
    <t>RJ45Receptacle 1 Shielded Bend-in WithLED 0℃~+70℃ Plugin Ethernet Connectors / Modular Connectors (RJ45 RJ11) ROHS</t>
  </si>
  <si>
    <t>XH Header Male Pin 0.098"(2.50mm) 2 Through Hole Wire To Board / Wire To Wire Connector RoHS</t>
  </si>
  <si>
    <t>9P Male D-Sub Bend insert 2 3A -50℃~+105℃ Push-Pull D-Sub / VGA Connectors ROHS</t>
  </si>
  <si>
    <t>1.27mm 1.27mm 22P 250V 1A 2 Gold Brass -40℃~+105℃ 2x11P 4.3mm Top Square Hole Through Hole Through Hole,P=1.27mm Headers, Receptacles, Female Sockets RoHS</t>
  </si>
  <si>
    <t>1x2P 2P 1 2.5mm 2 Brass Through Hole,P=2.5mm Wire To Board Connector ROHS</t>
  </si>
  <si>
    <t>60mA Red Lens 615nm~635nm -20℃~+85℃ Red 50° 150mW 1.8V~2.2V DIP-6-2.54mm LED Indication - Discrete ROHS</t>
  </si>
  <si>
    <t>85dB Active Buzzer (Built-in Driving Circuit) Electromagnetic 3kHz Through Hole,D=9mm Buzzers ROHS</t>
  </si>
  <si>
    <t>10kΩ 150mW ±1% 3435K ±1% NTC Thermistors ROHS</t>
  </si>
  <si>
    <t>Manufacture</t>
  </si>
  <si>
    <t>ROQANG</t>
  </si>
  <si>
    <t>CCTC</t>
  </si>
  <si>
    <t>Yageo</t>
  </si>
  <si>
    <t>Samsung Electro-Mechanics</t>
  </si>
  <si>
    <t>Hottech</t>
  </si>
  <si>
    <t>Taiyo Yuden</t>
  </si>
  <si>
    <t>Kyocera AVX</t>
  </si>
  <si>
    <t>FH(Guangdong Fenghua Advanced Tech)</t>
  </si>
  <si>
    <t>PSA(Prosperity Dielectrics)</t>
  </si>
  <si>
    <t>SANYEAR</t>
  </si>
  <si>
    <t xml:space="preserve">	Samsung Electro-Mechanics</t>
  </si>
  <si>
    <t>MYOUNG</t>
  </si>
  <si>
    <t>Shenzhen Kinghelm Elec</t>
  </si>
  <si>
    <t>Lian Xin Technology</t>
  </si>
  <si>
    <t>LOTES</t>
  </si>
  <si>
    <t>Abracon LLC</t>
  </si>
  <si>
    <t>TKD</t>
  </si>
  <si>
    <t>SJK(SHENZHEN CRYSTAL TECH)</t>
  </si>
  <si>
    <t>Leiditech</t>
  </si>
  <si>
    <t>Guangdong Hottech</t>
  </si>
  <si>
    <t>MDD(Microdiode Semiconductor)</t>
  </si>
  <si>
    <t>TECH PUBLIC</t>
  </si>
  <si>
    <t>LRC</t>
  </si>
  <si>
    <t>LangJie</t>
  </si>
  <si>
    <t>Tak cheong</t>
  </si>
  <si>
    <t>FUXINSEMI</t>
  </si>
  <si>
    <t>Wayon</t>
  </si>
  <si>
    <t>GOODWORK</t>
  </si>
  <si>
    <t>YJYCOIN</t>
  </si>
  <si>
    <t>FH</t>
  </si>
  <si>
    <t>Sunlord</t>
  </si>
  <si>
    <t>BHFUSE</t>
  </si>
  <si>
    <t>NDP</t>
  </si>
  <si>
    <t>RYCHIP Semiconductor Inc.</t>
  </si>
  <si>
    <t>Texas Instruments</t>
  </si>
  <si>
    <t>LANKE</t>
  </si>
  <si>
    <t>SGMICRO</t>
  </si>
  <si>
    <t>Motorcomm</t>
  </si>
  <si>
    <t>zoomdo electronics</t>
  </si>
  <si>
    <t>TECHFUSE</t>
  </si>
  <si>
    <t>ZE</t>
  </si>
  <si>
    <t>Sumida</t>
  </si>
  <si>
    <t>Murata Electronics</t>
  </si>
  <si>
    <t>Ceaiya</t>
  </si>
  <si>
    <t>XINGLIGHT</t>
  </si>
  <si>
    <t>Wurth Electronics Inc.</t>
  </si>
  <si>
    <t>SIMCom Wireless Solutions</t>
  </si>
  <si>
    <t>Yangzhou Yangjie Elec Tech</t>
  </si>
  <si>
    <t>VBsemi Elec</t>
  </si>
  <si>
    <t>FOJAN</t>
  </si>
  <si>
    <t>Yageo, Hottech</t>
  </si>
  <si>
    <t>XUNPU</t>
  </si>
  <si>
    <t>Nanjing Shiheng Elec</t>
  </si>
  <si>
    <t>Micro Commercial Co</t>
  </si>
  <si>
    <t>ON Semiconductor</t>
  </si>
  <si>
    <t>UDE Corp</t>
  </si>
  <si>
    <t xml:space="preserve"> 	BOOMELE(Boom Precision Elec)</t>
  </si>
  <si>
    <t>Ckmtw(Shenzhen Cankemeng)</t>
  </si>
  <si>
    <t>XKB Connection</t>
  </si>
  <si>
    <t>BOOMELE(Boom Precision Elec)</t>
  </si>
  <si>
    <t>Huaneng</t>
  </si>
  <si>
    <t>SURGING</t>
  </si>
  <si>
    <t>Partnumber</t>
  </si>
  <si>
    <t>RT1H101M0810</t>
  </si>
  <si>
    <t>CCTC TCC1206X7R225K101HT</t>
  </si>
  <si>
    <t>CC1206KKX7R0BB104</t>
  </si>
  <si>
    <t>RVT2A100M0605</t>
  </si>
  <si>
    <t>CC0603KRX7R9BB104</t>
  </si>
  <si>
    <t>RVT1A331M0607</t>
  </si>
  <si>
    <t>CL10A226MO7JZNC</t>
  </si>
  <si>
    <t>C0603X5R105K500NT</t>
  </si>
  <si>
    <t>CL05A105KO5NNNC</t>
  </si>
  <si>
    <t>CL10A476MQ8QRNC</t>
  </si>
  <si>
    <t>EMK316BBJ476ML-T</t>
  </si>
  <si>
    <t>CC0603KRX7R9BB561</t>
  </si>
  <si>
    <t>CC0603KRX7R9BB474</t>
  </si>
  <si>
    <t>CC0603JRNPO9BN750</t>
  </si>
  <si>
    <t>CC0603KRX7R9BB563</t>
  </si>
  <si>
    <t>CC0402KRX7R7BB104</t>
  </si>
  <si>
    <t>TAJB476K010RNJ</t>
  </si>
  <si>
    <t>CC0402FRNPO9BN120</t>
  </si>
  <si>
    <t>C0805X5R475K160NT</t>
  </si>
  <si>
    <t>C0805X5R106K160NT</t>
  </si>
  <si>
    <t>UMK212B7104KG-T</t>
  </si>
  <si>
    <t>0805CG330J500NT</t>
  </si>
  <si>
    <t>FN21N100J500PAG</t>
  </si>
  <si>
    <t>CC0402FRNPO9BN101</t>
  </si>
  <si>
    <t>CC0402KRX7R9BB103</t>
  </si>
  <si>
    <t>C0603X5R475K350NT</t>
  </si>
  <si>
    <t>C1206X5R225K500NT</t>
  </si>
  <si>
    <t>C1206X5R106K500NT</t>
  </si>
  <si>
    <t>RVT1H470M0607</t>
  </si>
  <si>
    <t>CL10A225KQ8NNNC</t>
  </si>
  <si>
    <t>MY-2016-02</t>
  </si>
  <si>
    <t>KH-IPEX-K501-29</t>
  </si>
  <si>
    <t>XDST-13512-29</t>
  </si>
  <si>
    <t>APCI0146-P001A</t>
  </si>
  <si>
    <t>ABS07-32.768KHZ-T</t>
  </si>
  <si>
    <t>SX20Y025000B91T002</t>
  </si>
  <si>
    <t>3N27000G33YC</t>
  </si>
  <si>
    <t>LM-AZ6118-01F</t>
  </si>
  <si>
    <t>SS34A</t>
  </si>
  <si>
    <t>SS56F</t>
  </si>
  <si>
    <t>LBAT54CLT1G</t>
  </si>
  <si>
    <t>1N4148W</t>
  </si>
  <si>
    <t>M7</t>
  </si>
  <si>
    <t>ESD5Z5V0</t>
  </si>
  <si>
    <t>PTVS5V0S1UR</t>
  </si>
  <si>
    <t>WE05DGCF-B</t>
  </si>
  <si>
    <t>BZT52C11</t>
  </si>
  <si>
    <t>S10M</t>
  </si>
  <si>
    <t>SMF36A</t>
  </si>
  <si>
    <t>LM-SE05NRE14GA</t>
  </si>
  <si>
    <t>YI160808U100-5R0T</t>
  </si>
  <si>
    <t>YI201209U601-2R5T</t>
  </si>
  <si>
    <t>CBG160808U100T</t>
  </si>
  <si>
    <t>UPZ2012E102-1R5TF</t>
  </si>
  <si>
    <t>BSMD1206-150-6V</t>
  </si>
  <si>
    <t>NDP2435KC</t>
  </si>
  <si>
    <t>RY3408</t>
  </si>
  <si>
    <t>LM3481MMX/NOPB</t>
  </si>
  <si>
    <t>LK8563T</t>
  </si>
  <si>
    <t>SGM2028-ADJYN5G/TR</t>
  </si>
  <si>
    <t>SMF05CT1G-P</t>
  </si>
  <si>
    <t>SR05-04A</t>
  </si>
  <si>
    <t>YT8531SH-CA</t>
  </si>
  <si>
    <t>MAX3232CDR</t>
  </si>
  <si>
    <t>LM393DR</t>
  </si>
  <si>
    <t>ZD0650-2R2M</t>
  </si>
  <si>
    <t>SL0650-100M</t>
  </si>
  <si>
    <t>ZNR3015ST2R2M</t>
  </si>
  <si>
    <t>CDRCH12D78BNP-220MC</t>
  </si>
  <si>
    <t>LQG15HS56NJ02D</t>
  </si>
  <si>
    <t>DLM0NSN900HY2D</t>
  </si>
  <si>
    <t>MAI4020S-2R2MT</t>
  </si>
  <si>
    <t>CMPI0630-100M</t>
  </si>
  <si>
    <t>VHF100505HQ68NJT</t>
  </si>
  <si>
    <t>XL-1608SURC-06</t>
  </si>
  <si>
    <t>XL-1608SYGC-04</t>
  </si>
  <si>
    <t>150060YS75000</t>
  </si>
  <si>
    <t>SIM65M-C</t>
  </si>
  <si>
    <t>YJL2305A</t>
  </si>
  <si>
    <t>LBSS139LT1G</t>
  </si>
  <si>
    <t>SI2333CDS</t>
  </si>
  <si>
    <t>YJL2305BQ</t>
  </si>
  <si>
    <t>AM4417P-T1-PF-VB</t>
  </si>
  <si>
    <t>CSD19538Q3A</t>
  </si>
  <si>
    <t>RI0603L1R00FT</t>
  </si>
  <si>
    <t>RC0402FR-0710KL</t>
  </si>
  <si>
    <t>RC0402FR-07100KL</t>
  </si>
  <si>
    <t>RC0402FR-0769K8L</t>
  </si>
  <si>
    <t>RC0402FR-0724K9L</t>
  </si>
  <si>
    <t>RC0402FR-0720KL</t>
  </si>
  <si>
    <t>RC0402FR-0757K6P</t>
  </si>
  <si>
    <t>RC0402FR-07105KL</t>
  </si>
  <si>
    <t>RC0402FR-0784K5L</t>
  </si>
  <si>
    <t>RC0402FR-07100RL</t>
  </si>
  <si>
    <t>RC0402FR-071K91L</t>
  </si>
  <si>
    <t>PE1206DRF7W0R015L</t>
  </si>
  <si>
    <t>AC0402FR-0725K5L</t>
  </si>
  <si>
    <t>RC0402FR-0734KL</t>
  </si>
  <si>
    <t>RC0402FR-074K7L</t>
  </si>
  <si>
    <t>RC0402FR-071KL</t>
  </si>
  <si>
    <t>RC0402FR-0722RL</t>
  </si>
  <si>
    <t>RC0402FR-07470RL</t>
  </si>
  <si>
    <t>RC0402FR-070RL</t>
  </si>
  <si>
    <t>RC0402FR-0775RL</t>
  </si>
  <si>
    <t>AC0402FR-07590KL</t>
  </si>
  <si>
    <t>RC0402FR-072K2L</t>
  </si>
  <si>
    <t>RC0402FR-0747KL</t>
  </si>
  <si>
    <t>RC0402FR-0715KL</t>
  </si>
  <si>
    <t>RI1206L000JT</t>
  </si>
  <si>
    <t>RC0402FR-072K49L</t>
  </si>
  <si>
    <t>RI0603L2201FT</t>
  </si>
  <si>
    <t>RC0402FR-075K6L</t>
  </si>
  <si>
    <t>RC0402FR-073K3L</t>
  </si>
  <si>
    <t>RC0402FR-0739K2L</t>
  </si>
  <si>
    <t>RC0402FR-0768KL</t>
  </si>
  <si>
    <t>RC0402FR-0710RL</t>
  </si>
  <si>
    <t>RC0603FR-0722RL</t>
  </si>
  <si>
    <t>RC0603FR-07200KL</t>
  </si>
  <si>
    <t>RC0603FR-071ML</t>
  </si>
  <si>
    <t>FRL0805FR020TS</t>
  </si>
  <si>
    <t>RI0603L1000FT</t>
  </si>
  <si>
    <t>RI0603L000JT</t>
  </si>
  <si>
    <t>AF0603FR-0734K8L</t>
  </si>
  <si>
    <t>RC0603FR-0780K6L</t>
  </si>
  <si>
    <t>TS-1090S-AR02026</t>
  </si>
  <si>
    <t>CMFA 103F3435</t>
  </si>
  <si>
    <t>MMBT3904-TP</t>
  </si>
  <si>
    <t>MMBTA05LT1G</t>
  </si>
  <si>
    <t>RT7-174AAM1A</t>
  </si>
  <si>
    <t>XH-2A</t>
  </si>
  <si>
    <t>D-DMR009PM-D002</t>
  </si>
  <si>
    <t>X1321FV-2x11-C43D24</t>
  </si>
  <si>
    <t>XHB-2A</t>
  </si>
  <si>
    <t>XL-DZ304SURD/3</t>
  </si>
  <si>
    <t>HNB09A05</t>
  </si>
  <si>
    <t>MF52B103F3435L100</t>
  </si>
  <si>
    <t>Designator</t>
  </si>
  <si>
    <t>C1, C10, C11, C54, C185, C192</t>
  </si>
  <si>
    <t>C2</t>
  </si>
  <si>
    <t>C3</t>
  </si>
  <si>
    <t>C4, C22</t>
  </si>
  <si>
    <t>C5, C13, C20, C24, C42, C191, C203, C206</t>
  </si>
  <si>
    <t>C6, C7, C15, C38</t>
  </si>
  <si>
    <t>C8, C9, C16, C19, C184</t>
  </si>
  <si>
    <t>C12, C14, C18, C21, C53, C180, C195, C196</t>
  </si>
  <si>
    <t>C17, C95, C97, C125, C126, C129, C134, C146</t>
  </si>
  <si>
    <t>C23</t>
  </si>
  <si>
    <t>C25</t>
  </si>
  <si>
    <t>C26</t>
  </si>
  <si>
    <t>C27</t>
  </si>
  <si>
    <t>C28</t>
  </si>
  <si>
    <t>C29</t>
  </si>
  <si>
    <t>C30, C31, C34, C35, C36, C37, C39, C48, C49, C50, C51, C60, C61, C65, C73, C74, C76, C78, C81, C82, C84, C86, C87, C89, C91, C92, C93, C96, C98, C99, C101, C102, C103, C104, C107, C108, C109, C110, C112, C113, C114, C116, C117, C118, C119, C120, C122, C124, C128, C130, C131, C132, C133, C135, C136, C137, C138, C139, C140, C141, C142, C143, C144, C145, C147, C148, C149, C150, C151, C152, C153, C154, C155, C156, C157, C158, C159, C160, C161, C164, C165, C169, C170, C172, C175, C178, C183, C188, C194, C200, C207</t>
  </si>
  <si>
    <t>C32, C33, C171</t>
  </si>
  <si>
    <t>C40, C41</t>
  </si>
  <si>
    <t>C44, C45, C46, C47, C127, C182, C186, C187</t>
  </si>
  <si>
    <t>C52, C94, C100, C105, C106, C111, C115, C121, C123, C162, C163, C167, C168, C173, C174, C176, C202</t>
  </si>
  <si>
    <t>C55</t>
  </si>
  <si>
    <t>C56</t>
  </si>
  <si>
    <t>C57</t>
  </si>
  <si>
    <t>C58, C62, C181, C208, C209</t>
  </si>
  <si>
    <t>C66, C67, C68</t>
  </si>
  <si>
    <t>C69, C70, C71, C72, C83, C88, C166, C189, C198, C199</t>
  </si>
  <si>
    <t>C75, C77, C79, C80, C85, C90</t>
  </si>
  <si>
    <t>C190</t>
  </si>
  <si>
    <t>C193, C204, C205</t>
  </si>
  <si>
    <t>C197</t>
  </si>
  <si>
    <t>C201</t>
  </si>
  <si>
    <t>J1</t>
  </si>
  <si>
    <t>J3, J4, J23</t>
  </si>
  <si>
    <t>J5</t>
  </si>
  <si>
    <t>J30</t>
  </si>
  <si>
    <t>X1</t>
  </si>
  <si>
    <t>X2</t>
  </si>
  <si>
    <t>Y2</t>
  </si>
  <si>
    <t>D1, D2, D4, D10, D49, D50</t>
  </si>
  <si>
    <t>D3, D61</t>
  </si>
  <si>
    <t>D5, D6, D15, D57</t>
  </si>
  <si>
    <t>D7, D9, D18, D24, D25, D26, D27, D28, D29, D30, D31, D32, D33, D34, D35, D36, D53, D54, D55, D70, D71</t>
  </si>
  <si>
    <t>D8</t>
  </si>
  <si>
    <t>D11, D63</t>
  </si>
  <si>
    <t>D16, D58</t>
  </si>
  <si>
    <t>D19, D23, D37, D38, D39, D40, D41, D42, D43, D44</t>
  </si>
  <si>
    <t>D45, D46, D47, D48, D51</t>
  </si>
  <si>
    <t>D56</t>
  </si>
  <si>
    <t>D62</t>
  </si>
  <si>
    <t>D67</t>
  </si>
  <si>
    <t>D68</t>
  </si>
  <si>
    <t>U17, U18, U19</t>
  </si>
  <si>
    <t>E1, E2, E6, E9, E10</t>
  </si>
  <si>
    <t>E3, E4, E5, E8, E14</t>
  </si>
  <si>
    <t>E7</t>
  </si>
  <si>
    <t>E11, E12</t>
  </si>
  <si>
    <t>F1</t>
  </si>
  <si>
    <t>U1, U3, U4, U26</t>
  </si>
  <si>
    <t>U2, U10</t>
  </si>
  <si>
    <t>U5</t>
  </si>
  <si>
    <t>U7</t>
  </si>
  <si>
    <t>U11</t>
  </si>
  <si>
    <t>U13, U25</t>
  </si>
  <si>
    <t>U14, U16</t>
  </si>
  <si>
    <t>U15</t>
  </si>
  <si>
    <t>U20, U21, U24</t>
  </si>
  <si>
    <t>U22</t>
  </si>
  <si>
    <t>L1</t>
  </si>
  <si>
    <t>L2, L3, L5, L11</t>
  </si>
  <si>
    <t>L4, L7</t>
  </si>
  <si>
    <t>L6</t>
  </si>
  <si>
    <t>L8</t>
  </si>
  <si>
    <t>L9</t>
  </si>
  <si>
    <t>L10</t>
  </si>
  <si>
    <t>L12</t>
  </si>
  <si>
    <t>L13</t>
  </si>
  <si>
    <t>D12, D14, D22, D65, D69</t>
  </si>
  <si>
    <t>D13, D21, D59, D60, D64</t>
  </si>
  <si>
    <t>D20</t>
  </si>
  <si>
    <t>M2</t>
  </si>
  <si>
    <t>U12</t>
  </si>
  <si>
    <t>Q1</t>
  </si>
  <si>
    <t>Q2, Q12, Q13, Q26, Q30</t>
  </si>
  <si>
    <t>Q6, Q29</t>
  </si>
  <si>
    <t>Q24</t>
  </si>
  <si>
    <t>Q25</t>
  </si>
  <si>
    <t>Q27</t>
  </si>
  <si>
    <t>R1</t>
  </si>
  <si>
    <t>R2, R16, R21, R28, R29, R32, R39, R40, R41, R49, R70, R104, R122, R147, R149, R150, R151, R155, R156, R157, R158, R160, R161, R163, R165, R166, R172, R176, R200, R226, R233, R234, R235, R276, R279, R284, R290, R295, R297, R299</t>
  </si>
  <si>
    <t>R3, R4, R5, R7, R10, R14, R43, R47, R225, R227, R243, R277</t>
  </si>
  <si>
    <t>R6, R8, R261</t>
  </si>
  <si>
    <t>R11, R12, R17, R242</t>
  </si>
  <si>
    <t>R13</t>
  </si>
  <si>
    <t>R15, R239</t>
  </si>
  <si>
    <t>R18</t>
  </si>
  <si>
    <t>R19</t>
  </si>
  <si>
    <t>R20, R45, R131, R282, R283</t>
  </si>
  <si>
    <t>R22</t>
  </si>
  <si>
    <t>R23</t>
  </si>
  <si>
    <t>R24</t>
  </si>
  <si>
    <t>R25</t>
  </si>
  <si>
    <t>R26, R36, R37, R64, R65, R73, R74, R75, R76, R77, R85, R106, R108, R110, R113, R114, R115, R116, R118, R120, R126, R171, R177, R182, R184, R191, R214, R221, R223, R260, R273, R280</t>
  </si>
  <si>
    <t>R27, R35, R38, R139, R140, R141, R152, R153, R154, R159, R164, R285, R291</t>
  </si>
  <si>
    <t>R33, R34, R72, R78, R84, R87, R89, R91, R92, R93, R94, R95, R96, R97, R98, R99, R100, R101, R102, R123, R124, R125, R132, R133, R134, R135, R136, R137, R205, R215, R217, R218, R219, R220, R268, R271, R272</t>
  </si>
  <si>
    <t>R42, R44, R88, R90, R168</t>
  </si>
  <si>
    <t>R46, R48, R50, R53, R54, R55, R57, R59, R61, R69, R130, R138, R170, R173, R194, R197, R198, R199, R201, R202, R203, R204, R207, R208, R210, R211, R212, R213, R216, R228, R230, R236, R237, R238, R240, R241, R246, R289</t>
  </si>
  <si>
    <t>R51, R56, R58, R142, R174, R175, R195, R196</t>
  </si>
  <si>
    <t>R52</t>
  </si>
  <si>
    <t>R62, R63, R68, R179, R180, R181, R186, R187, R188, R262</t>
  </si>
  <si>
    <t>R66, R67, R79, R80, R81, R82, R83, R178, R183, R185, R189, R190, R192, R293</t>
  </si>
  <si>
    <t>R71, R252, R278</t>
  </si>
  <si>
    <t>R86</t>
  </si>
  <si>
    <t>R111</t>
  </si>
  <si>
    <t>R127, R256, R257</t>
  </si>
  <si>
    <t>R162</t>
  </si>
  <si>
    <t>R167</t>
  </si>
  <si>
    <t>R193, R231, R294, R296, R298</t>
  </si>
  <si>
    <t>R229</t>
  </si>
  <si>
    <t>R232, R281</t>
  </si>
  <si>
    <t>R245, R249</t>
  </si>
  <si>
    <t>R251</t>
  </si>
  <si>
    <t>R258</t>
  </si>
  <si>
    <t>R259</t>
  </si>
  <si>
    <t>R263</t>
  </si>
  <si>
    <t>R267, R286, R287, R288, R292</t>
  </si>
  <si>
    <t>R269</t>
  </si>
  <si>
    <t>R270</t>
  </si>
  <si>
    <t>K1, K2, K3</t>
  </si>
  <si>
    <t>R275</t>
  </si>
  <si>
    <t>Q3, Q14, Q15, Q16, Q17, Q18</t>
  </si>
  <si>
    <t>Q4, Q5, Q7, Q8, Q9, Q10, Q11, Q19, Q20, Q21, Q22, Q23, Q28, Q31</t>
  </si>
  <si>
    <t>J6</t>
  </si>
  <si>
    <t>J7</t>
  </si>
  <si>
    <t>J9</t>
  </si>
  <si>
    <t>J10, J11, J12</t>
  </si>
  <si>
    <t>J13</t>
  </si>
  <si>
    <t>J15</t>
  </si>
  <si>
    <t>LED1, LED2</t>
  </si>
  <si>
    <t>BZ1</t>
  </si>
  <si>
    <t>R247</t>
  </si>
  <si>
    <t>Quantity</t>
  </si>
  <si>
    <t>Mounting type</t>
  </si>
  <si>
    <t>ASM</t>
  </si>
  <si>
    <t>SMD</t>
  </si>
  <si>
    <t>TH</t>
  </si>
  <si>
    <t>PCB</t>
  </si>
  <si>
    <t>JLC</t>
  </si>
  <si>
    <t>X4621FV-2x06-C43D28</t>
  </si>
  <si>
    <t>2mm 2mm 12P 250V 3A 2 Gold Brass 2x6P -40℃~+105℃ 4.3mm Top Square Hole Through Hole Through Hole,P=2mm Headers, Receptacles, Female Sockets RoHS</t>
  </si>
  <si>
    <t>Y2414</t>
  </si>
  <si>
    <t>PCB, 6 layer, 135.1 mm* 134.77 mm, PCB Thickness: 1.6mm, Gerber_CameraBox_V3_Final_24-11-2025_Y2414</t>
  </si>
  <si>
    <t>0603B105K500NT</t>
  </si>
  <si>
    <t>0805X475K250CT</t>
  </si>
  <si>
    <t>CL21A106KOQNNNE</t>
  </si>
  <si>
    <t>0805N100J500CT</t>
  </si>
  <si>
    <t>CC0402JRNPO9BN330</t>
  </si>
  <si>
    <t>CL31B225KBHNNNE</t>
  </si>
  <si>
    <t>CL31A106KBHNNNE</t>
  </si>
  <si>
    <t>GRM188C81C225KA12D</t>
  </si>
  <si>
    <t>WS05D5</t>
  </si>
  <si>
    <t>LED0603YELLOW</t>
  </si>
  <si>
    <t>RC0603FR-071RL</t>
  </si>
  <si>
    <t>RI0603L0000FT</t>
  </si>
  <si>
    <t>MMBT3904 SOT-23</t>
  </si>
  <si>
    <t>SMTSOM205BTR</t>
  </si>
  <si>
    <t>YIYUAN</t>
  </si>
  <si>
    <t>SMD Board Spacers, Standoffs RoHS</t>
  </si>
  <si>
    <t>50V 33pF NP0 ±5% 0402 Ceramic Capacitors RoHS</t>
  </si>
  <si>
    <t>RC0603FR-0710KL</t>
  </si>
  <si>
    <t>CL10A475KQ8NNNC</t>
  </si>
  <si>
    <t>R264, R266, R274</t>
  </si>
  <si>
    <t>R265</t>
  </si>
  <si>
    <t>100mW Thick Film Resistor 75V ±100ppm/℃ ±1% 4.7kΩ 0603 Chip Resistor - Surface Mount ROHS</t>
  </si>
  <si>
    <t>RC0603FR-074K7L</t>
  </si>
  <si>
    <t>SC70-5 Buffers, Drivers, Receivers, Transceivers ROHS</t>
  </si>
  <si>
    <t>RS1G126XC5</t>
  </si>
  <si>
    <t>Jiangsu RUNIC Tech</t>
  </si>
  <si>
    <t>U8</t>
  </si>
  <si>
    <t>B72590D50H160</t>
  </si>
  <si>
    <t>TDK</t>
  </si>
  <si>
    <t>0402 Varistors ROHS</t>
  </si>
  <si>
    <t>12251103CNG0S115001</t>
  </si>
  <si>
    <t>JILN</t>
  </si>
  <si>
    <t>Pin Header 3 Position 2.54mm Pitch Single Row Through Hole -40℃~+105℃</t>
  </si>
  <si>
    <t>J14</t>
  </si>
  <si>
    <t>A7600C-TLXS</t>
  </si>
  <si>
    <t>SIMCOM</t>
  </si>
  <si>
    <t>Module 4G CAT4</t>
  </si>
  <si>
    <t>Pin Lithium 3.7V - 1500mAh</t>
  </si>
  <si>
    <t>Số lượng cần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</si>
</sst>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[$-409]d\-mmm\-yyyy;@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5" fontId="1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49" fontId="4" fillId="2" borderId="2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left" vertical="top"/>
    </xf>
    <xf numFmtId="49" fontId="4" fillId="2" borderId="2" xfId="1" applyNumberFormat="1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3" borderId="0" xfId="0" applyFont="1" applyFill="1" applyAlignment="1">
      <alignment vertical="center"/>
    </xf>
    <xf numFmtId="166" fontId="2" fillId="0" borderId="0" xfId="2" applyNumberFormat="1" applyFont="1" applyAlignment="1">
      <alignment vertical="center"/>
    </xf>
    <xf numFmtId="166" fontId="2" fillId="0" borderId="1" xfId="2" applyNumberFormat="1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166" fontId="4" fillId="2" borderId="1" xfId="2" applyNumberFormat="1" applyFont="1" applyFill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Normal 10 2 2" xfId="1"/>
  </cellStyles>
  <dxfs count="1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48"/>
  <sheetViews>
    <sheetView tabSelected="1" showWhiteSpace="0" zoomScaleNormal="100" workbookViewId="0">
      <selection activeCell="O17" sqref="O17"/>
    </sheetView>
  </sheetViews>
  <sheetFormatPr defaultColWidth="9.140625" defaultRowHeight="15.75" customHeight="1" x14ac:dyDescent="0.25"/>
  <cols>
    <col min="1" max="1" width="9" style="1" bestFit="1" customWidth="1"/>
    <col min="2" max="2" width="12.7109375" style="3" bestFit="1" customWidth="1"/>
    <col min="3" max="3" width="68.85546875" style="18" customWidth="1"/>
    <col min="4" max="4" width="29.140625" style="18" customWidth="1"/>
    <col min="5" max="5" width="20.42578125" style="18" customWidth="1"/>
    <col min="6" max="6" width="16.42578125" style="3" bestFit="1" customWidth="1"/>
    <col min="7" max="7" width="18" style="3" bestFit="1" customWidth="1"/>
    <col min="8" max="8" width="14.42578125" style="2" bestFit="1" customWidth="1"/>
    <col min="9" max="9" width="9.140625" style="3" bestFit="1" customWidth="1"/>
    <col min="10" max="10" width="8.85546875" style="3" bestFit="1" customWidth="1"/>
    <col min="11" max="11" width="13.140625" style="3" bestFit="1" customWidth="1"/>
    <col min="12" max="12" width="10.42578125" style="20" bestFit="1" customWidth="1"/>
    <col min="13" max="13" width="9.140625" style="1"/>
    <col min="14" max="14" width="9.140625" style="23"/>
    <col min="15" max="16384" width="9.140625" style="1"/>
  </cols>
  <sheetData>
    <row r="1" spans="1:14" s="6" customFormat="1" ht="28.5" customHeight="1" x14ac:dyDescent="0.25">
      <c r="A1" s="4" t="s">
        <v>3</v>
      </c>
      <c r="B1" s="4" t="s">
        <v>4</v>
      </c>
      <c r="C1" s="13" t="s">
        <v>21</v>
      </c>
      <c r="D1" s="13" t="s">
        <v>159</v>
      </c>
      <c r="E1" s="14" t="s">
        <v>222</v>
      </c>
      <c r="F1" s="4" t="s">
        <v>0</v>
      </c>
      <c r="G1" s="5" t="s">
        <v>1</v>
      </c>
      <c r="H1" s="5" t="s">
        <v>359</v>
      </c>
      <c r="I1" s="4" t="s">
        <v>500</v>
      </c>
      <c r="J1" s="4" t="s">
        <v>2</v>
      </c>
      <c r="K1" s="4" t="s">
        <v>501</v>
      </c>
      <c r="L1" s="25" t="s">
        <v>549</v>
      </c>
      <c r="M1" s="6">
        <v>500</v>
      </c>
      <c r="N1" s="22"/>
    </row>
    <row r="2" spans="1:14" ht="15.75" customHeight="1" x14ac:dyDescent="0.25">
      <c r="A2" s="7">
        <f t="shared" ref="A2:A46" si="0">ROW(A2)-ROW($A$1)</f>
        <v>1</v>
      </c>
      <c r="B2" s="8" t="s">
        <v>14</v>
      </c>
      <c r="C2" s="15" t="s">
        <v>547</v>
      </c>
      <c r="D2" s="15" t="s">
        <v>546</v>
      </c>
      <c r="E2" s="15" t="s">
        <v>545</v>
      </c>
      <c r="F2" s="8"/>
      <c r="G2" s="8"/>
      <c r="H2" s="8" t="s">
        <v>440</v>
      </c>
      <c r="I2" s="8">
        <v>1</v>
      </c>
      <c r="J2" s="8"/>
      <c r="K2" s="8" t="s">
        <v>503</v>
      </c>
      <c r="L2" s="21">
        <f>$M$1*I2</f>
        <v>500</v>
      </c>
    </row>
    <row r="3" spans="1:14" ht="15.75" customHeight="1" x14ac:dyDescent="0.25">
      <c r="A3" s="7">
        <f t="shared" si="0"/>
        <v>2</v>
      </c>
      <c r="B3" s="9" t="s">
        <v>505</v>
      </c>
      <c r="C3" s="16" t="s">
        <v>510</v>
      </c>
      <c r="D3" s="16" t="s">
        <v>506</v>
      </c>
      <c r="E3" s="16" t="s">
        <v>509</v>
      </c>
      <c r="F3" s="8"/>
      <c r="G3" s="8"/>
      <c r="H3" s="10"/>
      <c r="I3" s="9">
        <v>1</v>
      </c>
      <c r="J3" s="9"/>
      <c r="K3" s="9" t="s">
        <v>502</v>
      </c>
      <c r="L3" s="21">
        <f t="shared" ref="L3:L66" si="1">$M$1*I3</f>
        <v>500</v>
      </c>
    </row>
    <row r="4" spans="1:14" ht="15.75" customHeight="1" x14ac:dyDescent="0.25">
      <c r="A4" s="7">
        <f t="shared" si="0"/>
        <v>3</v>
      </c>
      <c r="B4" s="8" t="s">
        <v>14</v>
      </c>
      <c r="C4" s="15" t="s">
        <v>99</v>
      </c>
      <c r="D4" s="15" t="s">
        <v>206</v>
      </c>
      <c r="E4" s="15" t="s">
        <v>300</v>
      </c>
      <c r="F4" s="8"/>
      <c r="G4" s="8"/>
      <c r="H4" s="8" t="s">
        <v>439</v>
      </c>
      <c r="I4" s="8">
        <v>1</v>
      </c>
      <c r="J4" s="8"/>
      <c r="K4" s="8" t="s">
        <v>503</v>
      </c>
      <c r="L4" s="21">
        <f t="shared" si="1"/>
        <v>500</v>
      </c>
    </row>
    <row r="5" spans="1:14" ht="15.75" customHeight="1" x14ac:dyDescent="0.25">
      <c r="A5" s="7">
        <f t="shared" si="0"/>
        <v>4</v>
      </c>
      <c r="B5" s="8"/>
      <c r="C5" s="15" t="s">
        <v>548</v>
      </c>
      <c r="D5" s="15"/>
      <c r="E5" s="15"/>
      <c r="F5" s="8"/>
      <c r="G5" s="8"/>
      <c r="H5" s="8"/>
      <c r="I5" s="8">
        <v>1</v>
      </c>
      <c r="J5" s="8"/>
      <c r="K5" s="8"/>
      <c r="L5" s="21">
        <f t="shared" si="1"/>
        <v>500</v>
      </c>
    </row>
    <row r="6" spans="1:14" ht="15.75" customHeight="1" x14ac:dyDescent="0.25">
      <c r="A6" s="7">
        <f t="shared" si="0"/>
        <v>5</v>
      </c>
      <c r="B6" s="8" t="s">
        <v>6</v>
      </c>
      <c r="C6" s="15" t="s">
        <v>54</v>
      </c>
      <c r="D6" s="15" t="s">
        <v>173</v>
      </c>
      <c r="E6" s="15" t="s">
        <v>255</v>
      </c>
      <c r="F6" s="8"/>
      <c r="G6" s="8"/>
      <c r="H6" s="8" t="s">
        <v>393</v>
      </c>
      <c r="I6" s="8">
        <v>1</v>
      </c>
      <c r="J6" s="8"/>
      <c r="K6" s="8" t="s">
        <v>503</v>
      </c>
      <c r="L6" s="21">
        <f t="shared" si="1"/>
        <v>500</v>
      </c>
    </row>
    <row r="7" spans="1:14" ht="15.75" customHeight="1" x14ac:dyDescent="0.25">
      <c r="A7" s="7">
        <f t="shared" si="0"/>
        <v>6</v>
      </c>
      <c r="B7" s="8" t="s">
        <v>11</v>
      </c>
      <c r="C7" s="15" t="s">
        <v>79</v>
      </c>
      <c r="D7" s="15" t="s">
        <v>194</v>
      </c>
      <c r="E7" s="15" t="s">
        <v>280</v>
      </c>
      <c r="F7" s="8"/>
      <c r="G7" s="8"/>
      <c r="H7" s="8" t="s">
        <v>419</v>
      </c>
      <c r="I7" s="8">
        <v>1</v>
      </c>
      <c r="J7" s="8"/>
      <c r="K7" s="8" t="s">
        <v>503</v>
      </c>
      <c r="L7" s="21">
        <f t="shared" si="1"/>
        <v>500</v>
      </c>
    </row>
    <row r="8" spans="1:14" ht="15.75" customHeight="1" x14ac:dyDescent="0.25">
      <c r="A8" s="7">
        <f t="shared" si="0"/>
        <v>7</v>
      </c>
      <c r="B8" s="8" t="s">
        <v>11</v>
      </c>
      <c r="C8" s="15" t="s">
        <v>85</v>
      </c>
      <c r="D8" s="15" t="s">
        <v>194</v>
      </c>
      <c r="E8" s="15" t="s">
        <v>286</v>
      </c>
      <c r="F8" s="8"/>
      <c r="G8" s="8"/>
      <c r="H8" s="8" t="s">
        <v>425</v>
      </c>
      <c r="I8" s="8">
        <v>3</v>
      </c>
      <c r="J8" s="8"/>
      <c r="K8" s="8" t="s">
        <v>503</v>
      </c>
      <c r="L8" s="21">
        <f t="shared" si="1"/>
        <v>1500</v>
      </c>
    </row>
    <row r="9" spans="1:14" ht="15.75" customHeight="1" x14ac:dyDescent="0.25">
      <c r="A9" s="7">
        <f t="shared" si="0"/>
        <v>8</v>
      </c>
      <c r="B9" s="8" t="s">
        <v>8</v>
      </c>
      <c r="C9" s="15" t="s">
        <v>540</v>
      </c>
      <c r="D9" s="15" t="s">
        <v>539</v>
      </c>
      <c r="E9" s="15" t="s">
        <v>538</v>
      </c>
      <c r="F9" s="8"/>
      <c r="G9" s="8"/>
      <c r="H9" s="8" t="s">
        <v>401</v>
      </c>
      <c r="I9" s="8">
        <v>21</v>
      </c>
      <c r="J9" s="8"/>
      <c r="K9" s="8" t="s">
        <v>503</v>
      </c>
      <c r="L9" s="21">
        <f t="shared" si="1"/>
        <v>10500</v>
      </c>
    </row>
    <row r="10" spans="1:14" ht="15.75" customHeight="1" x14ac:dyDescent="0.25">
      <c r="A10" s="7">
        <f t="shared" si="0"/>
        <v>9</v>
      </c>
      <c r="B10" s="8" t="s">
        <v>11</v>
      </c>
      <c r="C10" s="15" t="s">
        <v>84</v>
      </c>
      <c r="D10" s="15" t="s">
        <v>197</v>
      </c>
      <c r="E10" s="15" t="s">
        <v>285</v>
      </c>
      <c r="F10" s="8"/>
      <c r="G10" s="8"/>
      <c r="H10" s="8" t="s">
        <v>424</v>
      </c>
      <c r="I10" s="8">
        <v>1</v>
      </c>
      <c r="J10" s="8"/>
      <c r="K10" s="8" t="s">
        <v>503</v>
      </c>
      <c r="L10" s="21">
        <f t="shared" si="1"/>
        <v>500</v>
      </c>
    </row>
    <row r="11" spans="1:14" s="19" customFormat="1" ht="15.75" customHeight="1" x14ac:dyDescent="0.25">
      <c r="A11" s="11">
        <f t="shared" si="0"/>
        <v>10</v>
      </c>
      <c r="B11" s="12" t="s">
        <v>6</v>
      </c>
      <c r="C11" s="17" t="s">
        <v>508</v>
      </c>
      <c r="D11" s="17" t="s">
        <v>218</v>
      </c>
      <c r="E11" s="17" t="s">
        <v>507</v>
      </c>
      <c r="F11" s="12"/>
      <c r="G11" s="12">
        <v>0</v>
      </c>
      <c r="H11" s="12" t="s">
        <v>494</v>
      </c>
      <c r="I11" s="12">
        <v>3</v>
      </c>
      <c r="J11" s="12"/>
      <c r="K11" s="12" t="s">
        <v>504</v>
      </c>
      <c r="L11" s="21">
        <f t="shared" si="1"/>
        <v>1500</v>
      </c>
      <c r="N11" s="24"/>
    </row>
    <row r="12" spans="1:14" ht="15.75" customHeight="1" x14ac:dyDescent="0.25">
      <c r="A12" s="7">
        <f t="shared" si="0"/>
        <v>11</v>
      </c>
      <c r="B12" s="8" t="s">
        <v>6</v>
      </c>
      <c r="C12" s="15" t="s">
        <v>55</v>
      </c>
      <c r="D12" s="15" t="s">
        <v>174</v>
      </c>
      <c r="E12" s="15" t="s">
        <v>256</v>
      </c>
      <c r="F12" s="8"/>
      <c r="G12" s="8"/>
      <c r="H12" s="8" t="s">
        <v>394</v>
      </c>
      <c r="I12" s="8">
        <v>1</v>
      </c>
      <c r="J12" s="8"/>
      <c r="K12" s="8" t="s">
        <v>503</v>
      </c>
      <c r="L12" s="21">
        <f t="shared" si="1"/>
        <v>500</v>
      </c>
    </row>
    <row r="13" spans="1:14" ht="15.75" customHeight="1" x14ac:dyDescent="0.25">
      <c r="A13" s="7">
        <f t="shared" si="0"/>
        <v>12</v>
      </c>
      <c r="B13" s="8" t="s">
        <v>5</v>
      </c>
      <c r="C13" s="15" t="s">
        <v>37</v>
      </c>
      <c r="D13" s="15" t="s">
        <v>162</v>
      </c>
      <c r="E13" s="15" t="s">
        <v>238</v>
      </c>
      <c r="F13" s="8"/>
      <c r="G13" s="8"/>
      <c r="H13" s="8" t="s">
        <v>375</v>
      </c>
      <c r="I13" s="8">
        <v>91</v>
      </c>
      <c r="J13" s="8"/>
      <c r="K13" s="8" t="s">
        <v>503</v>
      </c>
      <c r="L13" s="21">
        <f t="shared" si="1"/>
        <v>45500</v>
      </c>
    </row>
    <row r="14" spans="1:14" ht="15.75" customHeight="1" x14ac:dyDescent="0.25">
      <c r="A14" s="7">
        <f t="shared" si="0"/>
        <v>13</v>
      </c>
      <c r="B14" s="8" t="s">
        <v>11</v>
      </c>
      <c r="C14" s="15" t="s">
        <v>77</v>
      </c>
      <c r="D14" s="15" t="s">
        <v>192</v>
      </c>
      <c r="E14" s="15" t="s">
        <v>278</v>
      </c>
      <c r="F14" s="8"/>
      <c r="G14" s="8"/>
      <c r="H14" s="8" t="s">
        <v>417</v>
      </c>
      <c r="I14" s="8">
        <v>2</v>
      </c>
      <c r="J14" s="8"/>
      <c r="K14" s="8" t="s">
        <v>503</v>
      </c>
      <c r="L14" s="21">
        <f t="shared" si="1"/>
        <v>1000</v>
      </c>
    </row>
    <row r="15" spans="1:14" ht="15.75" customHeight="1" x14ac:dyDescent="0.25">
      <c r="A15" s="7">
        <f t="shared" si="0"/>
        <v>14</v>
      </c>
      <c r="B15" s="8" t="s">
        <v>15</v>
      </c>
      <c r="C15" s="15" t="s">
        <v>104</v>
      </c>
      <c r="D15" s="15" t="s">
        <v>208</v>
      </c>
      <c r="E15" s="15" t="s">
        <v>305</v>
      </c>
      <c r="F15" s="8"/>
      <c r="G15" s="8"/>
      <c r="H15" s="8" t="s">
        <v>445</v>
      </c>
      <c r="I15" s="8">
        <v>1</v>
      </c>
      <c r="J15" s="8"/>
      <c r="K15" s="8" t="s">
        <v>503</v>
      </c>
      <c r="L15" s="21">
        <f t="shared" si="1"/>
        <v>500</v>
      </c>
    </row>
    <row r="16" spans="1:14" ht="15.75" customHeight="1" x14ac:dyDescent="0.25">
      <c r="A16" s="7">
        <f t="shared" si="0"/>
        <v>15</v>
      </c>
      <c r="B16" s="8" t="s">
        <v>13</v>
      </c>
      <c r="C16" s="15" t="s">
        <v>156</v>
      </c>
      <c r="D16" s="15" t="s">
        <v>204</v>
      </c>
      <c r="E16" s="15" t="s">
        <v>356</v>
      </c>
      <c r="F16" s="8"/>
      <c r="G16" s="8"/>
      <c r="H16" s="8" t="s">
        <v>497</v>
      </c>
      <c r="I16" s="8">
        <v>2</v>
      </c>
      <c r="J16" s="8"/>
      <c r="K16" s="8" t="s">
        <v>504</v>
      </c>
      <c r="L16" s="21">
        <f t="shared" si="1"/>
        <v>1000</v>
      </c>
    </row>
    <row r="17" spans="1:12" ht="15.75" customHeight="1" x14ac:dyDescent="0.25">
      <c r="A17" s="7">
        <f t="shared" si="0"/>
        <v>16</v>
      </c>
      <c r="B17" s="8" t="s">
        <v>7</v>
      </c>
      <c r="C17" s="15" t="s">
        <v>58</v>
      </c>
      <c r="D17" s="15" t="s">
        <v>177</v>
      </c>
      <c r="E17" s="15" t="s">
        <v>259</v>
      </c>
      <c r="F17" s="8"/>
      <c r="G17" s="8"/>
      <c r="H17" s="8" t="s">
        <v>397</v>
      </c>
      <c r="I17" s="8">
        <v>1</v>
      </c>
      <c r="J17" s="8"/>
      <c r="K17" s="8" t="s">
        <v>503</v>
      </c>
      <c r="L17" s="21">
        <f t="shared" si="1"/>
        <v>500</v>
      </c>
    </row>
    <row r="18" spans="1:12" ht="15.75" customHeight="1" x14ac:dyDescent="0.25">
      <c r="A18" s="7">
        <f t="shared" si="0"/>
        <v>17</v>
      </c>
      <c r="B18" s="8" t="s">
        <v>5</v>
      </c>
      <c r="C18" s="15" t="s">
        <v>38</v>
      </c>
      <c r="D18" s="15" t="s">
        <v>166</v>
      </c>
      <c r="E18" s="15" t="s">
        <v>239</v>
      </c>
      <c r="F18" s="8"/>
      <c r="G18" s="8"/>
      <c r="H18" s="8" t="s">
        <v>376</v>
      </c>
      <c r="I18" s="8">
        <v>3</v>
      </c>
      <c r="J18" s="8"/>
      <c r="K18" s="8" t="s">
        <v>503</v>
      </c>
      <c r="L18" s="21">
        <f t="shared" si="1"/>
        <v>1500</v>
      </c>
    </row>
    <row r="19" spans="1:12" ht="15.75" customHeight="1" x14ac:dyDescent="0.25">
      <c r="A19" s="7">
        <f t="shared" si="0"/>
        <v>18</v>
      </c>
      <c r="B19" s="8" t="s">
        <v>8</v>
      </c>
      <c r="C19" s="15" t="s">
        <v>66</v>
      </c>
      <c r="D19" s="15" t="s">
        <v>185</v>
      </c>
      <c r="E19" s="15" t="s">
        <v>267</v>
      </c>
      <c r="F19" s="8"/>
      <c r="G19" s="8"/>
      <c r="H19" s="8" t="s">
        <v>406</v>
      </c>
      <c r="I19" s="8">
        <v>5</v>
      </c>
      <c r="J19" s="8"/>
      <c r="K19" s="8" t="s">
        <v>503</v>
      </c>
      <c r="L19" s="21">
        <f t="shared" si="1"/>
        <v>2500</v>
      </c>
    </row>
    <row r="20" spans="1:12" ht="15.75" customHeight="1" x14ac:dyDescent="0.25">
      <c r="A20" s="7">
        <f t="shared" si="0"/>
        <v>19</v>
      </c>
      <c r="B20" s="8" t="s">
        <v>6</v>
      </c>
      <c r="C20" s="15" t="s">
        <v>154</v>
      </c>
      <c r="D20" s="15" t="s">
        <v>218</v>
      </c>
      <c r="E20" s="15" t="s">
        <v>354</v>
      </c>
      <c r="F20" s="8"/>
      <c r="G20" s="8"/>
      <c r="H20" s="8" t="s">
        <v>495</v>
      </c>
      <c r="I20" s="8">
        <v>1</v>
      </c>
      <c r="J20" s="8"/>
      <c r="K20" s="8" t="s">
        <v>504</v>
      </c>
      <c r="L20" s="21">
        <f t="shared" si="1"/>
        <v>500</v>
      </c>
    </row>
    <row r="21" spans="1:12" ht="15.75" customHeight="1" x14ac:dyDescent="0.25">
      <c r="A21" s="7">
        <f t="shared" si="0"/>
        <v>20</v>
      </c>
      <c r="B21" s="8" t="s">
        <v>8</v>
      </c>
      <c r="C21" s="15" t="s">
        <v>59</v>
      </c>
      <c r="D21" s="15" t="s">
        <v>178</v>
      </c>
      <c r="E21" s="15" t="s">
        <v>260</v>
      </c>
      <c r="F21" s="8"/>
      <c r="G21" s="8"/>
      <c r="H21" s="8" t="s">
        <v>398</v>
      </c>
      <c r="I21" s="8">
        <v>6</v>
      </c>
      <c r="J21" s="8"/>
      <c r="K21" s="8" t="s">
        <v>503</v>
      </c>
      <c r="L21" s="21">
        <f t="shared" si="1"/>
        <v>3000</v>
      </c>
    </row>
    <row r="22" spans="1:12" ht="15.75" customHeight="1" x14ac:dyDescent="0.25">
      <c r="A22" s="7">
        <f t="shared" si="0"/>
        <v>21</v>
      </c>
      <c r="B22" s="8" t="s">
        <v>15</v>
      </c>
      <c r="C22" s="15" t="s">
        <v>105</v>
      </c>
      <c r="D22" s="15" t="s">
        <v>194</v>
      </c>
      <c r="E22" s="15" t="s">
        <v>306</v>
      </c>
      <c r="F22" s="8"/>
      <c r="G22" s="8"/>
      <c r="H22" s="8" t="s">
        <v>446</v>
      </c>
      <c r="I22" s="8">
        <v>1</v>
      </c>
      <c r="J22" s="8"/>
      <c r="K22" s="8" t="s">
        <v>503</v>
      </c>
      <c r="L22" s="21">
        <f t="shared" si="1"/>
        <v>500</v>
      </c>
    </row>
    <row r="23" spans="1:12" ht="15.75" customHeight="1" x14ac:dyDescent="0.25">
      <c r="A23" s="7">
        <f t="shared" si="0"/>
        <v>22</v>
      </c>
      <c r="B23" s="8" t="s">
        <v>6</v>
      </c>
      <c r="C23" s="15" t="s">
        <v>151</v>
      </c>
      <c r="D23" s="15" t="s">
        <v>215</v>
      </c>
      <c r="E23" s="15" t="s">
        <v>351</v>
      </c>
      <c r="F23" s="8"/>
      <c r="G23" s="8"/>
      <c r="H23" s="8" t="s">
        <v>491</v>
      </c>
      <c r="I23" s="8">
        <v>1</v>
      </c>
      <c r="J23" s="8"/>
      <c r="K23" s="8" t="s">
        <v>504</v>
      </c>
      <c r="L23" s="21">
        <f t="shared" si="1"/>
        <v>500</v>
      </c>
    </row>
    <row r="24" spans="1:12" ht="15.75" customHeight="1" x14ac:dyDescent="0.25">
      <c r="A24" s="7">
        <f t="shared" si="0"/>
        <v>23</v>
      </c>
      <c r="B24" s="8" t="s">
        <v>6</v>
      </c>
      <c r="C24" s="15" t="s">
        <v>153</v>
      </c>
      <c r="D24" s="15" t="s">
        <v>217</v>
      </c>
      <c r="E24" s="15" t="s">
        <v>353</v>
      </c>
      <c r="F24" s="8"/>
      <c r="G24" s="8"/>
      <c r="H24" s="8" t="s">
        <v>493</v>
      </c>
      <c r="I24" s="8">
        <v>1</v>
      </c>
      <c r="J24" s="8"/>
      <c r="K24" s="8" t="s">
        <v>504</v>
      </c>
      <c r="L24" s="21">
        <f t="shared" si="1"/>
        <v>500</v>
      </c>
    </row>
    <row r="25" spans="1:12" ht="15.75" customHeight="1" x14ac:dyDescent="0.25">
      <c r="A25" s="7">
        <f t="shared" si="0"/>
        <v>24</v>
      </c>
      <c r="B25" s="8" t="s">
        <v>12</v>
      </c>
      <c r="C25" s="15" t="s">
        <v>88</v>
      </c>
      <c r="D25" s="15" t="s">
        <v>199</v>
      </c>
      <c r="E25" s="15" t="s">
        <v>289</v>
      </c>
      <c r="F25" s="8"/>
      <c r="G25" s="8"/>
      <c r="H25" s="8" t="s">
        <v>428</v>
      </c>
      <c r="I25" s="8">
        <v>4</v>
      </c>
      <c r="J25" s="8"/>
      <c r="K25" s="8" t="s">
        <v>503</v>
      </c>
      <c r="L25" s="21">
        <f t="shared" si="1"/>
        <v>2000</v>
      </c>
    </row>
    <row r="26" spans="1:12" ht="15.75" customHeight="1" x14ac:dyDescent="0.25">
      <c r="A26" s="7">
        <f t="shared" si="0"/>
        <v>25</v>
      </c>
      <c r="B26" s="8" t="s">
        <v>5</v>
      </c>
      <c r="C26" s="15" t="s">
        <v>22</v>
      </c>
      <c r="D26" s="15" t="s">
        <v>160</v>
      </c>
      <c r="E26" s="15" t="s">
        <v>223</v>
      </c>
      <c r="F26" s="8"/>
      <c r="G26" s="8"/>
      <c r="H26" s="8" t="s">
        <v>360</v>
      </c>
      <c r="I26" s="8">
        <v>6</v>
      </c>
      <c r="J26" s="8"/>
      <c r="K26" s="8" t="s">
        <v>503</v>
      </c>
      <c r="L26" s="21">
        <f t="shared" si="1"/>
        <v>3000</v>
      </c>
    </row>
    <row r="27" spans="1:12" ht="15.75" customHeight="1" x14ac:dyDescent="0.25">
      <c r="A27" s="7">
        <f t="shared" si="0"/>
        <v>26</v>
      </c>
      <c r="B27" s="8" t="s">
        <v>11</v>
      </c>
      <c r="C27" s="15" t="s">
        <v>81</v>
      </c>
      <c r="D27" s="15" t="s">
        <v>196</v>
      </c>
      <c r="E27" s="15" t="s">
        <v>282</v>
      </c>
      <c r="F27" s="8"/>
      <c r="G27" s="8"/>
      <c r="H27" s="8" t="s">
        <v>421</v>
      </c>
      <c r="I27" s="8">
        <v>1</v>
      </c>
      <c r="J27" s="8"/>
      <c r="K27" s="8" t="s">
        <v>503</v>
      </c>
      <c r="L27" s="21">
        <f t="shared" si="1"/>
        <v>500</v>
      </c>
    </row>
    <row r="28" spans="1:12" ht="15.75" customHeight="1" x14ac:dyDescent="0.25">
      <c r="A28" s="7">
        <f t="shared" si="0"/>
        <v>27</v>
      </c>
      <c r="B28" s="8" t="s">
        <v>5</v>
      </c>
      <c r="C28" s="15" t="s">
        <v>28</v>
      </c>
      <c r="D28" s="15" t="s">
        <v>163</v>
      </c>
      <c r="E28" s="15" t="s">
        <v>229</v>
      </c>
      <c r="F28" s="8"/>
      <c r="G28" s="8"/>
      <c r="H28" s="8" t="s">
        <v>366</v>
      </c>
      <c r="I28" s="8">
        <v>5</v>
      </c>
      <c r="J28" s="8"/>
      <c r="K28" s="8" t="s">
        <v>503</v>
      </c>
      <c r="L28" s="21">
        <f t="shared" si="1"/>
        <v>2500</v>
      </c>
    </row>
    <row r="29" spans="1:12" ht="15.75" customHeight="1" x14ac:dyDescent="0.25">
      <c r="A29" s="7">
        <f t="shared" si="0"/>
        <v>28</v>
      </c>
      <c r="B29" s="8" t="s">
        <v>19</v>
      </c>
      <c r="C29" s="15" t="s">
        <v>150</v>
      </c>
      <c r="D29" s="15" t="s">
        <v>214</v>
      </c>
      <c r="E29" s="15" t="s">
        <v>350</v>
      </c>
      <c r="F29" s="8"/>
      <c r="G29" s="8"/>
      <c r="H29" s="8" t="s">
        <v>490</v>
      </c>
      <c r="I29" s="8">
        <v>14</v>
      </c>
      <c r="J29" s="8"/>
      <c r="K29" s="8" t="s">
        <v>503</v>
      </c>
      <c r="L29" s="21">
        <f t="shared" si="1"/>
        <v>7000</v>
      </c>
    </row>
    <row r="30" spans="1:12" ht="15.75" customHeight="1" x14ac:dyDescent="0.25">
      <c r="A30" s="7">
        <f t="shared" si="0"/>
        <v>29</v>
      </c>
      <c r="B30" s="12" t="s">
        <v>5</v>
      </c>
      <c r="C30" s="17" t="s">
        <v>47</v>
      </c>
      <c r="D30" s="17" t="s">
        <v>169</v>
      </c>
      <c r="E30" s="17" t="s">
        <v>248</v>
      </c>
      <c r="F30" s="12"/>
      <c r="G30" s="12" t="s">
        <v>529</v>
      </c>
      <c r="H30" s="12" t="s">
        <v>386</v>
      </c>
      <c r="I30" s="12">
        <v>6</v>
      </c>
      <c r="J30" s="12"/>
      <c r="K30" s="12" t="s">
        <v>503</v>
      </c>
      <c r="L30" s="21">
        <f t="shared" si="1"/>
        <v>3000</v>
      </c>
    </row>
    <row r="31" spans="1:12" ht="15.75" customHeight="1" x14ac:dyDescent="0.25">
      <c r="A31" s="7">
        <f t="shared" si="0"/>
        <v>30</v>
      </c>
      <c r="B31" s="8" t="s">
        <v>8</v>
      </c>
      <c r="C31" s="15" t="s">
        <v>65</v>
      </c>
      <c r="D31" s="15" t="s">
        <v>184</v>
      </c>
      <c r="E31" s="15" t="s">
        <v>266</v>
      </c>
      <c r="F31" s="8"/>
      <c r="G31" s="8" t="s">
        <v>519</v>
      </c>
      <c r="H31" s="8" t="s">
        <v>405</v>
      </c>
      <c r="I31" s="8">
        <v>10</v>
      </c>
      <c r="J31" s="8"/>
      <c r="K31" s="8" t="s">
        <v>503</v>
      </c>
      <c r="L31" s="21">
        <f t="shared" si="1"/>
        <v>5000</v>
      </c>
    </row>
    <row r="32" spans="1:12" ht="15.75" customHeight="1" x14ac:dyDescent="0.25">
      <c r="A32" s="7">
        <f t="shared" si="0"/>
        <v>31</v>
      </c>
      <c r="B32" s="8" t="s">
        <v>15</v>
      </c>
      <c r="C32" s="15" t="s">
        <v>102</v>
      </c>
      <c r="D32" s="15" t="s">
        <v>181</v>
      </c>
      <c r="E32" s="15" t="s">
        <v>303</v>
      </c>
      <c r="F32" s="8"/>
      <c r="G32" s="8"/>
      <c r="H32" s="8" t="s">
        <v>443</v>
      </c>
      <c r="I32" s="8">
        <v>2</v>
      </c>
      <c r="J32" s="8"/>
      <c r="K32" s="8" t="s">
        <v>503</v>
      </c>
      <c r="L32" s="21">
        <f t="shared" si="1"/>
        <v>1000</v>
      </c>
    </row>
    <row r="33" spans="1:12" ht="15.75" customHeight="1" x14ac:dyDescent="0.25">
      <c r="A33" s="7">
        <f t="shared" si="0"/>
        <v>32</v>
      </c>
      <c r="B33" s="8" t="s">
        <v>20</v>
      </c>
      <c r="C33" s="15" t="s">
        <v>157</v>
      </c>
      <c r="D33" s="15" t="s">
        <v>220</v>
      </c>
      <c r="E33" s="15" t="s">
        <v>357</v>
      </c>
      <c r="F33" s="8"/>
      <c r="G33" s="8"/>
      <c r="H33" s="8" t="s">
        <v>498</v>
      </c>
      <c r="I33" s="8">
        <v>1</v>
      </c>
      <c r="J33" s="8"/>
      <c r="K33" s="8" t="s">
        <v>504</v>
      </c>
      <c r="L33" s="21">
        <f t="shared" si="1"/>
        <v>500</v>
      </c>
    </row>
    <row r="34" spans="1:12" ht="15.75" customHeight="1" x14ac:dyDescent="0.25">
      <c r="A34" s="7">
        <f t="shared" si="0"/>
        <v>33</v>
      </c>
      <c r="B34" s="8" t="s">
        <v>11</v>
      </c>
      <c r="C34" s="15" t="s">
        <v>80</v>
      </c>
      <c r="D34" s="15" t="s">
        <v>195</v>
      </c>
      <c r="E34" s="15" t="s">
        <v>281</v>
      </c>
      <c r="F34" s="8"/>
      <c r="G34" s="8"/>
      <c r="H34" s="8" t="s">
        <v>420</v>
      </c>
      <c r="I34" s="8">
        <v>1</v>
      </c>
      <c r="J34" s="8"/>
      <c r="K34" s="8" t="s">
        <v>503</v>
      </c>
      <c r="L34" s="21">
        <f t="shared" si="1"/>
        <v>500</v>
      </c>
    </row>
    <row r="35" spans="1:12" ht="15.75" customHeight="1" x14ac:dyDescent="0.25">
      <c r="A35" s="7">
        <f t="shared" si="0"/>
        <v>34</v>
      </c>
      <c r="B35" s="8" t="s">
        <v>5</v>
      </c>
      <c r="C35" s="15" t="s">
        <v>41</v>
      </c>
      <c r="D35" s="15" t="s">
        <v>164</v>
      </c>
      <c r="E35" s="15" t="s">
        <v>242</v>
      </c>
      <c r="F35" s="8"/>
      <c r="G35" s="8" t="s">
        <v>513</v>
      </c>
      <c r="H35" s="8" t="s">
        <v>379</v>
      </c>
      <c r="I35" s="8">
        <v>17</v>
      </c>
      <c r="J35" s="8"/>
      <c r="K35" s="8" t="s">
        <v>503</v>
      </c>
      <c r="L35" s="21">
        <f t="shared" si="1"/>
        <v>8500</v>
      </c>
    </row>
    <row r="36" spans="1:12" ht="15.75" customHeight="1" x14ac:dyDescent="0.25">
      <c r="A36" s="7">
        <f t="shared" si="0"/>
        <v>35</v>
      </c>
      <c r="B36" s="8" t="s">
        <v>6</v>
      </c>
      <c r="C36" s="15" t="s">
        <v>53</v>
      </c>
      <c r="D36" s="15" t="s">
        <v>172</v>
      </c>
      <c r="E36" s="15" t="s">
        <v>254</v>
      </c>
      <c r="F36" s="8"/>
      <c r="G36" s="8"/>
      <c r="H36" s="8" t="s">
        <v>392</v>
      </c>
      <c r="I36" s="8">
        <v>3</v>
      </c>
      <c r="J36" s="8"/>
      <c r="K36" s="8" t="s">
        <v>503</v>
      </c>
      <c r="L36" s="21">
        <f t="shared" si="1"/>
        <v>1500</v>
      </c>
    </row>
    <row r="37" spans="1:12" ht="15.75" customHeight="1" x14ac:dyDescent="0.25">
      <c r="A37" s="7">
        <f t="shared" si="0"/>
        <v>36</v>
      </c>
      <c r="B37" s="8" t="s">
        <v>16</v>
      </c>
      <c r="C37" s="15" t="s">
        <v>117</v>
      </c>
      <c r="D37" s="15" t="s">
        <v>162</v>
      </c>
      <c r="E37" s="15" t="s">
        <v>318</v>
      </c>
      <c r="F37" s="8"/>
      <c r="G37" s="8"/>
      <c r="H37" s="8" t="s">
        <v>458</v>
      </c>
      <c r="I37" s="8">
        <v>1</v>
      </c>
      <c r="J37" s="8"/>
      <c r="K37" s="8" t="s">
        <v>503</v>
      </c>
      <c r="L37" s="21">
        <f t="shared" si="1"/>
        <v>500</v>
      </c>
    </row>
    <row r="38" spans="1:12" ht="15.75" customHeight="1" x14ac:dyDescent="0.25">
      <c r="A38" s="7">
        <f t="shared" si="0"/>
        <v>37</v>
      </c>
      <c r="B38" s="8" t="s">
        <v>8</v>
      </c>
      <c r="C38" s="15" t="s">
        <v>71</v>
      </c>
      <c r="D38" s="15" t="s">
        <v>178</v>
      </c>
      <c r="E38" s="15" t="s">
        <v>272</v>
      </c>
      <c r="F38" s="8"/>
      <c r="G38" s="8"/>
      <c r="H38" s="8" t="s">
        <v>411</v>
      </c>
      <c r="I38" s="8">
        <v>3</v>
      </c>
      <c r="J38" s="8"/>
      <c r="K38" s="8" t="s">
        <v>503</v>
      </c>
      <c r="L38" s="21">
        <f t="shared" si="1"/>
        <v>1500</v>
      </c>
    </row>
    <row r="39" spans="1:12" ht="15.75" customHeight="1" x14ac:dyDescent="0.25">
      <c r="A39" s="7">
        <f t="shared" si="0"/>
        <v>38</v>
      </c>
      <c r="B39" s="8" t="s">
        <v>12</v>
      </c>
      <c r="C39" s="15" t="s">
        <v>93</v>
      </c>
      <c r="D39" s="15" t="s">
        <v>203</v>
      </c>
      <c r="E39" s="15" t="s">
        <v>294</v>
      </c>
      <c r="F39" s="8"/>
      <c r="G39" s="8"/>
      <c r="H39" s="8" t="s">
        <v>433</v>
      </c>
      <c r="I39" s="8">
        <v>1</v>
      </c>
      <c r="J39" s="8"/>
      <c r="K39" s="8" t="s">
        <v>503</v>
      </c>
      <c r="L39" s="21">
        <f t="shared" si="1"/>
        <v>500</v>
      </c>
    </row>
    <row r="40" spans="1:12" ht="15.75" customHeight="1" x14ac:dyDescent="0.25">
      <c r="A40" s="7">
        <f t="shared" si="0"/>
        <v>39</v>
      </c>
      <c r="B40" s="8" t="s">
        <v>12</v>
      </c>
      <c r="C40" s="15" t="s">
        <v>90</v>
      </c>
      <c r="D40" s="15" t="s">
        <v>201</v>
      </c>
      <c r="E40" s="15" t="s">
        <v>291</v>
      </c>
      <c r="F40" s="8"/>
      <c r="G40" s="8"/>
      <c r="H40" s="8" t="s">
        <v>430</v>
      </c>
      <c r="I40" s="8">
        <v>1</v>
      </c>
      <c r="J40" s="8"/>
      <c r="K40" s="8" t="s">
        <v>503</v>
      </c>
      <c r="L40" s="21">
        <f t="shared" si="1"/>
        <v>500</v>
      </c>
    </row>
    <row r="41" spans="1:12" ht="15.75" customHeight="1" x14ac:dyDescent="0.25">
      <c r="A41" s="7">
        <f t="shared" si="0"/>
        <v>40</v>
      </c>
      <c r="B41" s="8" t="s">
        <v>9</v>
      </c>
      <c r="C41" s="15" t="s">
        <v>73</v>
      </c>
      <c r="D41" s="15" t="s">
        <v>188</v>
      </c>
      <c r="E41" s="15" t="s">
        <v>274</v>
      </c>
      <c r="F41" s="8"/>
      <c r="G41" s="8"/>
      <c r="H41" s="8" t="s">
        <v>413</v>
      </c>
      <c r="I41" s="8">
        <v>5</v>
      </c>
      <c r="J41" s="8"/>
      <c r="K41" s="8" t="s">
        <v>503</v>
      </c>
      <c r="L41" s="21">
        <f t="shared" si="1"/>
        <v>2500</v>
      </c>
    </row>
    <row r="42" spans="1:12" ht="15.75" customHeight="1" x14ac:dyDescent="0.25">
      <c r="A42" s="7">
        <f t="shared" si="0"/>
        <v>41</v>
      </c>
      <c r="B42" s="8" t="s">
        <v>7</v>
      </c>
      <c r="C42" s="15" t="s">
        <v>56</v>
      </c>
      <c r="D42" s="15" t="s">
        <v>175</v>
      </c>
      <c r="E42" s="15" t="s">
        <v>257</v>
      </c>
      <c r="F42" s="8"/>
      <c r="G42" s="8"/>
      <c r="H42" s="8" t="s">
        <v>395</v>
      </c>
      <c r="I42" s="8">
        <v>1</v>
      </c>
      <c r="J42" s="8"/>
      <c r="K42" s="8" t="s">
        <v>503</v>
      </c>
      <c r="L42" s="21">
        <f t="shared" si="1"/>
        <v>500</v>
      </c>
    </row>
    <row r="43" spans="1:12" ht="15.75" customHeight="1" x14ac:dyDescent="0.25">
      <c r="A43" s="7">
        <f t="shared" si="0"/>
        <v>42</v>
      </c>
      <c r="B43" s="8" t="s">
        <v>6</v>
      </c>
      <c r="C43" s="15" t="s">
        <v>52</v>
      </c>
      <c r="D43" s="15" t="s">
        <v>171</v>
      </c>
      <c r="E43" s="15" t="s">
        <v>253</v>
      </c>
      <c r="F43" s="8"/>
      <c r="G43" s="8"/>
      <c r="H43" s="8" t="s">
        <v>391</v>
      </c>
      <c r="I43" s="8">
        <v>1</v>
      </c>
      <c r="J43" s="8"/>
      <c r="K43" s="8" t="s">
        <v>503</v>
      </c>
      <c r="L43" s="21">
        <f t="shared" si="1"/>
        <v>500</v>
      </c>
    </row>
    <row r="44" spans="1:12" ht="15.75" customHeight="1" x14ac:dyDescent="0.25">
      <c r="A44" s="7">
        <f t="shared" si="0"/>
        <v>43</v>
      </c>
      <c r="B44" s="8" t="s">
        <v>15</v>
      </c>
      <c r="C44" s="15" t="s">
        <v>101</v>
      </c>
      <c r="D44" s="15" t="s">
        <v>182</v>
      </c>
      <c r="E44" s="15" t="s">
        <v>302</v>
      </c>
      <c r="F44" s="8"/>
      <c r="G44" s="8"/>
      <c r="H44" s="8" t="s">
        <v>442</v>
      </c>
      <c r="I44" s="8">
        <v>5</v>
      </c>
      <c r="J44" s="8"/>
      <c r="K44" s="8" t="s">
        <v>503</v>
      </c>
      <c r="L44" s="21">
        <f t="shared" si="1"/>
        <v>2500</v>
      </c>
    </row>
    <row r="45" spans="1:12" ht="15.75" customHeight="1" x14ac:dyDescent="0.25">
      <c r="A45" s="7">
        <f t="shared" si="0"/>
        <v>44</v>
      </c>
      <c r="B45" s="8" t="s">
        <v>11</v>
      </c>
      <c r="C45" s="15" t="s">
        <v>78</v>
      </c>
      <c r="D45" s="15" t="s">
        <v>193</v>
      </c>
      <c r="E45" s="15" t="s">
        <v>279</v>
      </c>
      <c r="F45" s="8"/>
      <c r="G45" s="8"/>
      <c r="H45" s="8" t="s">
        <v>418</v>
      </c>
      <c r="I45" s="8">
        <v>2</v>
      </c>
      <c r="J45" s="8"/>
      <c r="K45" s="8" t="s">
        <v>503</v>
      </c>
      <c r="L45" s="21">
        <f t="shared" si="1"/>
        <v>1000</v>
      </c>
    </row>
    <row r="46" spans="1:12" ht="15.75" customHeight="1" x14ac:dyDescent="0.25">
      <c r="A46" s="7">
        <f t="shared" si="0"/>
        <v>45</v>
      </c>
      <c r="B46" s="8" t="s">
        <v>5</v>
      </c>
      <c r="C46" s="15" t="s">
        <v>49</v>
      </c>
      <c r="D46" s="15" t="s">
        <v>164</v>
      </c>
      <c r="E46" s="15" t="s">
        <v>250</v>
      </c>
      <c r="F46" s="8"/>
      <c r="G46" s="8" t="s">
        <v>517</v>
      </c>
      <c r="H46" s="8" t="s">
        <v>388</v>
      </c>
      <c r="I46" s="8">
        <v>3</v>
      </c>
      <c r="J46" s="8"/>
      <c r="K46" s="8" t="s">
        <v>503</v>
      </c>
      <c r="L46" s="21">
        <f t="shared" si="1"/>
        <v>1500</v>
      </c>
    </row>
    <row r="47" spans="1:12" ht="15.75" customHeight="1" x14ac:dyDescent="0.25">
      <c r="A47" s="7">
        <f t="shared" ref="A47:A52" si="2">ROW(A47)-ROW($A$1)</f>
        <v>46</v>
      </c>
      <c r="B47" s="8" t="s">
        <v>11</v>
      </c>
      <c r="C47" s="15" t="s">
        <v>534</v>
      </c>
      <c r="D47" s="15" t="s">
        <v>536</v>
      </c>
      <c r="E47" s="15" t="s">
        <v>535</v>
      </c>
      <c r="F47" s="8"/>
      <c r="G47" s="8"/>
      <c r="H47" s="8" t="s">
        <v>537</v>
      </c>
      <c r="I47" s="8">
        <v>1</v>
      </c>
      <c r="J47" s="8"/>
      <c r="K47" s="8" t="s">
        <v>503</v>
      </c>
      <c r="L47" s="21">
        <f t="shared" si="1"/>
        <v>500</v>
      </c>
    </row>
    <row r="48" spans="1:12" ht="15.75" customHeight="1" x14ac:dyDescent="0.25">
      <c r="A48" s="7">
        <f t="shared" si="2"/>
        <v>47</v>
      </c>
      <c r="B48" s="8" t="s">
        <v>5</v>
      </c>
      <c r="C48" s="15" t="s">
        <v>27</v>
      </c>
      <c r="D48" s="15" t="s">
        <v>160</v>
      </c>
      <c r="E48" s="15" t="s">
        <v>228</v>
      </c>
      <c r="F48" s="8"/>
      <c r="G48" s="8"/>
      <c r="H48" s="8" t="s">
        <v>365</v>
      </c>
      <c r="I48" s="8">
        <v>4</v>
      </c>
      <c r="J48" s="8"/>
      <c r="K48" s="8" t="s">
        <v>503</v>
      </c>
      <c r="L48" s="21">
        <f t="shared" si="1"/>
        <v>2000</v>
      </c>
    </row>
    <row r="49" spans="1:12" ht="15.75" customHeight="1" x14ac:dyDescent="0.25">
      <c r="A49" s="7">
        <f t="shared" si="2"/>
        <v>48</v>
      </c>
      <c r="B49" s="9" t="s">
        <v>6</v>
      </c>
      <c r="C49" s="16" t="s">
        <v>526</v>
      </c>
      <c r="D49" s="16" t="s">
        <v>525</v>
      </c>
      <c r="E49" s="16" t="s">
        <v>524</v>
      </c>
      <c r="F49" s="8"/>
      <c r="G49" s="8"/>
      <c r="H49" s="10"/>
      <c r="I49" s="9">
        <v>1</v>
      </c>
      <c r="J49" s="9"/>
      <c r="K49" s="9" t="s">
        <v>503</v>
      </c>
      <c r="L49" s="21">
        <f t="shared" si="1"/>
        <v>500</v>
      </c>
    </row>
    <row r="50" spans="1:12" ht="15.75" customHeight="1" x14ac:dyDescent="0.25">
      <c r="A50" s="7">
        <f t="shared" si="2"/>
        <v>49</v>
      </c>
      <c r="B50" s="8" t="s">
        <v>8</v>
      </c>
      <c r="C50" s="15" t="s">
        <v>61</v>
      </c>
      <c r="D50" s="15" t="s">
        <v>180</v>
      </c>
      <c r="E50" s="15" t="s">
        <v>262</v>
      </c>
      <c r="F50" s="8"/>
      <c r="G50" s="8"/>
      <c r="H50" s="8" t="s">
        <v>400</v>
      </c>
      <c r="I50" s="8">
        <v>4</v>
      </c>
      <c r="J50" s="8"/>
      <c r="K50" s="8" t="s">
        <v>503</v>
      </c>
      <c r="L50" s="21">
        <f t="shared" si="1"/>
        <v>2000</v>
      </c>
    </row>
    <row r="51" spans="1:12" ht="15.75" customHeight="1" x14ac:dyDescent="0.25">
      <c r="A51" s="7">
        <f t="shared" si="2"/>
        <v>50</v>
      </c>
      <c r="B51" s="8" t="s">
        <v>11</v>
      </c>
      <c r="C51" s="15" t="s">
        <v>83</v>
      </c>
      <c r="D51" s="15" t="s">
        <v>178</v>
      </c>
      <c r="E51" s="15" t="s">
        <v>284</v>
      </c>
      <c r="F51" s="8"/>
      <c r="G51" s="8"/>
      <c r="H51" s="8" t="s">
        <v>423</v>
      </c>
      <c r="I51" s="8">
        <v>2</v>
      </c>
      <c r="J51" s="8"/>
      <c r="K51" s="8" t="s">
        <v>503</v>
      </c>
      <c r="L51" s="21">
        <f t="shared" si="1"/>
        <v>1000</v>
      </c>
    </row>
    <row r="52" spans="1:12" ht="15.75" customHeight="1" x14ac:dyDescent="0.25">
      <c r="A52" s="7">
        <f t="shared" si="2"/>
        <v>51</v>
      </c>
      <c r="B52" s="8" t="s">
        <v>5</v>
      </c>
      <c r="C52" s="15" t="s">
        <v>40</v>
      </c>
      <c r="D52" s="15" t="s">
        <v>164</v>
      </c>
      <c r="E52" s="15" t="s">
        <v>241</v>
      </c>
      <c r="F52" s="8"/>
      <c r="G52" s="8" t="s">
        <v>512</v>
      </c>
      <c r="H52" s="8" t="s">
        <v>378</v>
      </c>
      <c r="I52" s="8">
        <v>8</v>
      </c>
      <c r="J52" s="8"/>
      <c r="K52" s="8" t="s">
        <v>503</v>
      </c>
      <c r="L52" s="21">
        <f t="shared" si="1"/>
        <v>4000</v>
      </c>
    </row>
    <row r="53" spans="1:12" ht="15.75" customHeight="1" x14ac:dyDescent="0.25">
      <c r="A53" s="7">
        <f t="shared" ref="A53:A92" si="3">ROW(A53)-ROW($A$1)</f>
        <v>52</v>
      </c>
      <c r="B53" s="8" t="s">
        <v>9</v>
      </c>
      <c r="C53" s="15" t="s">
        <v>72</v>
      </c>
      <c r="D53" s="15" t="s">
        <v>188</v>
      </c>
      <c r="E53" s="15" t="s">
        <v>273</v>
      </c>
      <c r="F53" s="8"/>
      <c r="G53" s="8"/>
      <c r="H53" s="8" t="s">
        <v>412</v>
      </c>
      <c r="I53" s="8">
        <v>5</v>
      </c>
      <c r="J53" s="8"/>
      <c r="K53" s="8" t="s">
        <v>503</v>
      </c>
      <c r="L53" s="21">
        <f t="shared" si="1"/>
        <v>2500</v>
      </c>
    </row>
    <row r="54" spans="1:12" ht="15.75" customHeight="1" x14ac:dyDescent="0.25">
      <c r="A54" s="7">
        <f t="shared" si="3"/>
        <v>53</v>
      </c>
      <c r="B54" s="8" t="s">
        <v>12</v>
      </c>
      <c r="C54" s="15" t="s">
        <v>87</v>
      </c>
      <c r="D54" s="15" t="s">
        <v>198</v>
      </c>
      <c r="E54" s="15" t="s">
        <v>288</v>
      </c>
      <c r="F54" s="8"/>
      <c r="G54" s="8"/>
      <c r="H54" s="8" t="s">
        <v>427</v>
      </c>
      <c r="I54" s="8">
        <v>1</v>
      </c>
      <c r="J54" s="8"/>
      <c r="K54" s="8" t="s">
        <v>503</v>
      </c>
      <c r="L54" s="21">
        <f t="shared" si="1"/>
        <v>500</v>
      </c>
    </row>
    <row r="55" spans="1:12" ht="15.75" customHeight="1" x14ac:dyDescent="0.25">
      <c r="A55" s="7">
        <f t="shared" si="3"/>
        <v>54</v>
      </c>
      <c r="B55" s="8" t="s">
        <v>11</v>
      </c>
      <c r="C55" s="15" t="s">
        <v>82</v>
      </c>
      <c r="D55" s="15" t="s">
        <v>181</v>
      </c>
      <c r="E55" s="15" t="s">
        <v>283</v>
      </c>
      <c r="F55" s="8"/>
      <c r="G55" s="8"/>
      <c r="H55" s="8" t="s">
        <v>422</v>
      </c>
      <c r="I55" s="8">
        <v>2</v>
      </c>
      <c r="J55" s="8"/>
      <c r="K55" s="8" t="s">
        <v>503</v>
      </c>
      <c r="L55" s="21">
        <f t="shared" si="1"/>
        <v>1000</v>
      </c>
    </row>
    <row r="56" spans="1:12" ht="15.75" customHeight="1" x14ac:dyDescent="0.25">
      <c r="A56" s="7">
        <f t="shared" si="3"/>
        <v>55</v>
      </c>
      <c r="B56" s="8" t="s">
        <v>5</v>
      </c>
      <c r="C56" s="15" t="s">
        <v>25</v>
      </c>
      <c r="D56" s="15" t="s">
        <v>160</v>
      </c>
      <c r="E56" s="15" t="s">
        <v>226</v>
      </c>
      <c r="F56" s="8"/>
      <c r="G56" s="8"/>
      <c r="H56" s="8" t="s">
        <v>363</v>
      </c>
      <c r="I56" s="8">
        <v>2</v>
      </c>
      <c r="J56" s="8"/>
      <c r="K56" s="8" t="s">
        <v>503</v>
      </c>
      <c r="L56" s="21">
        <f t="shared" si="1"/>
        <v>1000</v>
      </c>
    </row>
    <row r="57" spans="1:12" ht="15.75" customHeight="1" x14ac:dyDescent="0.25">
      <c r="A57" s="7">
        <f t="shared" si="3"/>
        <v>56</v>
      </c>
      <c r="B57" s="8" t="s">
        <v>7</v>
      </c>
      <c r="C57" s="15" t="s">
        <v>57</v>
      </c>
      <c r="D57" s="15" t="s">
        <v>176</v>
      </c>
      <c r="E57" s="15" t="s">
        <v>258</v>
      </c>
      <c r="F57" s="8"/>
      <c r="G57" s="8"/>
      <c r="H57" s="8" t="s">
        <v>396</v>
      </c>
      <c r="I57" s="8">
        <v>1</v>
      </c>
      <c r="J57" s="8"/>
      <c r="K57" s="8" t="s">
        <v>503</v>
      </c>
      <c r="L57" s="21">
        <f t="shared" si="1"/>
        <v>500</v>
      </c>
    </row>
    <row r="58" spans="1:12" ht="15.75" customHeight="1" x14ac:dyDescent="0.25">
      <c r="A58" s="7">
        <f t="shared" si="3"/>
        <v>57</v>
      </c>
      <c r="B58" s="8" t="s">
        <v>11</v>
      </c>
      <c r="C58" s="15" t="s">
        <v>86</v>
      </c>
      <c r="D58" s="15" t="s">
        <v>194</v>
      </c>
      <c r="E58" s="15" t="s">
        <v>287</v>
      </c>
      <c r="F58" s="8"/>
      <c r="G58" s="8"/>
      <c r="H58" s="8" t="s">
        <v>426</v>
      </c>
      <c r="I58" s="8">
        <v>1</v>
      </c>
      <c r="J58" s="8"/>
      <c r="K58" s="8" t="s">
        <v>503</v>
      </c>
      <c r="L58" s="21">
        <f t="shared" si="1"/>
        <v>500</v>
      </c>
    </row>
    <row r="59" spans="1:12" ht="15.75" customHeight="1" x14ac:dyDescent="0.25">
      <c r="A59" s="7">
        <f t="shared" si="3"/>
        <v>58</v>
      </c>
      <c r="B59" s="8" t="s">
        <v>5</v>
      </c>
      <c r="C59" s="15" t="s">
        <v>31</v>
      </c>
      <c r="D59" s="15" t="s">
        <v>163</v>
      </c>
      <c r="E59" s="15" t="s">
        <v>232</v>
      </c>
      <c r="F59" s="8"/>
      <c r="G59" s="8"/>
      <c r="H59" s="8" t="s">
        <v>369</v>
      </c>
      <c r="I59" s="8">
        <v>1</v>
      </c>
      <c r="J59" s="8"/>
      <c r="K59" s="8" t="s">
        <v>503</v>
      </c>
      <c r="L59" s="21">
        <f t="shared" si="1"/>
        <v>500</v>
      </c>
    </row>
    <row r="60" spans="1:12" ht="15.75" customHeight="1" x14ac:dyDescent="0.25">
      <c r="A60" s="7">
        <f t="shared" si="3"/>
        <v>59</v>
      </c>
      <c r="B60" s="8" t="s">
        <v>17</v>
      </c>
      <c r="C60" s="15" t="s">
        <v>147</v>
      </c>
      <c r="D60" s="15" t="s">
        <v>211</v>
      </c>
      <c r="E60" s="15" t="s">
        <v>347</v>
      </c>
      <c r="F60" s="8"/>
      <c r="G60" s="8"/>
      <c r="H60" s="8" t="s">
        <v>487</v>
      </c>
      <c r="I60" s="8">
        <v>3</v>
      </c>
      <c r="J60" s="8"/>
      <c r="K60" s="8" t="s">
        <v>503</v>
      </c>
      <c r="L60" s="21">
        <f t="shared" si="1"/>
        <v>1500</v>
      </c>
    </row>
    <row r="61" spans="1:12" ht="15.75" customHeight="1" x14ac:dyDescent="0.25">
      <c r="A61" s="7">
        <f t="shared" si="3"/>
        <v>60</v>
      </c>
      <c r="B61" s="8" t="s">
        <v>10</v>
      </c>
      <c r="C61" s="15" t="s">
        <v>76</v>
      </c>
      <c r="D61" s="15" t="s">
        <v>191</v>
      </c>
      <c r="E61" s="15" t="s">
        <v>277</v>
      </c>
      <c r="F61" s="8"/>
      <c r="G61" s="8"/>
      <c r="H61" s="8" t="s">
        <v>416</v>
      </c>
      <c r="I61" s="8">
        <v>1</v>
      </c>
      <c r="J61" s="8"/>
      <c r="K61" s="8" t="s">
        <v>503</v>
      </c>
      <c r="L61" s="21">
        <f t="shared" si="1"/>
        <v>500</v>
      </c>
    </row>
    <row r="62" spans="1:12" ht="15.75" customHeight="1" x14ac:dyDescent="0.25">
      <c r="A62" s="7">
        <f t="shared" si="3"/>
        <v>61</v>
      </c>
      <c r="B62" s="8" t="s">
        <v>12</v>
      </c>
      <c r="C62" s="15" t="s">
        <v>94</v>
      </c>
      <c r="D62" s="15" t="s">
        <v>203</v>
      </c>
      <c r="E62" s="15" t="s">
        <v>295</v>
      </c>
      <c r="F62" s="8"/>
      <c r="G62" s="8"/>
      <c r="H62" s="8" t="s">
        <v>434</v>
      </c>
      <c r="I62" s="8">
        <v>1</v>
      </c>
      <c r="J62" s="8"/>
      <c r="K62" s="8" t="s">
        <v>503</v>
      </c>
      <c r="L62" s="21">
        <f t="shared" si="1"/>
        <v>500</v>
      </c>
    </row>
    <row r="63" spans="1:12" ht="15.75" customHeight="1" x14ac:dyDescent="0.25">
      <c r="A63" s="7">
        <f t="shared" si="3"/>
        <v>62</v>
      </c>
      <c r="B63" s="12" t="s">
        <v>5</v>
      </c>
      <c r="C63" s="17" t="s">
        <v>23</v>
      </c>
      <c r="D63" s="17" t="s">
        <v>161</v>
      </c>
      <c r="E63" s="17" t="s">
        <v>224</v>
      </c>
      <c r="F63" s="12"/>
      <c r="G63" s="12"/>
      <c r="H63" s="12" t="s">
        <v>361</v>
      </c>
      <c r="I63" s="12">
        <v>1</v>
      </c>
      <c r="J63" s="12"/>
      <c r="K63" s="12" t="s">
        <v>503</v>
      </c>
      <c r="L63" s="21">
        <f t="shared" si="1"/>
        <v>500</v>
      </c>
    </row>
    <row r="64" spans="1:12" ht="15.75" customHeight="1" x14ac:dyDescent="0.25">
      <c r="A64" s="7">
        <f t="shared" si="3"/>
        <v>63</v>
      </c>
      <c r="B64" s="8" t="s">
        <v>18</v>
      </c>
      <c r="C64" s="15" t="s">
        <v>158</v>
      </c>
      <c r="D64" s="15" t="s">
        <v>221</v>
      </c>
      <c r="E64" s="15" t="s">
        <v>358</v>
      </c>
      <c r="F64" s="8"/>
      <c r="G64" s="8"/>
      <c r="H64" s="8" t="s">
        <v>499</v>
      </c>
      <c r="I64" s="8">
        <v>1</v>
      </c>
      <c r="J64" s="8"/>
      <c r="K64" s="8" t="s">
        <v>504</v>
      </c>
      <c r="L64" s="21">
        <f t="shared" si="1"/>
        <v>500</v>
      </c>
    </row>
    <row r="65" spans="1:12" ht="15.75" customHeight="1" x14ac:dyDescent="0.25">
      <c r="A65" s="7">
        <f t="shared" si="3"/>
        <v>64</v>
      </c>
      <c r="B65" s="8" t="s">
        <v>12</v>
      </c>
      <c r="C65" s="15" t="s">
        <v>89</v>
      </c>
      <c r="D65" s="15" t="s">
        <v>200</v>
      </c>
      <c r="E65" s="15" t="s">
        <v>290</v>
      </c>
      <c r="F65" s="8"/>
      <c r="G65" s="8"/>
      <c r="H65" s="8" t="s">
        <v>429</v>
      </c>
      <c r="I65" s="8">
        <v>2</v>
      </c>
      <c r="J65" s="8"/>
      <c r="K65" s="8" t="s">
        <v>503</v>
      </c>
      <c r="L65" s="21">
        <f t="shared" si="1"/>
        <v>1000</v>
      </c>
    </row>
    <row r="66" spans="1:12" ht="15.75" customHeight="1" x14ac:dyDescent="0.25">
      <c r="A66" s="7">
        <f t="shared" si="3"/>
        <v>65</v>
      </c>
      <c r="B66" s="8" t="s">
        <v>8</v>
      </c>
      <c r="C66" s="15" t="s">
        <v>69</v>
      </c>
      <c r="D66" s="15" t="s">
        <v>187</v>
      </c>
      <c r="E66" s="15" t="s">
        <v>270</v>
      </c>
      <c r="F66" s="8"/>
      <c r="G66" s="8"/>
      <c r="H66" s="8" t="s">
        <v>409</v>
      </c>
      <c r="I66" s="8">
        <v>1</v>
      </c>
      <c r="J66" s="8"/>
      <c r="K66" s="8" t="s">
        <v>503</v>
      </c>
      <c r="L66" s="21">
        <f t="shared" si="1"/>
        <v>500</v>
      </c>
    </row>
    <row r="67" spans="1:12" ht="15.75" customHeight="1" x14ac:dyDescent="0.25">
      <c r="A67" s="7">
        <f t="shared" si="3"/>
        <v>66</v>
      </c>
      <c r="B67" s="8" t="s">
        <v>9</v>
      </c>
      <c r="C67" s="15" t="s">
        <v>75</v>
      </c>
      <c r="D67" s="15" t="s">
        <v>190</v>
      </c>
      <c r="E67" s="15" t="s">
        <v>276</v>
      </c>
      <c r="F67" s="8"/>
      <c r="G67" s="8"/>
      <c r="H67" s="8" t="s">
        <v>415</v>
      </c>
      <c r="I67" s="8">
        <v>2</v>
      </c>
      <c r="J67" s="8"/>
      <c r="K67" s="8" t="s">
        <v>503</v>
      </c>
      <c r="L67" s="21">
        <f t="shared" ref="L67:L130" si="4">$M$1*I67</f>
        <v>1000</v>
      </c>
    </row>
    <row r="68" spans="1:12" ht="15.75" customHeight="1" x14ac:dyDescent="0.25">
      <c r="A68" s="7">
        <f t="shared" si="3"/>
        <v>67</v>
      </c>
      <c r="B68" s="8" t="s">
        <v>18</v>
      </c>
      <c r="C68" s="15" t="s">
        <v>148</v>
      </c>
      <c r="D68" s="15" t="s">
        <v>212</v>
      </c>
      <c r="E68" s="15" t="s">
        <v>348</v>
      </c>
      <c r="F68" s="8"/>
      <c r="G68" s="8"/>
      <c r="H68" s="8" t="s">
        <v>488</v>
      </c>
      <c r="I68" s="8">
        <v>1</v>
      </c>
      <c r="J68" s="8"/>
      <c r="K68" s="8" t="s">
        <v>503</v>
      </c>
      <c r="L68" s="21">
        <f t="shared" si="4"/>
        <v>500</v>
      </c>
    </row>
    <row r="69" spans="1:12" ht="15.75" customHeight="1" x14ac:dyDescent="0.25">
      <c r="A69" s="7">
        <f t="shared" si="3"/>
        <v>68</v>
      </c>
      <c r="B69" s="8" t="s">
        <v>5</v>
      </c>
      <c r="C69" s="15" t="s">
        <v>29</v>
      </c>
      <c r="D69" s="15" t="s">
        <v>164</v>
      </c>
      <c r="E69" s="15" t="s">
        <v>230</v>
      </c>
      <c r="F69" s="8"/>
      <c r="G69" s="8" t="s">
        <v>511</v>
      </c>
      <c r="H69" s="8" t="s">
        <v>367</v>
      </c>
      <c r="I69" s="8">
        <v>8</v>
      </c>
      <c r="J69" s="8"/>
      <c r="K69" s="8" t="s">
        <v>503</v>
      </c>
      <c r="L69" s="21">
        <f t="shared" si="4"/>
        <v>4000</v>
      </c>
    </row>
    <row r="70" spans="1:12" ht="15.75" customHeight="1" x14ac:dyDescent="0.25">
      <c r="A70" s="7">
        <f t="shared" si="3"/>
        <v>69</v>
      </c>
      <c r="B70" s="8" t="s">
        <v>12</v>
      </c>
      <c r="C70" s="15" t="s">
        <v>92</v>
      </c>
      <c r="D70" s="15" t="s">
        <v>202</v>
      </c>
      <c r="E70" s="15" t="s">
        <v>293</v>
      </c>
      <c r="F70" s="8"/>
      <c r="G70" s="8"/>
      <c r="H70" s="8" t="s">
        <v>432</v>
      </c>
      <c r="I70" s="8">
        <v>1</v>
      </c>
      <c r="J70" s="8"/>
      <c r="K70" s="8" t="s">
        <v>503</v>
      </c>
      <c r="L70" s="21">
        <f t="shared" si="4"/>
        <v>500</v>
      </c>
    </row>
    <row r="71" spans="1:12" ht="15.75" customHeight="1" x14ac:dyDescent="0.25">
      <c r="A71" s="7">
        <f t="shared" si="3"/>
        <v>70</v>
      </c>
      <c r="B71" s="8" t="s">
        <v>13</v>
      </c>
      <c r="C71" s="15" t="s">
        <v>97</v>
      </c>
      <c r="D71" s="15" t="s">
        <v>204</v>
      </c>
      <c r="E71" s="15" t="s">
        <v>298</v>
      </c>
      <c r="F71" s="8"/>
      <c r="G71" s="8"/>
      <c r="H71" s="8" t="s">
        <v>437</v>
      </c>
      <c r="I71" s="8">
        <v>5</v>
      </c>
      <c r="J71" s="8"/>
      <c r="K71" s="8" t="s">
        <v>503</v>
      </c>
      <c r="L71" s="21">
        <f t="shared" si="4"/>
        <v>2500</v>
      </c>
    </row>
    <row r="72" spans="1:12" ht="15.75" customHeight="1" x14ac:dyDescent="0.25">
      <c r="A72" s="7">
        <f t="shared" si="3"/>
        <v>71</v>
      </c>
      <c r="B72" s="8" t="s">
        <v>8</v>
      </c>
      <c r="C72" s="15" t="s">
        <v>60</v>
      </c>
      <c r="D72" s="15" t="s">
        <v>179</v>
      </c>
      <c r="E72" s="15" t="s">
        <v>261</v>
      </c>
      <c r="F72" s="8"/>
      <c r="G72" s="8"/>
      <c r="H72" s="8" t="s">
        <v>399</v>
      </c>
      <c r="I72" s="8">
        <v>2</v>
      </c>
      <c r="J72" s="8"/>
      <c r="K72" s="8" t="s">
        <v>503</v>
      </c>
      <c r="L72" s="21">
        <f t="shared" si="4"/>
        <v>1000</v>
      </c>
    </row>
    <row r="73" spans="1:12" ht="15.75" customHeight="1" x14ac:dyDescent="0.25">
      <c r="A73" s="7">
        <f t="shared" si="3"/>
        <v>72</v>
      </c>
      <c r="B73" s="8" t="s">
        <v>8</v>
      </c>
      <c r="C73" s="15" t="s">
        <v>67</v>
      </c>
      <c r="D73" s="15" t="s">
        <v>186</v>
      </c>
      <c r="E73" s="15" t="s">
        <v>268</v>
      </c>
      <c r="F73" s="8"/>
      <c r="G73" s="8"/>
      <c r="H73" s="8" t="s">
        <v>407</v>
      </c>
      <c r="I73" s="8">
        <v>1</v>
      </c>
      <c r="J73" s="8"/>
      <c r="K73" s="8" t="s">
        <v>503</v>
      </c>
      <c r="L73" s="21">
        <f t="shared" si="4"/>
        <v>500</v>
      </c>
    </row>
    <row r="74" spans="1:12" ht="15.75" customHeight="1" x14ac:dyDescent="0.25">
      <c r="A74" s="7">
        <f t="shared" si="3"/>
        <v>73</v>
      </c>
      <c r="B74" s="8" t="s">
        <v>19</v>
      </c>
      <c r="C74" s="15" t="s">
        <v>149</v>
      </c>
      <c r="D74" s="15" t="s">
        <v>213</v>
      </c>
      <c r="E74" s="15" t="s">
        <v>349</v>
      </c>
      <c r="F74" s="8"/>
      <c r="G74" s="8" t="s">
        <v>523</v>
      </c>
      <c r="H74" s="8" t="s">
        <v>489</v>
      </c>
      <c r="I74" s="8">
        <v>6</v>
      </c>
      <c r="J74" s="8"/>
      <c r="K74" s="8" t="s">
        <v>503</v>
      </c>
      <c r="L74" s="21">
        <f t="shared" si="4"/>
        <v>3000</v>
      </c>
    </row>
    <row r="75" spans="1:12" ht="15.75" customHeight="1" x14ac:dyDescent="0.25">
      <c r="A75" s="7">
        <f t="shared" si="3"/>
        <v>74</v>
      </c>
      <c r="B75" s="8" t="s">
        <v>5</v>
      </c>
      <c r="C75" s="15" t="s">
        <v>50</v>
      </c>
      <c r="D75" s="15" t="s">
        <v>160</v>
      </c>
      <c r="E75" s="15" t="s">
        <v>251</v>
      </c>
      <c r="F75" s="8"/>
      <c r="G75" s="8"/>
      <c r="H75" s="8" t="s">
        <v>389</v>
      </c>
      <c r="I75" s="8">
        <v>1</v>
      </c>
      <c r="J75" s="8"/>
      <c r="K75" s="8" t="s">
        <v>503</v>
      </c>
      <c r="L75" s="21">
        <f t="shared" si="4"/>
        <v>500</v>
      </c>
    </row>
    <row r="76" spans="1:12" ht="15.75" customHeight="1" x14ac:dyDescent="0.25">
      <c r="A76" s="7">
        <f t="shared" si="3"/>
        <v>75</v>
      </c>
      <c r="B76" s="8" t="s">
        <v>5</v>
      </c>
      <c r="C76" s="15" t="s">
        <v>32</v>
      </c>
      <c r="D76" s="15" t="s">
        <v>165</v>
      </c>
      <c r="E76" s="15" t="s">
        <v>233</v>
      </c>
      <c r="F76" s="8"/>
      <c r="G76" s="8"/>
      <c r="H76" s="8" t="s">
        <v>370</v>
      </c>
      <c r="I76" s="8">
        <v>1</v>
      </c>
      <c r="J76" s="8"/>
      <c r="K76" s="8" t="s">
        <v>503</v>
      </c>
      <c r="L76" s="21">
        <f t="shared" si="4"/>
        <v>500</v>
      </c>
    </row>
    <row r="77" spans="1:12" ht="15.75" customHeight="1" x14ac:dyDescent="0.25">
      <c r="A77" s="7">
        <f t="shared" si="3"/>
        <v>76</v>
      </c>
      <c r="B77" s="8" t="s">
        <v>5</v>
      </c>
      <c r="C77" s="15" t="s">
        <v>48</v>
      </c>
      <c r="D77" s="15" t="s">
        <v>164</v>
      </c>
      <c r="E77" s="15" t="s">
        <v>249</v>
      </c>
      <c r="F77" s="8"/>
      <c r="G77" s="8" t="s">
        <v>516</v>
      </c>
      <c r="H77" s="8" t="s">
        <v>387</v>
      </c>
      <c r="I77" s="8">
        <v>1</v>
      </c>
      <c r="J77" s="8"/>
      <c r="K77" s="8" t="s">
        <v>503</v>
      </c>
      <c r="L77" s="21">
        <f t="shared" si="4"/>
        <v>500</v>
      </c>
    </row>
    <row r="78" spans="1:12" ht="15.75" customHeight="1" x14ac:dyDescent="0.25">
      <c r="A78" s="7">
        <f t="shared" si="3"/>
        <v>77</v>
      </c>
      <c r="B78" s="8" t="s">
        <v>5</v>
      </c>
      <c r="C78" s="15" t="s">
        <v>35</v>
      </c>
      <c r="D78" s="15" t="s">
        <v>162</v>
      </c>
      <c r="E78" s="15" t="s">
        <v>236</v>
      </c>
      <c r="F78" s="8"/>
      <c r="G78" s="8"/>
      <c r="H78" s="8" t="s">
        <v>373</v>
      </c>
      <c r="I78" s="8">
        <v>1</v>
      </c>
      <c r="J78" s="8"/>
      <c r="K78" s="8" t="s">
        <v>503</v>
      </c>
      <c r="L78" s="21">
        <f t="shared" si="4"/>
        <v>500</v>
      </c>
    </row>
    <row r="79" spans="1:12" ht="15.75" customHeight="1" x14ac:dyDescent="0.25">
      <c r="A79" s="7">
        <f t="shared" si="3"/>
        <v>78</v>
      </c>
      <c r="B79" s="8" t="s">
        <v>15</v>
      </c>
      <c r="C79" s="15" t="s">
        <v>103</v>
      </c>
      <c r="D79" s="15" t="s">
        <v>207</v>
      </c>
      <c r="E79" s="15" t="s">
        <v>304</v>
      </c>
      <c r="F79" s="8"/>
      <c r="G79" s="8"/>
      <c r="H79" s="8" t="s">
        <v>444</v>
      </c>
      <c r="I79" s="8">
        <v>1</v>
      </c>
      <c r="J79" s="8"/>
      <c r="K79" s="8" t="s">
        <v>503</v>
      </c>
      <c r="L79" s="21">
        <f t="shared" si="4"/>
        <v>500</v>
      </c>
    </row>
    <row r="80" spans="1:12" ht="15.75" customHeight="1" x14ac:dyDescent="0.25">
      <c r="A80" s="7">
        <f t="shared" si="3"/>
        <v>79</v>
      </c>
      <c r="B80" s="8" t="s">
        <v>15</v>
      </c>
      <c r="C80" s="15" t="s">
        <v>100</v>
      </c>
      <c r="D80" s="15" t="s">
        <v>207</v>
      </c>
      <c r="E80" s="15" t="s">
        <v>301</v>
      </c>
      <c r="F80" s="8"/>
      <c r="G80" s="8"/>
      <c r="H80" s="8" t="s">
        <v>441</v>
      </c>
      <c r="I80" s="8">
        <v>1</v>
      </c>
      <c r="J80" s="8"/>
      <c r="K80" s="8" t="s">
        <v>503</v>
      </c>
      <c r="L80" s="21">
        <f t="shared" si="4"/>
        <v>500</v>
      </c>
    </row>
    <row r="81" spans="1:12" ht="15.75" customHeight="1" x14ac:dyDescent="0.25">
      <c r="A81" s="7">
        <f t="shared" si="3"/>
        <v>80</v>
      </c>
      <c r="B81" s="8" t="s">
        <v>8</v>
      </c>
      <c r="C81" s="15" t="s">
        <v>70</v>
      </c>
      <c r="D81" s="15" t="s">
        <v>180</v>
      </c>
      <c r="E81" s="15" t="s">
        <v>271</v>
      </c>
      <c r="F81" s="8"/>
      <c r="G81" s="8"/>
      <c r="H81" s="8" t="s">
        <v>410</v>
      </c>
      <c r="I81" s="8">
        <v>1</v>
      </c>
      <c r="J81" s="8"/>
      <c r="K81" s="8" t="s">
        <v>503</v>
      </c>
      <c r="L81" s="21">
        <f t="shared" si="4"/>
        <v>500</v>
      </c>
    </row>
    <row r="82" spans="1:12" ht="15.75" customHeight="1" x14ac:dyDescent="0.25">
      <c r="A82" s="7">
        <f t="shared" si="3"/>
        <v>81</v>
      </c>
      <c r="B82" s="8" t="s">
        <v>13</v>
      </c>
      <c r="C82" s="15" t="s">
        <v>96</v>
      </c>
      <c r="D82" s="15" t="s">
        <v>204</v>
      </c>
      <c r="E82" s="15" t="s">
        <v>297</v>
      </c>
      <c r="F82" s="8"/>
      <c r="G82" s="8"/>
      <c r="H82" s="8" t="s">
        <v>436</v>
      </c>
      <c r="I82" s="8">
        <v>5</v>
      </c>
      <c r="J82" s="8"/>
      <c r="K82" s="8" t="s">
        <v>503</v>
      </c>
      <c r="L82" s="21">
        <f t="shared" si="4"/>
        <v>2500</v>
      </c>
    </row>
    <row r="83" spans="1:12" ht="15.75" customHeight="1" x14ac:dyDescent="0.25">
      <c r="A83" s="7">
        <f t="shared" si="3"/>
        <v>82</v>
      </c>
      <c r="B83" s="8" t="s">
        <v>16</v>
      </c>
      <c r="C83" s="15" t="s">
        <v>107</v>
      </c>
      <c r="D83" s="15" t="s">
        <v>162</v>
      </c>
      <c r="E83" s="15" t="s">
        <v>308</v>
      </c>
      <c r="F83" s="8"/>
      <c r="G83" s="8"/>
      <c r="H83" s="8" t="s">
        <v>448</v>
      </c>
      <c r="I83" s="8">
        <v>40</v>
      </c>
      <c r="J83" s="8"/>
      <c r="K83" s="8" t="s">
        <v>503</v>
      </c>
      <c r="L83" s="21">
        <f t="shared" si="4"/>
        <v>20000</v>
      </c>
    </row>
    <row r="84" spans="1:12" ht="15.75" customHeight="1" x14ac:dyDescent="0.25">
      <c r="A84" s="7">
        <f t="shared" si="3"/>
        <v>83</v>
      </c>
      <c r="B84" s="8" t="s">
        <v>5</v>
      </c>
      <c r="C84" s="15" t="s">
        <v>30</v>
      </c>
      <c r="D84" s="15" t="s">
        <v>163</v>
      </c>
      <c r="E84" s="15" t="s">
        <v>231</v>
      </c>
      <c r="F84" s="8"/>
      <c r="G84" s="8"/>
      <c r="H84" s="8" t="s">
        <v>368</v>
      </c>
      <c r="I84" s="8">
        <v>8</v>
      </c>
      <c r="J84" s="8"/>
      <c r="K84" s="8" t="s">
        <v>503</v>
      </c>
      <c r="L84" s="21">
        <f t="shared" si="4"/>
        <v>4000</v>
      </c>
    </row>
    <row r="85" spans="1:12" ht="15.75" customHeight="1" x14ac:dyDescent="0.25">
      <c r="A85" s="7">
        <f t="shared" si="3"/>
        <v>84</v>
      </c>
      <c r="B85" s="8" t="s">
        <v>5</v>
      </c>
      <c r="C85" s="15" t="s">
        <v>26</v>
      </c>
      <c r="D85" s="15" t="s">
        <v>162</v>
      </c>
      <c r="E85" s="15" t="s">
        <v>227</v>
      </c>
      <c r="F85" s="8"/>
      <c r="G85" s="8"/>
      <c r="H85" s="8" t="s">
        <v>364</v>
      </c>
      <c r="I85" s="8">
        <v>8</v>
      </c>
      <c r="J85" s="8"/>
      <c r="K85" s="8" t="s">
        <v>503</v>
      </c>
      <c r="L85" s="21">
        <f t="shared" si="4"/>
        <v>4000</v>
      </c>
    </row>
    <row r="86" spans="1:12" ht="15.75" customHeight="1" x14ac:dyDescent="0.25">
      <c r="A86" s="7">
        <f t="shared" si="3"/>
        <v>85</v>
      </c>
      <c r="B86" s="8" t="s">
        <v>16</v>
      </c>
      <c r="C86" s="15" t="s">
        <v>124</v>
      </c>
      <c r="D86" s="15" t="s">
        <v>162</v>
      </c>
      <c r="E86" s="15" t="s">
        <v>325</v>
      </c>
      <c r="F86" s="8"/>
      <c r="G86" s="8"/>
      <c r="H86" s="8" t="s">
        <v>465</v>
      </c>
      <c r="I86" s="8">
        <v>38</v>
      </c>
      <c r="J86" s="8"/>
      <c r="K86" s="8" t="s">
        <v>503</v>
      </c>
      <c r="L86" s="21">
        <f t="shared" si="4"/>
        <v>19000</v>
      </c>
    </row>
    <row r="87" spans="1:12" ht="15.75" customHeight="1" x14ac:dyDescent="0.25">
      <c r="A87" s="7">
        <f t="shared" si="3"/>
        <v>86</v>
      </c>
      <c r="B87" s="8" t="s">
        <v>16</v>
      </c>
      <c r="C87" s="15" t="s">
        <v>122</v>
      </c>
      <c r="D87" s="15" t="s">
        <v>162</v>
      </c>
      <c r="E87" s="15" t="s">
        <v>323</v>
      </c>
      <c r="F87" s="8"/>
      <c r="G87" s="8"/>
      <c r="H87" s="8" t="s">
        <v>463</v>
      </c>
      <c r="I87" s="8">
        <v>37</v>
      </c>
      <c r="J87" s="8"/>
      <c r="K87" s="8" t="s">
        <v>503</v>
      </c>
      <c r="L87" s="21">
        <f t="shared" si="4"/>
        <v>18500</v>
      </c>
    </row>
    <row r="88" spans="1:12" ht="15.75" customHeight="1" x14ac:dyDescent="0.25">
      <c r="A88" s="7">
        <f t="shared" si="3"/>
        <v>87</v>
      </c>
      <c r="B88" s="8" t="s">
        <v>16</v>
      </c>
      <c r="C88" s="15" t="s">
        <v>141</v>
      </c>
      <c r="D88" s="15" t="s">
        <v>209</v>
      </c>
      <c r="E88" s="15" t="s">
        <v>342</v>
      </c>
      <c r="F88" s="8"/>
      <c r="G88" s="8"/>
      <c r="H88" s="8" t="s">
        <v>482</v>
      </c>
      <c r="I88" s="8">
        <v>1</v>
      </c>
      <c r="J88" s="8"/>
      <c r="K88" s="8" t="s">
        <v>503</v>
      </c>
      <c r="L88" s="21">
        <f t="shared" si="4"/>
        <v>500</v>
      </c>
    </row>
    <row r="89" spans="1:12" ht="15.75" customHeight="1" x14ac:dyDescent="0.25">
      <c r="A89" s="7">
        <f t="shared" si="3"/>
        <v>88</v>
      </c>
      <c r="B89" s="8" t="s">
        <v>16</v>
      </c>
      <c r="C89" s="15" t="s">
        <v>120</v>
      </c>
      <c r="D89" s="15" t="s">
        <v>162</v>
      </c>
      <c r="E89" s="15" t="s">
        <v>321</v>
      </c>
      <c r="F89" s="8"/>
      <c r="G89" s="8"/>
      <c r="H89" s="8" t="s">
        <v>461</v>
      </c>
      <c r="I89" s="8">
        <v>32</v>
      </c>
      <c r="J89" s="8"/>
      <c r="K89" s="8" t="s">
        <v>503</v>
      </c>
      <c r="L89" s="21">
        <f t="shared" si="4"/>
        <v>16000</v>
      </c>
    </row>
    <row r="90" spans="1:12" ht="15.75" customHeight="1" x14ac:dyDescent="0.25">
      <c r="A90" s="7">
        <f t="shared" si="3"/>
        <v>89</v>
      </c>
      <c r="B90" s="8" t="s">
        <v>8</v>
      </c>
      <c r="C90" s="15" t="s">
        <v>68</v>
      </c>
      <c r="D90" s="15" t="s">
        <v>187</v>
      </c>
      <c r="E90" s="15" t="s">
        <v>269</v>
      </c>
      <c r="F90" s="8"/>
      <c r="G90" s="8"/>
      <c r="H90" s="8" t="s">
        <v>408</v>
      </c>
      <c r="I90" s="8">
        <v>1</v>
      </c>
      <c r="J90" s="8"/>
      <c r="K90" s="8" t="s">
        <v>503</v>
      </c>
      <c r="L90" s="21">
        <f t="shared" si="4"/>
        <v>500</v>
      </c>
    </row>
    <row r="91" spans="1:12" ht="15.75" customHeight="1" x14ac:dyDescent="0.25">
      <c r="A91" s="7">
        <f t="shared" si="3"/>
        <v>90</v>
      </c>
      <c r="B91" s="8" t="s">
        <v>5</v>
      </c>
      <c r="C91" s="15" t="s">
        <v>24</v>
      </c>
      <c r="D91" s="15" t="s">
        <v>162</v>
      </c>
      <c r="E91" s="15" t="s">
        <v>225</v>
      </c>
      <c r="F91" s="8"/>
      <c r="G91" s="8"/>
      <c r="H91" s="8" t="s">
        <v>362</v>
      </c>
      <c r="I91" s="8">
        <v>1</v>
      </c>
      <c r="J91" s="8"/>
      <c r="K91" s="8" t="s">
        <v>503</v>
      </c>
      <c r="L91" s="21">
        <f t="shared" si="4"/>
        <v>500</v>
      </c>
    </row>
    <row r="92" spans="1:12" ht="15.75" customHeight="1" x14ac:dyDescent="0.25">
      <c r="A92" s="7">
        <f t="shared" si="3"/>
        <v>91</v>
      </c>
      <c r="B92" s="8" t="s">
        <v>5</v>
      </c>
      <c r="C92" s="15" t="s">
        <v>45</v>
      </c>
      <c r="D92" s="15" t="s">
        <v>162</v>
      </c>
      <c r="E92" s="15" t="s">
        <v>246</v>
      </c>
      <c r="F92" s="8"/>
      <c r="G92" s="8"/>
      <c r="H92" s="8" t="s">
        <v>383</v>
      </c>
      <c r="I92" s="8">
        <v>5</v>
      </c>
      <c r="J92" s="8"/>
      <c r="K92" s="8" t="s">
        <v>503</v>
      </c>
      <c r="L92" s="21">
        <f t="shared" si="4"/>
        <v>2500</v>
      </c>
    </row>
    <row r="93" spans="1:12" ht="15.75" customHeight="1" x14ac:dyDescent="0.25">
      <c r="A93" s="7">
        <f t="shared" ref="A93:A98" si="5">ROW(A93)-ROW($A$1)</f>
        <v>92</v>
      </c>
      <c r="B93" s="8" t="s">
        <v>6</v>
      </c>
      <c r="C93" s="15" t="s">
        <v>543</v>
      </c>
      <c r="D93" s="15" t="s">
        <v>542</v>
      </c>
      <c r="E93" s="15" t="s">
        <v>541</v>
      </c>
      <c r="F93" s="8"/>
      <c r="G93" s="8"/>
      <c r="H93" s="8" t="s">
        <v>544</v>
      </c>
      <c r="I93" s="8">
        <v>1</v>
      </c>
      <c r="J93" s="8"/>
      <c r="K93" s="8" t="s">
        <v>504</v>
      </c>
      <c r="L93" s="21">
        <f t="shared" si="4"/>
        <v>500</v>
      </c>
    </row>
    <row r="94" spans="1:12" ht="15.75" customHeight="1" x14ac:dyDescent="0.25">
      <c r="A94" s="7">
        <f t="shared" si="5"/>
        <v>93</v>
      </c>
      <c r="B94" s="8" t="s">
        <v>8</v>
      </c>
      <c r="C94" s="15" t="s">
        <v>64</v>
      </c>
      <c r="D94" s="15" t="s">
        <v>164</v>
      </c>
      <c r="E94" s="15" t="s">
        <v>265</v>
      </c>
      <c r="F94" s="8"/>
      <c r="G94" s="8"/>
      <c r="H94" s="8" t="s">
        <v>404</v>
      </c>
      <c r="I94" s="8">
        <v>2</v>
      </c>
      <c r="J94" s="8"/>
      <c r="K94" s="8" t="s">
        <v>503</v>
      </c>
      <c r="L94" s="21">
        <f t="shared" si="4"/>
        <v>1000</v>
      </c>
    </row>
    <row r="95" spans="1:12" ht="15.75" customHeight="1" x14ac:dyDescent="0.25">
      <c r="A95" s="7">
        <f t="shared" si="5"/>
        <v>94</v>
      </c>
      <c r="B95" s="8" t="s">
        <v>8</v>
      </c>
      <c r="C95" s="15" t="s">
        <v>63</v>
      </c>
      <c r="D95" s="15" t="s">
        <v>183</v>
      </c>
      <c r="E95" s="15" t="s">
        <v>264</v>
      </c>
      <c r="F95" s="8"/>
      <c r="G95" s="8"/>
      <c r="H95" s="8" t="s">
        <v>403</v>
      </c>
      <c r="I95" s="8">
        <v>2</v>
      </c>
      <c r="J95" s="8"/>
      <c r="K95" s="8" t="s">
        <v>503</v>
      </c>
      <c r="L95" s="21">
        <f t="shared" si="4"/>
        <v>1000</v>
      </c>
    </row>
    <row r="96" spans="1:12" ht="15.75" customHeight="1" x14ac:dyDescent="0.25">
      <c r="A96" s="7">
        <f t="shared" si="5"/>
        <v>95</v>
      </c>
      <c r="B96" s="8" t="s">
        <v>5</v>
      </c>
      <c r="C96" s="15" t="s">
        <v>527</v>
      </c>
      <c r="D96" s="15" t="s">
        <v>162</v>
      </c>
      <c r="E96" s="15" t="s">
        <v>515</v>
      </c>
      <c r="F96" s="8"/>
      <c r="G96" s="8"/>
      <c r="H96" s="8" t="s">
        <v>385</v>
      </c>
      <c r="I96" s="8">
        <v>10</v>
      </c>
      <c r="J96" s="8"/>
      <c r="K96" s="8" t="s">
        <v>503</v>
      </c>
      <c r="L96" s="21">
        <f t="shared" si="4"/>
        <v>5000</v>
      </c>
    </row>
    <row r="97" spans="1:12" ht="15.75" customHeight="1" x14ac:dyDescent="0.25">
      <c r="A97" s="7">
        <f t="shared" si="5"/>
        <v>96</v>
      </c>
      <c r="B97" s="8" t="s">
        <v>8</v>
      </c>
      <c r="C97" s="15" t="s">
        <v>62</v>
      </c>
      <c r="D97" s="15" t="s">
        <v>182</v>
      </c>
      <c r="E97" s="15" t="s">
        <v>263</v>
      </c>
      <c r="F97" s="8"/>
      <c r="G97" s="8"/>
      <c r="H97" s="8" t="s">
        <v>402</v>
      </c>
      <c r="I97" s="8">
        <v>1</v>
      </c>
      <c r="J97" s="8"/>
      <c r="K97" s="8" t="s">
        <v>503</v>
      </c>
      <c r="L97" s="21">
        <f t="shared" si="4"/>
        <v>500</v>
      </c>
    </row>
    <row r="98" spans="1:12" ht="15.75" customHeight="1" x14ac:dyDescent="0.25">
      <c r="A98" s="7">
        <f t="shared" si="5"/>
        <v>97</v>
      </c>
      <c r="B98" s="8" t="s">
        <v>12</v>
      </c>
      <c r="C98" s="15" t="s">
        <v>91</v>
      </c>
      <c r="D98" s="15" t="s">
        <v>202</v>
      </c>
      <c r="E98" s="15" t="s">
        <v>292</v>
      </c>
      <c r="F98" s="8"/>
      <c r="G98" s="8"/>
      <c r="H98" s="8" t="s">
        <v>431</v>
      </c>
      <c r="I98" s="8">
        <v>1</v>
      </c>
      <c r="J98" s="8"/>
      <c r="K98" s="8" t="s">
        <v>503</v>
      </c>
      <c r="L98" s="21">
        <f t="shared" si="4"/>
        <v>500</v>
      </c>
    </row>
    <row r="99" spans="1:12" ht="15.75" customHeight="1" x14ac:dyDescent="0.25">
      <c r="A99" s="7">
        <f t="shared" ref="A99:A134" si="6">ROW(A99)-ROW($A$1)</f>
        <v>98</v>
      </c>
      <c r="B99" s="8" t="s">
        <v>6</v>
      </c>
      <c r="C99" s="15" t="s">
        <v>155</v>
      </c>
      <c r="D99" s="15" t="s">
        <v>219</v>
      </c>
      <c r="E99" s="15" t="s">
        <v>355</v>
      </c>
      <c r="F99" s="8"/>
      <c r="G99" s="8"/>
      <c r="H99" s="8" t="s">
        <v>496</v>
      </c>
      <c r="I99" s="8">
        <v>1</v>
      </c>
      <c r="J99" s="8"/>
      <c r="K99" s="8" t="s">
        <v>504</v>
      </c>
      <c r="L99" s="21">
        <f t="shared" si="4"/>
        <v>500</v>
      </c>
    </row>
    <row r="100" spans="1:12" ht="15.75" customHeight="1" x14ac:dyDescent="0.25">
      <c r="A100" s="7">
        <f t="shared" si="6"/>
        <v>99</v>
      </c>
      <c r="B100" s="8" t="s">
        <v>5</v>
      </c>
      <c r="C100" s="15" t="s">
        <v>34</v>
      </c>
      <c r="D100" s="15" t="s">
        <v>162</v>
      </c>
      <c r="E100" s="15" t="s">
        <v>235</v>
      </c>
      <c r="F100" s="8"/>
      <c r="G100" s="8"/>
      <c r="H100" s="8" t="s">
        <v>372</v>
      </c>
      <c r="I100" s="8">
        <v>1</v>
      </c>
      <c r="J100" s="8"/>
      <c r="K100" s="8" t="s">
        <v>503</v>
      </c>
      <c r="L100" s="21">
        <f t="shared" si="4"/>
        <v>500</v>
      </c>
    </row>
    <row r="101" spans="1:12" ht="15.75" customHeight="1" x14ac:dyDescent="0.25">
      <c r="A101" s="7">
        <f t="shared" si="6"/>
        <v>100</v>
      </c>
      <c r="B101" s="8" t="s">
        <v>16</v>
      </c>
      <c r="C101" s="15" t="s">
        <v>128</v>
      </c>
      <c r="D101" s="15" t="s">
        <v>162</v>
      </c>
      <c r="E101" s="15" t="s">
        <v>329</v>
      </c>
      <c r="F101" s="8"/>
      <c r="G101" s="8"/>
      <c r="H101" s="8" t="s">
        <v>469</v>
      </c>
      <c r="I101" s="8">
        <v>14</v>
      </c>
      <c r="J101" s="8"/>
      <c r="K101" s="8" t="s">
        <v>503</v>
      </c>
      <c r="L101" s="21">
        <f t="shared" si="4"/>
        <v>7000</v>
      </c>
    </row>
    <row r="102" spans="1:12" ht="15.75" customHeight="1" x14ac:dyDescent="0.25">
      <c r="A102" s="7">
        <f t="shared" si="6"/>
        <v>101</v>
      </c>
      <c r="B102" s="8" t="s">
        <v>16</v>
      </c>
      <c r="C102" s="15" t="s">
        <v>121</v>
      </c>
      <c r="D102" s="15" t="s">
        <v>162</v>
      </c>
      <c r="E102" s="15" t="s">
        <v>322</v>
      </c>
      <c r="F102" s="8"/>
      <c r="G102" s="8"/>
      <c r="H102" s="8" t="s">
        <v>462</v>
      </c>
      <c r="I102" s="8">
        <v>13</v>
      </c>
      <c r="J102" s="8"/>
      <c r="K102" s="8" t="s">
        <v>503</v>
      </c>
      <c r="L102" s="21">
        <f t="shared" si="4"/>
        <v>6500</v>
      </c>
    </row>
    <row r="103" spans="1:12" ht="15.75" customHeight="1" x14ac:dyDescent="0.25">
      <c r="A103" s="7">
        <f t="shared" si="6"/>
        <v>102</v>
      </c>
      <c r="B103" s="8" t="s">
        <v>16</v>
      </c>
      <c r="C103" s="15" t="s">
        <v>108</v>
      </c>
      <c r="D103" s="15" t="s">
        <v>162</v>
      </c>
      <c r="E103" s="15" t="s">
        <v>309</v>
      </c>
      <c r="F103" s="8"/>
      <c r="G103" s="8"/>
      <c r="H103" s="8" t="s">
        <v>449</v>
      </c>
      <c r="I103" s="8">
        <v>12</v>
      </c>
      <c r="J103" s="8"/>
      <c r="K103" s="8" t="s">
        <v>503</v>
      </c>
      <c r="L103" s="21">
        <f t="shared" si="4"/>
        <v>6000</v>
      </c>
    </row>
    <row r="104" spans="1:12" ht="15.75" customHeight="1" x14ac:dyDescent="0.25">
      <c r="A104" s="7">
        <f t="shared" si="6"/>
        <v>103</v>
      </c>
      <c r="B104" s="8" t="s">
        <v>5</v>
      </c>
      <c r="C104" s="15" t="s">
        <v>51</v>
      </c>
      <c r="D104" s="15" t="s">
        <v>170</v>
      </c>
      <c r="E104" s="15" t="s">
        <v>252</v>
      </c>
      <c r="F104" s="8"/>
      <c r="G104" s="8" t="s">
        <v>518</v>
      </c>
      <c r="H104" s="8" t="s">
        <v>390</v>
      </c>
      <c r="I104" s="8">
        <v>1</v>
      </c>
      <c r="J104" s="8"/>
      <c r="K104" s="8" t="s">
        <v>503</v>
      </c>
      <c r="L104" s="21">
        <f t="shared" si="4"/>
        <v>500</v>
      </c>
    </row>
    <row r="105" spans="1:12" ht="15.75" customHeight="1" x14ac:dyDescent="0.25">
      <c r="A105" s="7">
        <f t="shared" si="6"/>
        <v>104</v>
      </c>
      <c r="B105" s="8" t="s">
        <v>6</v>
      </c>
      <c r="C105" s="15" t="s">
        <v>152</v>
      </c>
      <c r="D105" s="15" t="s">
        <v>216</v>
      </c>
      <c r="E105" s="15" t="s">
        <v>352</v>
      </c>
      <c r="F105" s="8"/>
      <c r="G105" s="8"/>
      <c r="H105" s="8" t="s">
        <v>492</v>
      </c>
      <c r="I105" s="8">
        <v>1</v>
      </c>
      <c r="J105" s="8"/>
      <c r="K105" s="8" t="s">
        <v>504</v>
      </c>
      <c r="L105" s="21">
        <f t="shared" si="4"/>
        <v>500</v>
      </c>
    </row>
    <row r="106" spans="1:12" ht="15.75" customHeight="1" x14ac:dyDescent="0.25">
      <c r="A106" s="7">
        <f t="shared" si="6"/>
        <v>105</v>
      </c>
      <c r="B106" s="8" t="s">
        <v>16</v>
      </c>
      <c r="C106" s="15" t="s">
        <v>127</v>
      </c>
      <c r="D106" s="15" t="s">
        <v>162</v>
      </c>
      <c r="E106" s="15" t="s">
        <v>328</v>
      </c>
      <c r="F106" s="8"/>
      <c r="G106" s="8"/>
      <c r="H106" s="8" t="s">
        <v>468</v>
      </c>
      <c r="I106" s="8">
        <v>10</v>
      </c>
      <c r="J106" s="8"/>
      <c r="K106" s="8" t="s">
        <v>503</v>
      </c>
      <c r="L106" s="21">
        <f t="shared" si="4"/>
        <v>5000</v>
      </c>
    </row>
    <row r="107" spans="1:12" ht="15.75" customHeight="1" x14ac:dyDescent="0.25">
      <c r="A107" s="7">
        <f t="shared" si="6"/>
        <v>106</v>
      </c>
      <c r="B107" s="8" t="s">
        <v>5</v>
      </c>
      <c r="C107" s="15" t="s">
        <v>39</v>
      </c>
      <c r="D107" s="15" t="s">
        <v>162</v>
      </c>
      <c r="E107" s="15" t="s">
        <v>240</v>
      </c>
      <c r="F107" s="8"/>
      <c r="G107" s="8"/>
      <c r="H107" s="8" t="s">
        <v>377</v>
      </c>
      <c r="I107" s="8">
        <v>2</v>
      </c>
      <c r="J107" s="8"/>
      <c r="K107" s="8" t="s">
        <v>503</v>
      </c>
      <c r="L107" s="21">
        <f t="shared" si="4"/>
        <v>1000</v>
      </c>
    </row>
    <row r="108" spans="1:12" ht="15.75" customHeight="1" x14ac:dyDescent="0.25">
      <c r="A108" s="7">
        <f t="shared" si="6"/>
        <v>107</v>
      </c>
      <c r="B108" s="8" t="s">
        <v>16</v>
      </c>
      <c r="C108" s="15" t="s">
        <v>144</v>
      </c>
      <c r="D108" s="15" t="s">
        <v>164</v>
      </c>
      <c r="E108" s="15" t="s">
        <v>344</v>
      </c>
      <c r="F108" s="8"/>
      <c r="G108" s="8" t="s">
        <v>522</v>
      </c>
      <c r="H108" s="8" t="s">
        <v>484</v>
      </c>
      <c r="I108" s="8">
        <v>5</v>
      </c>
      <c r="J108" s="8"/>
      <c r="K108" s="8" t="s">
        <v>503</v>
      </c>
      <c r="L108" s="21">
        <f t="shared" si="4"/>
        <v>2500</v>
      </c>
    </row>
    <row r="109" spans="1:12" ht="15.75" customHeight="1" x14ac:dyDescent="0.25">
      <c r="A109" s="7">
        <f t="shared" si="6"/>
        <v>108</v>
      </c>
      <c r="B109" s="8" t="s">
        <v>13</v>
      </c>
      <c r="C109" s="15" t="s">
        <v>98</v>
      </c>
      <c r="D109" s="15" t="s">
        <v>205</v>
      </c>
      <c r="E109" s="15" t="s">
        <v>299</v>
      </c>
      <c r="F109" s="8"/>
      <c r="G109" s="8" t="s">
        <v>520</v>
      </c>
      <c r="H109" s="8" t="s">
        <v>438</v>
      </c>
      <c r="I109" s="8">
        <v>1</v>
      </c>
      <c r="J109" s="8"/>
      <c r="K109" s="8" t="s">
        <v>503</v>
      </c>
      <c r="L109" s="21">
        <f t="shared" si="4"/>
        <v>500</v>
      </c>
    </row>
    <row r="110" spans="1:12" ht="15.75" customHeight="1" x14ac:dyDescent="0.25">
      <c r="A110" s="7">
        <f t="shared" si="6"/>
        <v>109</v>
      </c>
      <c r="B110" s="8" t="s">
        <v>9</v>
      </c>
      <c r="C110" s="15" t="s">
        <v>74</v>
      </c>
      <c r="D110" s="15" t="s">
        <v>189</v>
      </c>
      <c r="E110" s="15" t="s">
        <v>275</v>
      </c>
      <c r="F110" s="8"/>
      <c r="G110" s="8"/>
      <c r="H110" s="8" t="s">
        <v>414</v>
      </c>
      <c r="I110" s="8">
        <v>1</v>
      </c>
      <c r="J110" s="8"/>
      <c r="K110" s="8" t="s">
        <v>503</v>
      </c>
      <c r="L110" s="21">
        <f t="shared" si="4"/>
        <v>500</v>
      </c>
    </row>
    <row r="111" spans="1:12" ht="15.75" customHeight="1" x14ac:dyDescent="0.25">
      <c r="A111" s="7">
        <f t="shared" si="6"/>
        <v>110</v>
      </c>
      <c r="B111" s="8" t="s">
        <v>5</v>
      </c>
      <c r="C111" s="15" t="s">
        <v>43</v>
      </c>
      <c r="D111" s="15" t="s">
        <v>167</v>
      </c>
      <c r="E111" s="15" t="s">
        <v>244</v>
      </c>
      <c r="F111" s="8"/>
      <c r="G111" s="8"/>
      <c r="H111" s="8" t="s">
        <v>381</v>
      </c>
      <c r="I111" s="8">
        <v>1</v>
      </c>
      <c r="J111" s="8"/>
      <c r="K111" s="8" t="s">
        <v>503</v>
      </c>
      <c r="L111" s="21">
        <f t="shared" si="4"/>
        <v>500</v>
      </c>
    </row>
    <row r="112" spans="1:12" ht="15.75" customHeight="1" x14ac:dyDescent="0.25">
      <c r="A112" s="7">
        <f t="shared" si="6"/>
        <v>111</v>
      </c>
      <c r="B112" s="8" t="s">
        <v>5</v>
      </c>
      <c r="C112" s="15" t="s">
        <v>44</v>
      </c>
      <c r="D112" s="15" t="s">
        <v>168</v>
      </c>
      <c r="E112" s="15" t="s">
        <v>245</v>
      </c>
      <c r="F112" s="8"/>
      <c r="G112" s="8" t="s">
        <v>514</v>
      </c>
      <c r="H112" s="8" t="s">
        <v>382</v>
      </c>
      <c r="I112" s="8">
        <v>1</v>
      </c>
      <c r="J112" s="8"/>
      <c r="K112" s="8" t="s">
        <v>503</v>
      </c>
      <c r="L112" s="21">
        <f t="shared" si="4"/>
        <v>500</v>
      </c>
    </row>
    <row r="113" spans="1:12" ht="15.75" customHeight="1" x14ac:dyDescent="0.25">
      <c r="A113" s="7">
        <f t="shared" si="6"/>
        <v>112</v>
      </c>
      <c r="B113" s="8" t="s">
        <v>16</v>
      </c>
      <c r="C113" s="15" t="s">
        <v>125</v>
      </c>
      <c r="D113" s="15" t="s">
        <v>162</v>
      </c>
      <c r="E113" s="15" t="s">
        <v>326</v>
      </c>
      <c r="F113" s="8"/>
      <c r="G113" s="8"/>
      <c r="H113" s="8" t="s">
        <v>466</v>
      </c>
      <c r="I113" s="8">
        <v>8</v>
      </c>
      <c r="J113" s="8"/>
      <c r="K113" s="8" t="s">
        <v>503</v>
      </c>
      <c r="L113" s="21">
        <f t="shared" si="4"/>
        <v>4000</v>
      </c>
    </row>
    <row r="114" spans="1:12" ht="15.75" customHeight="1" x14ac:dyDescent="0.25">
      <c r="A114" s="7">
        <f t="shared" si="6"/>
        <v>113</v>
      </c>
      <c r="B114" s="8" t="s">
        <v>16</v>
      </c>
      <c r="C114" s="15" t="s">
        <v>143</v>
      </c>
      <c r="D114" s="15" t="s">
        <v>210</v>
      </c>
      <c r="E114" s="15" t="s">
        <v>528</v>
      </c>
      <c r="F114" s="8"/>
      <c r="G114" s="8"/>
      <c r="H114" s="8" t="s">
        <v>530</v>
      </c>
      <c r="I114" s="8">
        <v>4</v>
      </c>
      <c r="J114" s="8"/>
      <c r="K114" s="8" t="s">
        <v>503</v>
      </c>
      <c r="L114" s="21">
        <f t="shared" si="4"/>
        <v>2000</v>
      </c>
    </row>
    <row r="115" spans="1:12" ht="15.75" customHeight="1" x14ac:dyDescent="0.25">
      <c r="A115" s="7">
        <f t="shared" si="6"/>
        <v>114</v>
      </c>
      <c r="B115" s="8" t="s">
        <v>5</v>
      </c>
      <c r="C115" s="15" t="s">
        <v>36</v>
      </c>
      <c r="D115" s="15" t="s">
        <v>162</v>
      </c>
      <c r="E115" s="15" t="s">
        <v>237</v>
      </c>
      <c r="F115" s="8"/>
      <c r="G115" s="8"/>
      <c r="H115" s="8" t="s">
        <v>374</v>
      </c>
      <c r="I115" s="8">
        <v>1</v>
      </c>
      <c r="J115" s="8"/>
      <c r="K115" s="8" t="s">
        <v>503</v>
      </c>
      <c r="L115" s="21">
        <f t="shared" si="4"/>
        <v>500</v>
      </c>
    </row>
    <row r="116" spans="1:12" ht="15.75" customHeight="1" x14ac:dyDescent="0.25">
      <c r="A116" s="7">
        <f t="shared" si="6"/>
        <v>115</v>
      </c>
      <c r="B116" s="8" t="s">
        <v>12</v>
      </c>
      <c r="C116" s="15" t="s">
        <v>95</v>
      </c>
      <c r="D116" s="15" t="s">
        <v>189</v>
      </c>
      <c r="E116" s="15" t="s">
        <v>296</v>
      </c>
      <c r="F116" s="8"/>
      <c r="G116" s="8"/>
      <c r="H116" s="8" t="s">
        <v>435</v>
      </c>
      <c r="I116" s="8">
        <v>1</v>
      </c>
      <c r="J116" s="8"/>
      <c r="K116" s="8" t="s">
        <v>503</v>
      </c>
      <c r="L116" s="21">
        <f t="shared" si="4"/>
        <v>500</v>
      </c>
    </row>
    <row r="117" spans="1:12" ht="15.75" customHeight="1" x14ac:dyDescent="0.25">
      <c r="A117" s="7">
        <f t="shared" si="6"/>
        <v>116</v>
      </c>
      <c r="B117" s="8" t="s">
        <v>16</v>
      </c>
      <c r="C117" s="15" t="s">
        <v>132</v>
      </c>
      <c r="D117" s="15" t="s">
        <v>164</v>
      </c>
      <c r="E117" s="15" t="s">
        <v>333</v>
      </c>
      <c r="F117" s="8"/>
      <c r="G117" s="8"/>
      <c r="H117" s="8" t="s">
        <v>473</v>
      </c>
      <c r="I117" s="8">
        <v>3</v>
      </c>
      <c r="J117" s="8"/>
      <c r="K117" s="8" t="s">
        <v>503</v>
      </c>
      <c r="L117" s="21">
        <f t="shared" si="4"/>
        <v>1500</v>
      </c>
    </row>
    <row r="118" spans="1:12" ht="15.75" customHeight="1" x14ac:dyDescent="0.25">
      <c r="A118" s="7">
        <f t="shared" si="6"/>
        <v>117</v>
      </c>
      <c r="B118" s="8" t="s">
        <v>5</v>
      </c>
      <c r="C118" s="15" t="s">
        <v>33</v>
      </c>
      <c r="D118" s="15" t="s">
        <v>162</v>
      </c>
      <c r="E118" s="15" t="s">
        <v>234</v>
      </c>
      <c r="F118" s="8"/>
      <c r="G118" s="8"/>
      <c r="H118" s="8" t="s">
        <v>371</v>
      </c>
      <c r="I118" s="8">
        <v>1</v>
      </c>
      <c r="J118" s="8"/>
      <c r="K118" s="8" t="s">
        <v>503</v>
      </c>
      <c r="L118" s="21">
        <f t="shared" si="4"/>
        <v>500</v>
      </c>
    </row>
    <row r="119" spans="1:12" ht="15.75" customHeight="1" x14ac:dyDescent="0.25">
      <c r="A119" s="7">
        <f t="shared" si="6"/>
        <v>118</v>
      </c>
      <c r="B119" s="8" t="s">
        <v>5</v>
      </c>
      <c r="C119" s="15" t="s">
        <v>46</v>
      </c>
      <c r="D119" s="15" t="s">
        <v>162</v>
      </c>
      <c r="E119" s="15" t="s">
        <v>247</v>
      </c>
      <c r="F119" s="8"/>
      <c r="G119" s="8"/>
      <c r="H119" s="8" t="s">
        <v>384</v>
      </c>
      <c r="I119" s="8">
        <v>3</v>
      </c>
      <c r="J119" s="8"/>
      <c r="K119" s="8" t="s">
        <v>503</v>
      </c>
      <c r="L119" s="21">
        <f t="shared" si="4"/>
        <v>1500</v>
      </c>
    </row>
    <row r="120" spans="1:12" ht="15.75" customHeight="1" x14ac:dyDescent="0.25">
      <c r="A120" s="7">
        <f t="shared" si="6"/>
        <v>119</v>
      </c>
      <c r="B120" s="8" t="s">
        <v>16</v>
      </c>
      <c r="C120" s="15" t="s">
        <v>130</v>
      </c>
      <c r="D120" s="15" t="s">
        <v>164</v>
      </c>
      <c r="E120" s="15" t="s">
        <v>331</v>
      </c>
      <c r="F120" s="8"/>
      <c r="G120" s="8"/>
      <c r="H120" s="8" t="s">
        <v>471</v>
      </c>
      <c r="I120" s="8">
        <v>1</v>
      </c>
      <c r="J120" s="8"/>
      <c r="K120" s="8" t="s">
        <v>503</v>
      </c>
      <c r="L120" s="21">
        <f t="shared" si="4"/>
        <v>500</v>
      </c>
    </row>
    <row r="121" spans="1:12" ht="15.75" customHeight="1" x14ac:dyDescent="0.25">
      <c r="A121" s="7">
        <f t="shared" si="6"/>
        <v>120</v>
      </c>
      <c r="B121" s="8" t="s">
        <v>16</v>
      </c>
      <c r="C121" s="15" t="s">
        <v>135</v>
      </c>
      <c r="D121" s="15" t="s">
        <v>162</v>
      </c>
      <c r="E121" s="15" t="s">
        <v>336</v>
      </c>
      <c r="F121" s="8"/>
      <c r="G121" s="8"/>
      <c r="H121" s="8" t="s">
        <v>476</v>
      </c>
      <c r="I121" s="8">
        <v>5</v>
      </c>
      <c r="J121" s="8"/>
      <c r="K121" s="8" t="s">
        <v>503</v>
      </c>
      <c r="L121" s="21">
        <f t="shared" si="4"/>
        <v>2500</v>
      </c>
    </row>
    <row r="122" spans="1:12" ht="15.75" customHeight="1" x14ac:dyDescent="0.25">
      <c r="A122" s="7">
        <f t="shared" si="6"/>
        <v>121</v>
      </c>
      <c r="B122" s="8" t="s">
        <v>16</v>
      </c>
      <c r="C122" s="15" t="s">
        <v>115</v>
      </c>
      <c r="D122" s="15" t="s">
        <v>162</v>
      </c>
      <c r="E122" s="15" t="s">
        <v>316</v>
      </c>
      <c r="F122" s="8"/>
      <c r="G122" s="8"/>
      <c r="H122" s="8" t="s">
        <v>456</v>
      </c>
      <c r="I122" s="8">
        <v>5</v>
      </c>
      <c r="J122" s="8"/>
      <c r="K122" s="8" t="s">
        <v>503</v>
      </c>
      <c r="L122" s="21">
        <f t="shared" si="4"/>
        <v>2500</v>
      </c>
    </row>
    <row r="123" spans="1:12" ht="15.75" customHeight="1" x14ac:dyDescent="0.25">
      <c r="A123" s="7">
        <f t="shared" si="6"/>
        <v>122</v>
      </c>
      <c r="B123" s="8" t="s">
        <v>16</v>
      </c>
      <c r="C123" s="15" t="s">
        <v>123</v>
      </c>
      <c r="D123" s="15" t="s">
        <v>162</v>
      </c>
      <c r="E123" s="15" t="s">
        <v>324</v>
      </c>
      <c r="F123" s="8"/>
      <c r="G123" s="8"/>
      <c r="H123" s="8" t="s">
        <v>464</v>
      </c>
      <c r="I123" s="8">
        <v>5</v>
      </c>
      <c r="J123" s="8"/>
      <c r="K123" s="8" t="s">
        <v>503</v>
      </c>
      <c r="L123" s="21">
        <f t="shared" si="4"/>
        <v>2500</v>
      </c>
    </row>
    <row r="124" spans="1:12" ht="15.75" customHeight="1" x14ac:dyDescent="0.25">
      <c r="A124" s="7">
        <f t="shared" si="6"/>
        <v>123</v>
      </c>
      <c r="B124" s="8" t="s">
        <v>5</v>
      </c>
      <c r="C124" s="15" t="s">
        <v>42</v>
      </c>
      <c r="D124" s="15" t="s">
        <v>165</v>
      </c>
      <c r="E124" s="15" t="s">
        <v>243</v>
      </c>
      <c r="F124" s="8"/>
      <c r="G124" s="8"/>
      <c r="H124" s="8" t="s">
        <v>380</v>
      </c>
      <c r="I124" s="8">
        <v>1</v>
      </c>
      <c r="J124" s="8"/>
      <c r="K124" s="8" t="s">
        <v>503</v>
      </c>
      <c r="L124" s="21">
        <f t="shared" si="4"/>
        <v>500</v>
      </c>
    </row>
    <row r="125" spans="1:12" ht="15.75" customHeight="1" x14ac:dyDescent="0.25">
      <c r="A125" s="7">
        <f t="shared" si="6"/>
        <v>124</v>
      </c>
      <c r="B125" s="8" t="s">
        <v>16</v>
      </c>
      <c r="C125" s="15" t="s">
        <v>110</v>
      </c>
      <c r="D125" s="15" t="s">
        <v>162</v>
      </c>
      <c r="E125" s="15" t="s">
        <v>311</v>
      </c>
      <c r="F125" s="8"/>
      <c r="G125" s="8"/>
      <c r="H125" s="8" t="s">
        <v>451</v>
      </c>
      <c r="I125" s="8">
        <v>4</v>
      </c>
      <c r="J125" s="8"/>
      <c r="K125" s="8" t="s">
        <v>503</v>
      </c>
      <c r="L125" s="21">
        <f t="shared" si="4"/>
        <v>2000</v>
      </c>
    </row>
    <row r="126" spans="1:12" ht="15.75" customHeight="1" x14ac:dyDescent="0.25">
      <c r="A126" s="7">
        <f t="shared" si="6"/>
        <v>125</v>
      </c>
      <c r="B126" s="8" t="s">
        <v>16</v>
      </c>
      <c r="C126" s="15" t="s">
        <v>138</v>
      </c>
      <c r="D126" s="15" t="s">
        <v>162</v>
      </c>
      <c r="E126" s="15" t="s">
        <v>339</v>
      </c>
      <c r="F126" s="8"/>
      <c r="G126" s="8"/>
      <c r="H126" s="8" t="s">
        <v>479</v>
      </c>
      <c r="I126" s="8">
        <v>2</v>
      </c>
      <c r="J126" s="8"/>
      <c r="K126" s="8" t="s">
        <v>503</v>
      </c>
      <c r="L126" s="21">
        <f t="shared" si="4"/>
        <v>1000</v>
      </c>
    </row>
    <row r="127" spans="1:12" ht="15.75" customHeight="1" x14ac:dyDescent="0.25">
      <c r="A127" s="7">
        <f t="shared" si="6"/>
        <v>126</v>
      </c>
      <c r="B127" s="8" t="s">
        <v>16</v>
      </c>
      <c r="C127" s="15" t="s">
        <v>139</v>
      </c>
      <c r="D127" s="15" t="s">
        <v>162</v>
      </c>
      <c r="E127" s="15" t="s">
        <v>340</v>
      </c>
      <c r="F127" s="8"/>
      <c r="G127" s="8"/>
      <c r="H127" s="8" t="s">
        <v>480</v>
      </c>
      <c r="I127" s="8">
        <v>1</v>
      </c>
      <c r="J127" s="8"/>
      <c r="K127" s="8" t="s">
        <v>503</v>
      </c>
      <c r="L127" s="21">
        <f t="shared" si="4"/>
        <v>500</v>
      </c>
    </row>
    <row r="128" spans="1:12" ht="15.75" customHeight="1" x14ac:dyDescent="0.25">
      <c r="A128" s="7">
        <f t="shared" si="6"/>
        <v>127</v>
      </c>
      <c r="B128" s="8" t="s">
        <v>16</v>
      </c>
      <c r="C128" s="15" t="s">
        <v>109</v>
      </c>
      <c r="D128" s="15" t="s">
        <v>162</v>
      </c>
      <c r="E128" s="15" t="s">
        <v>310</v>
      </c>
      <c r="F128" s="8"/>
      <c r="G128" s="8"/>
      <c r="H128" s="8" t="s">
        <v>450</v>
      </c>
      <c r="I128" s="8">
        <v>3</v>
      </c>
      <c r="J128" s="8"/>
      <c r="K128" s="8" t="s">
        <v>503</v>
      </c>
      <c r="L128" s="21">
        <f t="shared" si="4"/>
        <v>1500</v>
      </c>
    </row>
    <row r="129" spans="1:12" ht="15.75" customHeight="1" x14ac:dyDescent="0.25">
      <c r="A129" s="7">
        <f t="shared" si="6"/>
        <v>128</v>
      </c>
      <c r="B129" s="8" t="s">
        <v>16</v>
      </c>
      <c r="C129" s="15" t="s">
        <v>129</v>
      </c>
      <c r="D129" s="15" t="s">
        <v>162</v>
      </c>
      <c r="E129" s="15" t="s">
        <v>330</v>
      </c>
      <c r="F129" s="8"/>
      <c r="G129" s="8"/>
      <c r="H129" s="8" t="s">
        <v>470</v>
      </c>
      <c r="I129" s="8">
        <v>3</v>
      </c>
      <c r="J129" s="8"/>
      <c r="K129" s="8" t="s">
        <v>503</v>
      </c>
      <c r="L129" s="21">
        <f t="shared" si="4"/>
        <v>1500</v>
      </c>
    </row>
    <row r="130" spans="1:12" ht="15.75" customHeight="1" x14ac:dyDescent="0.25">
      <c r="A130" s="7">
        <f t="shared" si="6"/>
        <v>129</v>
      </c>
      <c r="B130" s="8" t="s">
        <v>16</v>
      </c>
      <c r="C130" s="15" t="s">
        <v>106</v>
      </c>
      <c r="D130" s="15" t="s">
        <v>164</v>
      </c>
      <c r="E130" s="15" t="s">
        <v>307</v>
      </c>
      <c r="F130" s="8"/>
      <c r="G130" s="8" t="s">
        <v>521</v>
      </c>
      <c r="H130" s="8" t="s">
        <v>447</v>
      </c>
      <c r="I130" s="8">
        <v>1</v>
      </c>
      <c r="J130" s="8"/>
      <c r="K130" s="8" t="s">
        <v>503</v>
      </c>
      <c r="L130" s="21">
        <f t="shared" si="4"/>
        <v>500</v>
      </c>
    </row>
    <row r="131" spans="1:12" ht="15.75" customHeight="1" x14ac:dyDescent="0.25">
      <c r="A131" s="7">
        <f t="shared" si="6"/>
        <v>130</v>
      </c>
      <c r="B131" s="8" t="s">
        <v>16</v>
      </c>
      <c r="C131" s="15" t="s">
        <v>112</v>
      </c>
      <c r="D131" s="15" t="s">
        <v>162</v>
      </c>
      <c r="E131" s="15" t="s">
        <v>313</v>
      </c>
      <c r="F131" s="8"/>
      <c r="G131" s="8"/>
      <c r="H131" s="8" t="s">
        <v>453</v>
      </c>
      <c r="I131" s="8">
        <v>2</v>
      </c>
      <c r="J131" s="8"/>
      <c r="K131" s="8" t="s">
        <v>503</v>
      </c>
      <c r="L131" s="21">
        <f t="shared" ref="L131:L148" si="7">$M$1*I131</f>
        <v>1000</v>
      </c>
    </row>
    <row r="132" spans="1:12" ht="15.75" customHeight="1" x14ac:dyDescent="0.25">
      <c r="A132" s="7">
        <f t="shared" si="6"/>
        <v>131</v>
      </c>
      <c r="B132" s="8" t="s">
        <v>16</v>
      </c>
      <c r="C132" s="15" t="s">
        <v>137</v>
      </c>
      <c r="D132" s="15" t="s">
        <v>162</v>
      </c>
      <c r="E132" s="15" t="s">
        <v>338</v>
      </c>
      <c r="F132" s="8"/>
      <c r="G132" s="8"/>
      <c r="H132" s="8" t="s">
        <v>478</v>
      </c>
      <c r="I132" s="8">
        <v>2</v>
      </c>
      <c r="J132" s="8"/>
      <c r="K132" s="8" t="s">
        <v>503</v>
      </c>
      <c r="L132" s="21">
        <f t="shared" si="7"/>
        <v>1000</v>
      </c>
    </row>
    <row r="133" spans="1:12" ht="15.75" customHeight="1" x14ac:dyDescent="0.25">
      <c r="A133" s="7">
        <f t="shared" si="6"/>
        <v>132</v>
      </c>
      <c r="B133" s="8" t="s">
        <v>16</v>
      </c>
      <c r="C133" s="15" t="s">
        <v>140</v>
      </c>
      <c r="D133" s="15" t="s">
        <v>162</v>
      </c>
      <c r="E133" s="15" t="s">
        <v>341</v>
      </c>
      <c r="F133" s="8"/>
      <c r="G133" s="8"/>
      <c r="H133" s="8" t="s">
        <v>481</v>
      </c>
      <c r="I133" s="8">
        <v>1</v>
      </c>
      <c r="J133" s="8"/>
      <c r="K133" s="8" t="s">
        <v>503</v>
      </c>
      <c r="L133" s="21">
        <f t="shared" si="7"/>
        <v>500</v>
      </c>
    </row>
    <row r="134" spans="1:12" ht="15.75" customHeight="1" x14ac:dyDescent="0.25">
      <c r="A134" s="7">
        <f t="shared" si="6"/>
        <v>133</v>
      </c>
      <c r="B134" s="8" t="s">
        <v>16</v>
      </c>
      <c r="C134" s="15" t="s">
        <v>142</v>
      </c>
      <c r="D134" s="15" t="s">
        <v>164</v>
      </c>
      <c r="E134" s="15" t="s">
        <v>343</v>
      </c>
      <c r="F134" s="8"/>
      <c r="G134" s="8"/>
      <c r="H134" s="8" t="s">
        <v>483</v>
      </c>
      <c r="I134" s="8">
        <v>1</v>
      </c>
      <c r="J134" s="8"/>
      <c r="K134" s="8" t="s">
        <v>503</v>
      </c>
      <c r="L134" s="21">
        <f t="shared" si="7"/>
        <v>500</v>
      </c>
    </row>
    <row r="135" spans="1:12" ht="15.75" customHeight="1" x14ac:dyDescent="0.25">
      <c r="A135" s="7">
        <f t="shared" ref="A135:A140" si="8">ROW(A135)-ROW($A$1)</f>
        <v>134</v>
      </c>
      <c r="B135" s="8" t="s">
        <v>16</v>
      </c>
      <c r="C135" s="15" t="s">
        <v>532</v>
      </c>
      <c r="D135" s="15" t="s">
        <v>164</v>
      </c>
      <c r="E135" s="15" t="s">
        <v>533</v>
      </c>
      <c r="F135" s="8"/>
      <c r="G135" s="8"/>
      <c r="H135" s="8" t="s">
        <v>531</v>
      </c>
      <c r="I135" s="8">
        <v>1</v>
      </c>
      <c r="J135" s="8"/>
      <c r="K135" s="8" t="s">
        <v>503</v>
      </c>
      <c r="L135" s="21">
        <f t="shared" si="7"/>
        <v>500</v>
      </c>
    </row>
    <row r="136" spans="1:12" ht="15.75" customHeight="1" x14ac:dyDescent="0.25">
      <c r="A136" s="7">
        <f t="shared" si="8"/>
        <v>135</v>
      </c>
      <c r="B136" s="8" t="s">
        <v>16</v>
      </c>
      <c r="C136" s="15" t="s">
        <v>145</v>
      </c>
      <c r="D136" s="15" t="s">
        <v>162</v>
      </c>
      <c r="E136" s="15" t="s">
        <v>345</v>
      </c>
      <c r="F136" s="8"/>
      <c r="G136" s="8"/>
      <c r="H136" s="8" t="s">
        <v>485</v>
      </c>
      <c r="I136" s="8">
        <v>1</v>
      </c>
      <c r="J136" s="8"/>
      <c r="K136" s="8" t="s">
        <v>503</v>
      </c>
      <c r="L136" s="21">
        <f t="shared" si="7"/>
        <v>500</v>
      </c>
    </row>
    <row r="137" spans="1:12" ht="15.75" customHeight="1" x14ac:dyDescent="0.25">
      <c r="A137" s="7">
        <f t="shared" si="8"/>
        <v>136</v>
      </c>
      <c r="B137" s="8" t="s">
        <v>16</v>
      </c>
      <c r="C137" s="15" t="s">
        <v>146</v>
      </c>
      <c r="D137" s="15" t="s">
        <v>162</v>
      </c>
      <c r="E137" s="15" t="s">
        <v>346</v>
      </c>
      <c r="F137" s="8"/>
      <c r="G137" s="8"/>
      <c r="H137" s="8" t="s">
        <v>486</v>
      </c>
      <c r="I137" s="8">
        <v>1</v>
      </c>
      <c r="J137" s="8"/>
      <c r="K137" s="8" t="s">
        <v>503</v>
      </c>
      <c r="L137" s="21">
        <f t="shared" si="7"/>
        <v>500</v>
      </c>
    </row>
    <row r="138" spans="1:12" ht="15.75" customHeight="1" x14ac:dyDescent="0.25">
      <c r="A138" s="7">
        <f t="shared" si="8"/>
        <v>137</v>
      </c>
      <c r="B138" s="8" t="s">
        <v>16</v>
      </c>
      <c r="C138" s="15" t="s">
        <v>131</v>
      </c>
      <c r="D138" s="15" t="s">
        <v>162</v>
      </c>
      <c r="E138" s="15" t="s">
        <v>332</v>
      </c>
      <c r="F138" s="8"/>
      <c r="G138" s="8"/>
      <c r="H138" s="8" t="s">
        <v>472</v>
      </c>
      <c r="I138" s="8">
        <v>1</v>
      </c>
      <c r="J138" s="8"/>
      <c r="K138" s="8" t="s">
        <v>503</v>
      </c>
      <c r="L138" s="21">
        <f t="shared" si="7"/>
        <v>500</v>
      </c>
    </row>
    <row r="139" spans="1:12" ht="15.75" customHeight="1" x14ac:dyDescent="0.25">
      <c r="A139" s="7">
        <f t="shared" si="8"/>
        <v>138</v>
      </c>
      <c r="B139" s="8" t="s">
        <v>16</v>
      </c>
      <c r="C139" s="15" t="s">
        <v>111</v>
      </c>
      <c r="D139" s="15" t="s">
        <v>162</v>
      </c>
      <c r="E139" s="15" t="s">
        <v>312</v>
      </c>
      <c r="F139" s="8"/>
      <c r="G139" s="8"/>
      <c r="H139" s="8" t="s">
        <v>452</v>
      </c>
      <c r="I139" s="8">
        <v>1</v>
      </c>
      <c r="J139" s="8"/>
      <c r="K139" s="8" t="s">
        <v>503</v>
      </c>
      <c r="L139" s="21">
        <f t="shared" si="7"/>
        <v>500</v>
      </c>
    </row>
    <row r="140" spans="1:12" ht="15.75" customHeight="1" x14ac:dyDescent="0.25">
      <c r="A140" s="7">
        <f t="shared" si="8"/>
        <v>139</v>
      </c>
      <c r="B140" s="8" t="s">
        <v>16</v>
      </c>
      <c r="C140" s="15" t="s">
        <v>133</v>
      </c>
      <c r="D140" s="15" t="s">
        <v>162</v>
      </c>
      <c r="E140" s="15" t="s">
        <v>334</v>
      </c>
      <c r="F140" s="8"/>
      <c r="G140" s="8"/>
      <c r="H140" s="8" t="s">
        <v>474</v>
      </c>
      <c r="I140" s="8">
        <v>1</v>
      </c>
      <c r="J140" s="8"/>
      <c r="K140" s="8" t="s">
        <v>503</v>
      </c>
      <c r="L140" s="21">
        <f t="shared" si="7"/>
        <v>500</v>
      </c>
    </row>
    <row r="141" spans="1:12" ht="15.75" customHeight="1" x14ac:dyDescent="0.25">
      <c r="A141" s="7">
        <f t="shared" ref="A141:A148" si="9">ROW(A141)-ROW($A$1)</f>
        <v>140</v>
      </c>
      <c r="B141" s="8" t="s">
        <v>16</v>
      </c>
      <c r="C141" s="15" t="s">
        <v>134</v>
      </c>
      <c r="D141" s="15" t="s">
        <v>162</v>
      </c>
      <c r="E141" s="15" t="s">
        <v>335</v>
      </c>
      <c r="F141" s="8"/>
      <c r="G141" s="8"/>
      <c r="H141" s="8" t="s">
        <v>475</v>
      </c>
      <c r="I141" s="8">
        <v>1</v>
      </c>
      <c r="J141" s="8"/>
      <c r="K141" s="8" t="s">
        <v>503</v>
      </c>
      <c r="L141" s="21">
        <f t="shared" si="7"/>
        <v>500</v>
      </c>
    </row>
    <row r="142" spans="1:12" ht="15.75" customHeight="1" x14ac:dyDescent="0.25">
      <c r="A142" s="7">
        <f t="shared" si="9"/>
        <v>141</v>
      </c>
      <c r="B142" s="8" t="s">
        <v>16</v>
      </c>
      <c r="C142" s="15" t="s">
        <v>113</v>
      </c>
      <c r="D142" s="15" t="s">
        <v>162</v>
      </c>
      <c r="E142" s="15" t="s">
        <v>314</v>
      </c>
      <c r="F142" s="8"/>
      <c r="G142" s="8"/>
      <c r="H142" s="8" t="s">
        <v>454</v>
      </c>
      <c r="I142" s="8">
        <v>1</v>
      </c>
      <c r="J142" s="8"/>
      <c r="K142" s="8" t="s">
        <v>503</v>
      </c>
      <c r="L142" s="21">
        <f t="shared" si="7"/>
        <v>500</v>
      </c>
    </row>
    <row r="143" spans="1:12" ht="15.75" customHeight="1" x14ac:dyDescent="0.25">
      <c r="A143" s="7">
        <f t="shared" si="9"/>
        <v>142</v>
      </c>
      <c r="B143" s="8" t="s">
        <v>16</v>
      </c>
      <c r="C143" s="15" t="s">
        <v>114</v>
      </c>
      <c r="D143" s="15" t="s">
        <v>162</v>
      </c>
      <c r="E143" s="15" t="s">
        <v>315</v>
      </c>
      <c r="F143" s="8"/>
      <c r="G143" s="8"/>
      <c r="H143" s="8" t="s">
        <v>455</v>
      </c>
      <c r="I143" s="8">
        <v>1</v>
      </c>
      <c r="J143" s="8"/>
      <c r="K143" s="8" t="s">
        <v>503</v>
      </c>
      <c r="L143" s="21">
        <f t="shared" si="7"/>
        <v>500</v>
      </c>
    </row>
    <row r="144" spans="1:12" ht="15.75" customHeight="1" x14ac:dyDescent="0.25">
      <c r="A144" s="7">
        <f t="shared" si="9"/>
        <v>143</v>
      </c>
      <c r="B144" s="8" t="s">
        <v>16</v>
      </c>
      <c r="C144" s="15" t="s">
        <v>116</v>
      </c>
      <c r="D144" s="15" t="s">
        <v>162</v>
      </c>
      <c r="E144" s="15" t="s">
        <v>317</v>
      </c>
      <c r="F144" s="8"/>
      <c r="G144" s="8"/>
      <c r="H144" s="8" t="s">
        <v>457</v>
      </c>
      <c r="I144" s="8">
        <v>1</v>
      </c>
      <c r="J144" s="8"/>
      <c r="K144" s="8" t="s">
        <v>503</v>
      </c>
      <c r="L144" s="21">
        <f t="shared" si="7"/>
        <v>500</v>
      </c>
    </row>
    <row r="145" spans="1:12" ht="15.75" customHeight="1" x14ac:dyDescent="0.25">
      <c r="A145" s="7">
        <f t="shared" si="9"/>
        <v>144</v>
      </c>
      <c r="B145" s="8" t="s">
        <v>16</v>
      </c>
      <c r="C145" s="15" t="s">
        <v>136</v>
      </c>
      <c r="D145" s="15" t="s">
        <v>162</v>
      </c>
      <c r="E145" s="15" t="s">
        <v>337</v>
      </c>
      <c r="F145" s="8"/>
      <c r="G145" s="8"/>
      <c r="H145" s="8" t="s">
        <v>477</v>
      </c>
      <c r="I145" s="8">
        <v>1</v>
      </c>
      <c r="J145" s="8"/>
      <c r="K145" s="8" t="s">
        <v>503</v>
      </c>
      <c r="L145" s="21">
        <f t="shared" si="7"/>
        <v>500</v>
      </c>
    </row>
    <row r="146" spans="1:12" ht="15.75" customHeight="1" x14ac:dyDescent="0.25">
      <c r="A146" s="7">
        <f t="shared" si="9"/>
        <v>145</v>
      </c>
      <c r="B146" s="8" t="s">
        <v>16</v>
      </c>
      <c r="C146" s="15" t="s">
        <v>118</v>
      </c>
      <c r="D146" s="15" t="s">
        <v>162</v>
      </c>
      <c r="E146" s="15" t="s">
        <v>319</v>
      </c>
      <c r="F146" s="8"/>
      <c r="G146" s="8"/>
      <c r="H146" s="8" t="s">
        <v>459</v>
      </c>
      <c r="I146" s="8">
        <v>1</v>
      </c>
      <c r="J146" s="8"/>
      <c r="K146" s="8" t="s">
        <v>503</v>
      </c>
      <c r="L146" s="21">
        <f t="shared" si="7"/>
        <v>500</v>
      </c>
    </row>
    <row r="147" spans="1:12" ht="15.75" customHeight="1" x14ac:dyDescent="0.25">
      <c r="A147" s="7">
        <f t="shared" si="9"/>
        <v>146</v>
      </c>
      <c r="B147" s="8" t="s">
        <v>16</v>
      </c>
      <c r="C147" s="15" t="s">
        <v>119</v>
      </c>
      <c r="D147" s="15" t="s">
        <v>162</v>
      </c>
      <c r="E147" s="15" t="s">
        <v>320</v>
      </c>
      <c r="F147" s="8"/>
      <c r="G147" s="8"/>
      <c r="H147" s="8" t="s">
        <v>460</v>
      </c>
      <c r="I147" s="8">
        <v>1</v>
      </c>
      <c r="J147" s="8"/>
      <c r="K147" s="8" t="s">
        <v>503</v>
      </c>
      <c r="L147" s="21">
        <f t="shared" si="7"/>
        <v>500</v>
      </c>
    </row>
    <row r="148" spans="1:12" ht="15.75" customHeight="1" x14ac:dyDescent="0.25">
      <c r="A148" s="7">
        <f t="shared" si="9"/>
        <v>147</v>
      </c>
      <c r="B148" s="8" t="s">
        <v>16</v>
      </c>
      <c r="C148" s="15" t="s">
        <v>126</v>
      </c>
      <c r="D148" s="15" t="s">
        <v>162</v>
      </c>
      <c r="E148" s="15" t="s">
        <v>327</v>
      </c>
      <c r="F148" s="8"/>
      <c r="G148" s="8"/>
      <c r="H148" s="8" t="s">
        <v>467</v>
      </c>
      <c r="I148" s="8">
        <v>1</v>
      </c>
      <c r="J148" s="8"/>
      <c r="K148" s="8" t="s">
        <v>503</v>
      </c>
      <c r="L148" s="21">
        <f t="shared" si="7"/>
        <v>500</v>
      </c>
    </row>
  </sheetData>
  <sheetProtection formatCells="0" sort="0" autoFilter="0"/>
  <autoFilter ref="A1:K148">
    <sortState ref="A6:M156">
      <sortCondition ref="H5:H156"/>
    </sortState>
  </autoFilter>
  <conditionalFormatting sqref="C4:C5">
    <cfRule type="duplicateValues" dxfId="148" priority="147"/>
    <cfRule type="duplicateValues" dxfId="147" priority="148"/>
  </conditionalFormatting>
  <conditionalFormatting sqref="C7:C8">
    <cfRule type="duplicateValues" dxfId="146" priority="143"/>
    <cfRule type="duplicateValues" dxfId="145" priority="144"/>
  </conditionalFormatting>
  <conditionalFormatting sqref="C9:C10">
    <cfRule type="duplicateValues" dxfId="144" priority="141"/>
    <cfRule type="duplicateValues" dxfId="143" priority="142"/>
  </conditionalFormatting>
  <conditionalFormatting sqref="C11:C12">
    <cfRule type="duplicateValues" dxfId="142" priority="139"/>
    <cfRule type="duplicateValues" dxfId="141" priority="140"/>
  </conditionalFormatting>
  <conditionalFormatting sqref="C13:C14">
    <cfRule type="duplicateValues" dxfId="140" priority="137"/>
    <cfRule type="duplicateValues" dxfId="139" priority="138"/>
  </conditionalFormatting>
  <conditionalFormatting sqref="C15:C16">
    <cfRule type="duplicateValues" dxfId="138" priority="135"/>
    <cfRule type="duplicateValues" dxfId="137" priority="136"/>
  </conditionalFormatting>
  <conditionalFormatting sqref="C17:C18">
    <cfRule type="duplicateValues" dxfId="136" priority="133"/>
    <cfRule type="duplicateValues" dxfId="135" priority="134"/>
  </conditionalFormatting>
  <conditionalFormatting sqref="C19:C20">
    <cfRule type="duplicateValues" dxfId="134" priority="131"/>
    <cfRule type="duplicateValues" dxfId="133" priority="132"/>
  </conditionalFormatting>
  <conditionalFormatting sqref="C21:C22">
    <cfRule type="duplicateValues" dxfId="132" priority="129"/>
    <cfRule type="duplicateValues" dxfId="131" priority="130"/>
  </conditionalFormatting>
  <conditionalFormatting sqref="C23:C24">
    <cfRule type="duplicateValues" dxfId="130" priority="127"/>
    <cfRule type="duplicateValues" dxfId="129" priority="128"/>
  </conditionalFormatting>
  <conditionalFormatting sqref="C25:C26">
    <cfRule type="duplicateValues" dxfId="128" priority="125"/>
    <cfRule type="duplicateValues" dxfId="127" priority="126"/>
  </conditionalFormatting>
  <conditionalFormatting sqref="C27:C28">
    <cfRule type="duplicateValues" dxfId="126" priority="123"/>
    <cfRule type="duplicateValues" dxfId="125" priority="124"/>
  </conditionalFormatting>
  <conditionalFormatting sqref="C29:C30">
    <cfRule type="duplicateValues" dxfId="124" priority="121"/>
    <cfRule type="duplicateValues" dxfId="123" priority="122"/>
  </conditionalFormatting>
  <conditionalFormatting sqref="C31:C32">
    <cfRule type="duplicateValues" dxfId="122" priority="119"/>
    <cfRule type="duplicateValues" dxfId="121" priority="120"/>
  </conditionalFormatting>
  <conditionalFormatting sqref="C33:C34">
    <cfRule type="duplicateValues" dxfId="120" priority="117"/>
    <cfRule type="duplicateValues" dxfId="119" priority="118"/>
  </conditionalFormatting>
  <conditionalFormatting sqref="C35:C36">
    <cfRule type="duplicateValues" dxfId="118" priority="115"/>
    <cfRule type="duplicateValues" dxfId="117" priority="116"/>
  </conditionalFormatting>
  <conditionalFormatting sqref="C37:C38">
    <cfRule type="duplicateValues" dxfId="116" priority="113"/>
    <cfRule type="duplicateValues" dxfId="115" priority="114"/>
  </conditionalFormatting>
  <conditionalFormatting sqref="C39:C40">
    <cfRule type="duplicateValues" dxfId="114" priority="111"/>
    <cfRule type="duplicateValues" dxfId="113" priority="112"/>
  </conditionalFormatting>
  <conditionalFormatting sqref="C41:C42">
    <cfRule type="duplicateValues" dxfId="112" priority="109"/>
    <cfRule type="duplicateValues" dxfId="111" priority="110"/>
  </conditionalFormatting>
  <conditionalFormatting sqref="C43:C44">
    <cfRule type="duplicateValues" dxfId="110" priority="107"/>
    <cfRule type="duplicateValues" dxfId="109" priority="108"/>
  </conditionalFormatting>
  <conditionalFormatting sqref="C45:C46">
    <cfRule type="duplicateValues" dxfId="108" priority="105"/>
    <cfRule type="duplicateValues" dxfId="107" priority="106"/>
  </conditionalFormatting>
  <conditionalFormatting sqref="C47:C48">
    <cfRule type="duplicateValues" dxfId="106" priority="103"/>
    <cfRule type="duplicateValues" dxfId="105" priority="104"/>
  </conditionalFormatting>
  <conditionalFormatting sqref="C49:C50">
    <cfRule type="duplicateValues" dxfId="104" priority="101"/>
    <cfRule type="duplicateValues" dxfId="103" priority="102"/>
  </conditionalFormatting>
  <conditionalFormatting sqref="C51:C52">
    <cfRule type="duplicateValues" dxfId="102" priority="99"/>
    <cfRule type="duplicateValues" dxfId="101" priority="100"/>
  </conditionalFormatting>
  <conditionalFormatting sqref="C53">
    <cfRule type="duplicateValues" dxfId="100" priority="255"/>
    <cfRule type="duplicateValues" dxfId="99" priority="256"/>
  </conditionalFormatting>
  <conditionalFormatting sqref="C54:C55">
    <cfRule type="duplicateValues" dxfId="98" priority="95"/>
    <cfRule type="duplicateValues" dxfId="97" priority="96"/>
  </conditionalFormatting>
  <conditionalFormatting sqref="C56:C57">
    <cfRule type="duplicateValues" dxfId="96" priority="93"/>
    <cfRule type="duplicateValues" dxfId="95" priority="94"/>
  </conditionalFormatting>
  <conditionalFormatting sqref="C58:C59">
    <cfRule type="duplicateValues" dxfId="94" priority="91"/>
    <cfRule type="duplicateValues" dxfId="93" priority="92"/>
  </conditionalFormatting>
  <conditionalFormatting sqref="C60:C61">
    <cfRule type="duplicateValues" dxfId="92" priority="89"/>
    <cfRule type="duplicateValues" dxfId="91" priority="90"/>
  </conditionalFormatting>
  <conditionalFormatting sqref="C62:C64">
    <cfRule type="duplicateValues" dxfId="90" priority="87"/>
    <cfRule type="duplicateValues" dxfId="89" priority="88"/>
  </conditionalFormatting>
  <conditionalFormatting sqref="C65:C66">
    <cfRule type="duplicateValues" dxfId="88" priority="85"/>
    <cfRule type="duplicateValues" dxfId="87" priority="86"/>
  </conditionalFormatting>
  <conditionalFormatting sqref="C67:C68">
    <cfRule type="duplicateValues" dxfId="86" priority="83"/>
    <cfRule type="duplicateValues" dxfId="85" priority="84"/>
  </conditionalFormatting>
  <conditionalFormatting sqref="C69:C70">
    <cfRule type="duplicateValues" dxfId="84" priority="81"/>
    <cfRule type="duplicateValues" dxfId="83" priority="82"/>
  </conditionalFormatting>
  <conditionalFormatting sqref="C71:C72">
    <cfRule type="duplicateValues" dxfId="82" priority="79"/>
    <cfRule type="duplicateValues" dxfId="81" priority="80"/>
  </conditionalFormatting>
  <conditionalFormatting sqref="C73:C74">
    <cfRule type="duplicateValues" dxfId="80" priority="77"/>
    <cfRule type="duplicateValues" dxfId="79" priority="78"/>
  </conditionalFormatting>
  <conditionalFormatting sqref="C75:C76">
    <cfRule type="duplicateValues" dxfId="78" priority="75"/>
    <cfRule type="duplicateValues" dxfId="77" priority="76"/>
  </conditionalFormatting>
  <conditionalFormatting sqref="C77:C78">
    <cfRule type="duplicateValues" dxfId="76" priority="73"/>
    <cfRule type="duplicateValues" dxfId="75" priority="74"/>
  </conditionalFormatting>
  <conditionalFormatting sqref="C79:C80">
    <cfRule type="duplicateValues" dxfId="74" priority="71"/>
    <cfRule type="duplicateValues" dxfId="73" priority="72"/>
  </conditionalFormatting>
  <conditionalFormatting sqref="C81:C82">
    <cfRule type="duplicateValues" dxfId="72" priority="69"/>
    <cfRule type="duplicateValues" dxfId="71" priority="70"/>
  </conditionalFormatting>
  <conditionalFormatting sqref="C83:C84">
    <cfRule type="duplicateValues" dxfId="70" priority="67"/>
    <cfRule type="duplicateValues" dxfId="69" priority="68"/>
  </conditionalFormatting>
  <conditionalFormatting sqref="C85:C86">
    <cfRule type="duplicateValues" dxfId="68" priority="65"/>
    <cfRule type="duplicateValues" dxfId="67" priority="66"/>
  </conditionalFormatting>
  <conditionalFormatting sqref="C87:C88">
    <cfRule type="duplicateValues" dxfId="66" priority="63"/>
    <cfRule type="duplicateValues" dxfId="65" priority="64"/>
  </conditionalFormatting>
  <conditionalFormatting sqref="C89:C90">
    <cfRule type="duplicateValues" dxfId="64" priority="61"/>
    <cfRule type="duplicateValues" dxfId="63" priority="62"/>
  </conditionalFormatting>
  <conditionalFormatting sqref="C91:C92">
    <cfRule type="duplicateValues" dxfId="62" priority="59"/>
    <cfRule type="duplicateValues" dxfId="61" priority="60"/>
  </conditionalFormatting>
  <conditionalFormatting sqref="C93:C94">
    <cfRule type="duplicateValues" dxfId="60" priority="57"/>
    <cfRule type="duplicateValues" dxfId="59" priority="58"/>
  </conditionalFormatting>
  <conditionalFormatting sqref="C95:C96">
    <cfRule type="duplicateValues" dxfId="58" priority="55"/>
    <cfRule type="duplicateValues" dxfId="57" priority="56"/>
  </conditionalFormatting>
  <conditionalFormatting sqref="C97:C98">
    <cfRule type="duplicateValues" dxfId="56" priority="53"/>
    <cfRule type="duplicateValues" dxfId="55" priority="54"/>
  </conditionalFormatting>
  <conditionalFormatting sqref="C99:C100">
    <cfRule type="duplicateValues" dxfId="54" priority="51"/>
    <cfRule type="duplicateValues" dxfId="53" priority="52"/>
  </conditionalFormatting>
  <conditionalFormatting sqref="C101:C102">
    <cfRule type="duplicateValues" dxfId="52" priority="49"/>
    <cfRule type="duplicateValues" dxfId="51" priority="50"/>
  </conditionalFormatting>
  <conditionalFormatting sqref="C103:C104">
    <cfRule type="duplicateValues" dxfId="50" priority="47"/>
    <cfRule type="duplicateValues" dxfId="49" priority="48"/>
  </conditionalFormatting>
  <conditionalFormatting sqref="C105:C106">
    <cfRule type="duplicateValues" dxfId="48" priority="45"/>
    <cfRule type="duplicateValues" dxfId="47" priority="46"/>
  </conditionalFormatting>
  <conditionalFormatting sqref="C107:C108">
    <cfRule type="duplicateValues" dxfId="46" priority="43"/>
    <cfRule type="duplicateValues" dxfId="45" priority="44"/>
  </conditionalFormatting>
  <conditionalFormatting sqref="C109:C110">
    <cfRule type="duplicateValues" dxfId="44" priority="41"/>
    <cfRule type="duplicateValues" dxfId="43" priority="42"/>
  </conditionalFormatting>
  <conditionalFormatting sqref="C111:C113">
    <cfRule type="duplicateValues" dxfId="42" priority="39"/>
    <cfRule type="duplicateValues" dxfId="41" priority="40"/>
  </conditionalFormatting>
  <conditionalFormatting sqref="C114:C115">
    <cfRule type="duplicateValues" dxfId="40" priority="37"/>
    <cfRule type="duplicateValues" dxfId="39" priority="38"/>
  </conditionalFormatting>
  <conditionalFormatting sqref="C116:C117">
    <cfRule type="duplicateValues" dxfId="38" priority="35"/>
    <cfRule type="duplicateValues" dxfId="37" priority="36"/>
  </conditionalFormatting>
  <conditionalFormatting sqref="C118:C119">
    <cfRule type="duplicateValues" dxfId="36" priority="33"/>
    <cfRule type="duplicateValues" dxfId="35" priority="34"/>
  </conditionalFormatting>
  <conditionalFormatting sqref="C120:C121">
    <cfRule type="duplicateValues" dxfId="34" priority="31"/>
    <cfRule type="duplicateValues" dxfId="33" priority="32"/>
  </conditionalFormatting>
  <conditionalFormatting sqref="C122:C123">
    <cfRule type="duplicateValues" dxfId="32" priority="29"/>
    <cfRule type="duplicateValues" dxfId="31" priority="30"/>
  </conditionalFormatting>
  <conditionalFormatting sqref="C124:C125">
    <cfRule type="duplicateValues" dxfId="30" priority="27"/>
    <cfRule type="duplicateValues" dxfId="29" priority="28"/>
  </conditionalFormatting>
  <conditionalFormatting sqref="C126:C127">
    <cfRule type="duplicateValues" dxfId="28" priority="25"/>
    <cfRule type="duplicateValues" dxfId="27" priority="26"/>
  </conditionalFormatting>
  <conditionalFormatting sqref="C128:C129">
    <cfRule type="duplicateValues" dxfId="26" priority="23"/>
    <cfRule type="duplicateValues" dxfId="25" priority="24"/>
  </conditionalFormatting>
  <conditionalFormatting sqref="C130:C132">
    <cfRule type="duplicateValues" dxfId="24" priority="21"/>
    <cfRule type="duplicateValues" dxfId="23" priority="22"/>
  </conditionalFormatting>
  <conditionalFormatting sqref="C133:C134">
    <cfRule type="duplicateValues" dxfId="22" priority="19"/>
    <cfRule type="duplicateValues" dxfId="21" priority="20"/>
  </conditionalFormatting>
  <conditionalFormatting sqref="C135:C136">
    <cfRule type="duplicateValues" dxfId="20" priority="17"/>
    <cfRule type="duplicateValues" dxfId="19" priority="18"/>
  </conditionalFormatting>
  <conditionalFormatting sqref="C137:C138">
    <cfRule type="duplicateValues" dxfId="18" priority="15"/>
    <cfRule type="duplicateValues" dxfId="17" priority="16"/>
  </conditionalFormatting>
  <conditionalFormatting sqref="C139:C140">
    <cfRule type="duplicateValues" dxfId="16" priority="13"/>
    <cfRule type="duplicateValues" dxfId="15" priority="14"/>
  </conditionalFormatting>
  <conditionalFormatting sqref="C141:C142">
    <cfRule type="duplicateValues" dxfId="14" priority="11"/>
    <cfRule type="duplicateValues" dxfId="13" priority="12"/>
  </conditionalFormatting>
  <conditionalFormatting sqref="C143:C144">
    <cfRule type="duplicateValues" dxfId="12" priority="9"/>
    <cfRule type="duplicateValues" dxfId="11" priority="10"/>
  </conditionalFormatting>
  <conditionalFormatting sqref="C145:C146">
    <cfRule type="duplicateValues" dxfId="10" priority="7"/>
    <cfRule type="duplicateValues" dxfId="9" priority="8"/>
  </conditionalFormatting>
  <conditionalFormatting sqref="C147:C148">
    <cfRule type="duplicateValues" dxfId="8" priority="5"/>
    <cfRule type="duplicateValues" dxfId="7" priority="6"/>
  </conditionalFormatting>
  <conditionalFormatting sqref="C149:C1048576 C1:C3">
    <cfRule type="duplicateValues" dxfId="6" priority="149"/>
    <cfRule type="duplicateValues" dxfId="5" priority="252"/>
  </conditionalFormatting>
  <conditionalFormatting sqref="E1">
    <cfRule type="duplicateValues" dxfId="4" priority="231"/>
  </conditionalFormatting>
  <conditionalFormatting sqref="G1">
    <cfRule type="duplicateValues" dxfId="3" priority="226"/>
  </conditionalFormatting>
  <conditionalFormatting sqref="C6">
    <cfRule type="duplicateValues" dxfId="2" priority="303"/>
    <cfRule type="duplicateValues" dxfId="1" priority="304"/>
  </conditionalFormatting>
  <conditionalFormatting sqref="C1">
    <cfRule type="duplicateValues" dxfId="0" priority="305"/>
  </conditionalFormatting>
  <pageMargins left="0.59055118110236227" right="0.39370078740157483" top="0.78740157480314965" bottom="0.39370078740157483" header="0" footer="0.19685039370078741"/>
  <pageSetup paperSize="9" scale="84" fitToWidth="0" orientation="landscape" r:id="rId1"/>
  <headerFooter>
    <oddFooter>&amp;C&amp;"Times New Roman,Regular"&amp;P/&amp;N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39" sqref="B3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Field=VariantName</vt:lpstr>
      <vt:lpstr>Sheet1</vt:lpstr>
      <vt:lpstr>'Field=VariantName'!Print_Titles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Tú Nguyễn</dc:creator>
  <cp:lastModifiedBy>Noibo KT</cp:lastModifiedBy>
  <cp:lastPrinted>2021-01-20T03:25:04Z</cp:lastPrinted>
  <dcterms:created xsi:type="dcterms:W3CDTF">2019-04-22T01:46:19Z</dcterms:created>
  <dcterms:modified xsi:type="dcterms:W3CDTF">2026-03-02T09:39:07Z</dcterms:modified>
</cp:coreProperties>
</file>