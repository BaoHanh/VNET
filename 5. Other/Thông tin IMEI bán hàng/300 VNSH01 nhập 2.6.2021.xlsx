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s files\Dropbox\KHO 2022\NHẬP KHO C43+ H5\"/>
    </mc:Choice>
  </mc:AlternateContent>
  <xr:revisionPtr revIDLastSave="0" documentId="13_ncr:1_{D06A9416-CD48-4F13-AE4E-92B86EAB843C}" xr6:coauthVersionLast="47" xr6:coauthVersionMax="47" xr10:uidLastSave="{00000000-0000-0000-0000-000000000000}"/>
  <bookViews>
    <workbookView xWindow="72" yWindow="300" windowWidth="22968" windowHeight="12060" xr2:uid="{3A97A3DC-42EB-4E16-9451-48E4EB3BE0D3}"/>
  </bookViews>
  <sheets>
    <sheet name="Sheet1" sheetId="1" r:id="rId1"/>
  </sheets>
  <externalReferences>
    <externalReference r:id="rId2"/>
  </externalReferences>
  <definedNames>
    <definedName name="_xlnm._FilterDatabase" localSheetId="0" hidden="1">Sheet1!$B$3:$H$303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4" i="1"/>
  <c r="H16" i="1"/>
  <c r="H23" i="1"/>
  <c r="H24" i="1"/>
  <c r="H31" i="1"/>
  <c r="H42" i="1"/>
  <c r="H44" i="1"/>
  <c r="H52" i="1"/>
  <c r="H54" i="1"/>
  <c r="H55" i="1"/>
  <c r="H56" i="1"/>
  <c r="H59" i="1"/>
  <c r="H66" i="1"/>
  <c r="H80" i="1"/>
  <c r="H83" i="1"/>
  <c r="H85" i="1"/>
  <c r="H88" i="1"/>
  <c r="H95" i="1"/>
  <c r="H102" i="1"/>
  <c r="H114" i="1"/>
  <c r="H128" i="1"/>
  <c r="H129" i="1"/>
  <c r="H131" i="1"/>
  <c r="H141" i="1"/>
  <c r="H145" i="1"/>
  <c r="H155" i="1"/>
  <c r="H157" i="1"/>
  <c r="H158" i="1"/>
  <c r="H159" i="1"/>
  <c r="H160" i="1"/>
  <c r="H162" i="1"/>
  <c r="H167" i="1"/>
  <c r="H169" i="1"/>
  <c r="H170" i="1"/>
  <c r="H171" i="1"/>
  <c r="H173" i="1"/>
  <c r="H175" i="1"/>
  <c r="H190" i="1"/>
  <c r="H205" i="1"/>
  <c r="H208" i="1"/>
  <c r="H214" i="1"/>
  <c r="H215" i="1"/>
  <c r="H221" i="1"/>
  <c r="H222" i="1"/>
  <c r="H227" i="1"/>
  <c r="H231" i="1"/>
  <c r="H235" i="1"/>
  <c r="H241" i="1"/>
  <c r="H242" i="1"/>
  <c r="H244" i="1"/>
  <c r="H246" i="1"/>
  <c r="H247" i="1"/>
  <c r="H249" i="1"/>
  <c r="H258" i="1"/>
  <c r="H266" i="1"/>
  <c r="H270" i="1"/>
  <c r="H275" i="1"/>
  <c r="H279" i="1"/>
  <c r="H292" i="1"/>
  <c r="H296" i="1"/>
  <c r="H301" i="1"/>
</calcChain>
</file>

<file path=xl/sharedStrings.xml><?xml version="1.0" encoding="utf-8"?>
<sst xmlns="http://schemas.openxmlformats.org/spreadsheetml/2006/main" count="1218" uniqueCount="1214">
  <si>
    <t>WM21051100S0237</t>
  </si>
  <si>
    <t>00BD000B87</t>
  </si>
  <si>
    <t>0018F5597D9C</t>
  </si>
  <si>
    <t>869492054323745</t>
  </si>
  <si>
    <t>WM21051100S0238</t>
  </si>
  <si>
    <t>00BD000B81</t>
  </si>
  <si>
    <t>0018F5597D9D</t>
  </si>
  <si>
    <t>869492054672182</t>
  </si>
  <si>
    <t>WM21051100S0239</t>
  </si>
  <si>
    <t>00BD000BCB</t>
  </si>
  <si>
    <t>0018F5597D9B</t>
  </si>
  <si>
    <t>869492054644587</t>
  </si>
  <si>
    <t>WM21051100S0240</t>
  </si>
  <si>
    <t>00BD000BE9</t>
  </si>
  <si>
    <t>0018F5597D99</t>
  </si>
  <si>
    <t>869492055119266</t>
  </si>
  <si>
    <t>WM21051100S0241</t>
  </si>
  <si>
    <t>00BD000C12</t>
  </si>
  <si>
    <t>0018F5597D9A</t>
  </si>
  <si>
    <t>869492055126840</t>
  </si>
  <si>
    <t>WM21051100S0242</t>
  </si>
  <si>
    <t>00BD000C33</t>
  </si>
  <si>
    <t>0018F5597E8C</t>
  </si>
  <si>
    <t>869492054644579</t>
  </si>
  <si>
    <t>WM21051100S0245</t>
  </si>
  <si>
    <t>00BD000B7F</t>
  </si>
  <si>
    <t>0018F5597E8D</t>
  </si>
  <si>
    <t>869492054610737</t>
  </si>
  <si>
    <t>WM21051100S0246</t>
  </si>
  <si>
    <t>00BD0009EA</t>
  </si>
  <si>
    <t>0018F5598056</t>
  </si>
  <si>
    <t>869492055101553</t>
  </si>
  <si>
    <t>WM21051100S0247</t>
  </si>
  <si>
    <t>00BD000B13</t>
  </si>
  <si>
    <t>0018F5598055</t>
  </si>
  <si>
    <t>869492054610539</t>
  </si>
  <si>
    <t>WM21051100S0249</t>
  </si>
  <si>
    <t>00BD0008D1</t>
  </si>
  <si>
    <t>0018F5597D8A</t>
  </si>
  <si>
    <t>869492055051675</t>
  </si>
  <si>
    <t>WM21051100S0250</t>
  </si>
  <si>
    <t>00BD0009FB</t>
  </si>
  <si>
    <t>0018F5597D8B</t>
  </si>
  <si>
    <t>869492054331243</t>
  </si>
  <si>
    <t>WM21051100S0251</t>
  </si>
  <si>
    <t>00BD000AF8</t>
  </si>
  <si>
    <t>0018F5597F69</t>
  </si>
  <si>
    <t>869492055119597</t>
  </si>
  <si>
    <t>WM21051100S0252</t>
  </si>
  <si>
    <t>00BD000B09</t>
  </si>
  <si>
    <t>0018F5597F6A</t>
  </si>
  <si>
    <t>869492054687263</t>
  </si>
  <si>
    <t>WM21051100S0253</t>
  </si>
  <si>
    <t>00BD0008DB</t>
  </si>
  <si>
    <t>0018F5597F6B</t>
  </si>
  <si>
    <t>869492055076862</t>
  </si>
  <si>
    <t>WM21051100S0254</t>
  </si>
  <si>
    <t>00BD00097F</t>
  </si>
  <si>
    <t>0018F5597F6C</t>
  </si>
  <si>
    <t>869492055051386</t>
  </si>
  <si>
    <t>WM21051100S0255</t>
  </si>
  <si>
    <t>00BD0009A3</t>
  </si>
  <si>
    <t>0018F5597F6D</t>
  </si>
  <si>
    <t>869492055052293</t>
  </si>
  <si>
    <t>WM21051100S0256</t>
  </si>
  <si>
    <t>00BD0009F1</t>
  </si>
  <si>
    <t>0018F5597F6E</t>
  </si>
  <si>
    <t>869492055134570</t>
  </si>
  <si>
    <t>WM21051100S0257</t>
  </si>
  <si>
    <t>00BD000C23</t>
  </si>
  <si>
    <t>0018F5597E89</t>
  </si>
  <si>
    <t>869492055126576</t>
  </si>
  <si>
    <t>WM21051100S0258</t>
  </si>
  <si>
    <t>00BD000C38</t>
  </si>
  <si>
    <t>0018F5597E8A</t>
  </si>
  <si>
    <t>869492055101579</t>
  </si>
  <si>
    <t>WM21051100S0288</t>
  </si>
  <si>
    <t>00BD000AD6</t>
  </si>
  <si>
    <t>0018F5597E6C</t>
  </si>
  <si>
    <t>869492055118417</t>
  </si>
  <si>
    <t>WM21051100S0289</t>
  </si>
  <si>
    <t>00BD000B96</t>
  </si>
  <si>
    <t>0018F5597D7E</t>
  </si>
  <si>
    <t>869492055074875</t>
  </si>
  <si>
    <t>WM21051100S0290</t>
  </si>
  <si>
    <t>00BD000A26</t>
  </si>
  <si>
    <t>0018F5597D7C</t>
  </si>
  <si>
    <t>869492055122104</t>
  </si>
  <si>
    <t>WM21051100S0291</t>
  </si>
  <si>
    <t>00BD000B89</t>
  </si>
  <si>
    <t>0018F5597E7E</t>
  </si>
  <si>
    <t>869492055119639</t>
  </si>
  <si>
    <t>WM21051100S0292</t>
  </si>
  <si>
    <t>00BD000997</t>
  </si>
  <si>
    <t>0018F5597E7D</t>
  </si>
  <si>
    <t>869492055082027</t>
  </si>
  <si>
    <t>WM21051100S0293</t>
  </si>
  <si>
    <t>00BD000C10</t>
  </si>
  <si>
    <t>0018F5597E7C</t>
  </si>
  <si>
    <t>869492055134505</t>
  </si>
  <si>
    <t>WM21051100S0294</t>
  </si>
  <si>
    <t>00BD000B52</t>
  </si>
  <si>
    <t>0018F559804A</t>
  </si>
  <si>
    <t>869492055119902</t>
  </si>
  <si>
    <t>WM21051100S0295</t>
  </si>
  <si>
    <t>00BD000AE3</t>
  </si>
  <si>
    <t>0018F5598049</t>
  </si>
  <si>
    <t>869492054672398</t>
  </si>
  <si>
    <t>WM21051100S0296</t>
  </si>
  <si>
    <t>00BD000B66</t>
  </si>
  <si>
    <t>0018F5597D7F</t>
  </si>
  <si>
    <t>869492055101868</t>
  </si>
  <si>
    <t>WM21051100S0297</t>
  </si>
  <si>
    <t>00BD000B51</t>
  </si>
  <si>
    <t>0018F5597D81</t>
  </si>
  <si>
    <t>869492055074784</t>
  </si>
  <si>
    <t>WM21051100S0298</t>
  </si>
  <si>
    <t>00BD000B4F</t>
  </si>
  <si>
    <t>0018F5597D80</t>
  </si>
  <si>
    <t>869492055074644</t>
  </si>
  <si>
    <t>WM21051100S0299</t>
  </si>
  <si>
    <t>00BD000B8E</t>
  </si>
  <si>
    <t>0018F5597E6E</t>
  </si>
  <si>
    <t>869492055119175</t>
  </si>
  <si>
    <t>WM21051100S0300</t>
  </si>
  <si>
    <t>00BD000B92</t>
  </si>
  <si>
    <t>0018F5597E6D</t>
  </si>
  <si>
    <t>869492055134471</t>
  </si>
  <si>
    <t>WM21051100S0301</t>
  </si>
  <si>
    <t>00BD000A8F</t>
  </si>
  <si>
    <t>0018F5598042</t>
  </si>
  <si>
    <t>869492055127012</t>
  </si>
  <si>
    <t>WM21051100S0302</t>
  </si>
  <si>
    <t>00BD000A89</t>
  </si>
  <si>
    <t>0018F5598043</t>
  </si>
  <si>
    <t>869492055122468</t>
  </si>
  <si>
    <t>WM21051100S0303</t>
  </si>
  <si>
    <t>00BD000B6D</t>
  </si>
  <si>
    <t>0018F5597F63</t>
  </si>
  <si>
    <t>869492055076235</t>
  </si>
  <si>
    <t>WM21051100S0304</t>
  </si>
  <si>
    <t>00BD000B5D</t>
  </si>
  <si>
    <t>0018F5597F64</t>
  </si>
  <si>
    <t>869492055126568</t>
  </si>
  <si>
    <t>WM21051100S0305</t>
  </si>
  <si>
    <t>00BD000B46</t>
  </si>
  <si>
    <t>0018F5597F65</t>
  </si>
  <si>
    <t>869492055119837</t>
  </si>
  <si>
    <t>WM21051100S0306</t>
  </si>
  <si>
    <t>00BD000B8B</t>
  </si>
  <si>
    <t>0018F559804B</t>
  </si>
  <si>
    <t>869492055101595</t>
  </si>
  <si>
    <t>WM21051100S0307</t>
  </si>
  <si>
    <t>00BD000B6A</t>
  </si>
  <si>
    <t>0018F5597D82</t>
  </si>
  <si>
    <t>869492055076359</t>
  </si>
  <si>
    <t>WM21051100S0309</t>
  </si>
  <si>
    <t>00BD000AB4</t>
  </si>
  <si>
    <t>0018F5597F5D</t>
  </si>
  <si>
    <t>869492055051410</t>
  </si>
  <si>
    <t>WM21051100S0312</t>
  </si>
  <si>
    <t>00BD000B70</t>
  </si>
  <si>
    <t>0018F5597E75</t>
  </si>
  <si>
    <t>869492055074743</t>
  </si>
  <si>
    <t>WM21051100S0313</t>
  </si>
  <si>
    <t>00BD0008C4</t>
  </si>
  <si>
    <t>0018F5597E77</t>
  </si>
  <si>
    <t>869492055052798</t>
  </si>
  <si>
    <t>WM21051100S0314</t>
  </si>
  <si>
    <t>00BD000B16</t>
  </si>
  <si>
    <t>0018F5598047</t>
  </si>
  <si>
    <t>869492054672158</t>
  </si>
  <si>
    <t>WM21051100S0315</t>
  </si>
  <si>
    <t>00BD000B12</t>
  </si>
  <si>
    <t>0018F5598048</t>
  </si>
  <si>
    <t>869492054688287</t>
  </si>
  <si>
    <t>WM21051100S0316</t>
  </si>
  <si>
    <t>00BD000A96</t>
  </si>
  <si>
    <t>0018F5598046</t>
  </si>
  <si>
    <t>869492055122419</t>
  </si>
  <si>
    <t>WM21051100S0317</t>
  </si>
  <si>
    <t>00BD000A91</t>
  </si>
  <si>
    <t>0018F5598044</t>
  </si>
  <si>
    <t>869492055122476</t>
  </si>
  <si>
    <t>WM21051100S0318</t>
  </si>
  <si>
    <t>00BD000B38</t>
  </si>
  <si>
    <t>0018F5597D86</t>
  </si>
  <si>
    <t>869492055074339</t>
  </si>
  <si>
    <t>WM21051100S0319</t>
  </si>
  <si>
    <t>00BD0008C1</t>
  </si>
  <si>
    <t>0018F5597D87</t>
  </si>
  <si>
    <t>869492055051832</t>
  </si>
  <si>
    <t>WM21051100S0320</t>
  </si>
  <si>
    <t>00BD0008BE</t>
  </si>
  <si>
    <t>0018F5597D88</t>
  </si>
  <si>
    <t>869492055051915</t>
  </si>
  <si>
    <t>WM21051100S0321</t>
  </si>
  <si>
    <t>00BD000AF2</t>
  </si>
  <si>
    <t>0018F5598052</t>
  </si>
  <si>
    <t>869492055074651</t>
  </si>
  <si>
    <t>WM21051100S0323</t>
  </si>
  <si>
    <t>00BD00080D</t>
  </si>
  <si>
    <t>0018F5598054</t>
  </si>
  <si>
    <t>869492054330526</t>
  </si>
  <si>
    <t>WM21051100S0324</t>
  </si>
  <si>
    <t>00BD000B4C</t>
  </si>
  <si>
    <t>0018F559804E</t>
  </si>
  <si>
    <t>869492055074859</t>
  </si>
  <si>
    <t>WM21051100S0325</t>
  </si>
  <si>
    <t>00BD000B2B</t>
  </si>
  <si>
    <t>0018F559804D</t>
  </si>
  <si>
    <t>869492055074305</t>
  </si>
  <si>
    <t>WM21051100S0326</t>
  </si>
  <si>
    <t>00BD000BA8</t>
  </si>
  <si>
    <t>0018F559804C</t>
  </si>
  <si>
    <t>869492055074693</t>
  </si>
  <si>
    <t>WM21051100S0327</t>
  </si>
  <si>
    <t>00BD000B59</t>
  </si>
  <si>
    <t>0018F5597E73</t>
  </si>
  <si>
    <t>869492055119605</t>
  </si>
  <si>
    <t>WM21051100S0328</t>
  </si>
  <si>
    <t>00BD000B44</t>
  </si>
  <si>
    <t>0018F5597E72</t>
  </si>
  <si>
    <t>869492055119886</t>
  </si>
  <si>
    <t>WM21051100S0329</t>
  </si>
  <si>
    <t>00BD000B42</t>
  </si>
  <si>
    <t>0018F5598050</t>
  </si>
  <si>
    <t>869492055074891</t>
  </si>
  <si>
    <t>WM21051100S0330</t>
  </si>
  <si>
    <t>00BD000B3B</t>
  </si>
  <si>
    <t>0018F559804F</t>
  </si>
  <si>
    <t>869492055074412</t>
  </si>
  <si>
    <t>WM21051100S0331</t>
  </si>
  <si>
    <t>00BD000B60</t>
  </si>
  <si>
    <t>0018F5597E74</t>
  </si>
  <si>
    <t>869492055076425</t>
  </si>
  <si>
    <t>WM21051100S0332</t>
  </si>
  <si>
    <t>00BD000AEB</t>
  </si>
  <si>
    <t>0018F5597F68</t>
  </si>
  <si>
    <t>869492055101660</t>
  </si>
  <si>
    <t>WM21051100S0333</t>
  </si>
  <si>
    <t>00BD000B3F</t>
  </si>
  <si>
    <t>0018F5597F66</t>
  </si>
  <si>
    <t>869492055074701</t>
  </si>
  <si>
    <t>WM21051100S0334</t>
  </si>
  <si>
    <t>00BD000AE7</t>
  </si>
  <si>
    <t>0018F5597F67</t>
  </si>
  <si>
    <t>869492055074495</t>
  </si>
  <si>
    <t>WM21051100S0335</t>
  </si>
  <si>
    <t>00BD000B56</t>
  </si>
  <si>
    <t>0018F5597F62</t>
  </si>
  <si>
    <t>869492055074537</t>
  </si>
  <si>
    <t>WM21051100S0336</t>
  </si>
  <si>
    <t>00BD000A9C</t>
  </si>
  <si>
    <t>0018F5597F5F</t>
  </si>
  <si>
    <t>869492055122229</t>
  </si>
  <si>
    <t>WM21051100S0337</t>
  </si>
  <si>
    <t>00BD000AFF</t>
  </si>
  <si>
    <t>0018F5597F61</t>
  </si>
  <si>
    <t>869492054631642</t>
  </si>
  <si>
    <t>WM21051100S0340</t>
  </si>
  <si>
    <t>00BD000B9E</t>
  </si>
  <si>
    <t>0018F5597E70</t>
  </si>
  <si>
    <t>869492055076300</t>
  </si>
  <si>
    <t>WM21051100S0341</t>
  </si>
  <si>
    <t>00BD000BA6</t>
  </si>
  <si>
    <t>0018F5597E6F</t>
  </si>
  <si>
    <t>869492055101645</t>
  </si>
  <si>
    <t>WM21051100S0342</t>
  </si>
  <si>
    <t>00BD0008C6</t>
  </si>
  <si>
    <t>0018F5597D85</t>
  </si>
  <si>
    <t>869492055052707</t>
  </si>
  <si>
    <t>WM21051100S0343</t>
  </si>
  <si>
    <t>00BD000B5F</t>
  </si>
  <si>
    <t>0018F5597D83</t>
  </si>
  <si>
    <t>869492055076417</t>
  </si>
  <si>
    <t>WM21051100S0344</t>
  </si>
  <si>
    <t>00BD000B3C</t>
  </si>
  <si>
    <t>0018F5597D84</t>
  </si>
  <si>
    <t>869492055074883</t>
  </si>
  <si>
    <t>WM21051100S0345</t>
  </si>
  <si>
    <t>00BD0008B1</t>
  </si>
  <si>
    <t>0018F559801A</t>
  </si>
  <si>
    <t>869492055122286</t>
  </si>
  <si>
    <t>WM21051100S0346</t>
  </si>
  <si>
    <t>00BD000AEA</t>
  </si>
  <si>
    <t>0018F5597E6A</t>
  </si>
  <si>
    <t>869492055075021</t>
  </si>
  <si>
    <t>WM21051100S0347</t>
  </si>
  <si>
    <t>00BD000AD8</t>
  </si>
  <si>
    <t>0018F5597E6B</t>
  </si>
  <si>
    <t>869492055118367</t>
  </si>
  <si>
    <t>WM21051100S0348</t>
  </si>
  <si>
    <t>00BD000AD7</t>
  </si>
  <si>
    <t>0018F559803F</t>
  </si>
  <si>
    <t>869492055126600</t>
  </si>
  <si>
    <t>WM21051100S0349</t>
  </si>
  <si>
    <t>00BD000A68</t>
  </si>
  <si>
    <t>0018F5598040</t>
  </si>
  <si>
    <t>869492055077936</t>
  </si>
  <si>
    <t>WM21051100S0350</t>
  </si>
  <si>
    <t>00BD000AC4</t>
  </si>
  <si>
    <t>0018F559803C</t>
  </si>
  <si>
    <t>869492055139579</t>
  </si>
  <si>
    <t>WM21051100S0351</t>
  </si>
  <si>
    <t>00BD000B11</t>
  </si>
  <si>
    <t>0018F559803D</t>
  </si>
  <si>
    <t>869492055075278</t>
  </si>
  <si>
    <t>WM21051100S0352</t>
  </si>
  <si>
    <t>00BD000B6E</t>
  </si>
  <si>
    <t>0018F559803E</t>
  </si>
  <si>
    <t>869492055073927</t>
  </si>
  <si>
    <t>WM21051100S0353</t>
  </si>
  <si>
    <t>00BD000B6B</t>
  </si>
  <si>
    <t>0018F5597F5B</t>
  </si>
  <si>
    <t>869492055139553</t>
  </si>
  <si>
    <t>WM21051100S0354</t>
  </si>
  <si>
    <t>00BD000AF3</t>
  </si>
  <si>
    <t>0018F5597F5A</t>
  </si>
  <si>
    <t>869492054678742</t>
  </si>
  <si>
    <t>WM21051100S0355</t>
  </si>
  <si>
    <t>00BD000AD1</t>
  </si>
  <si>
    <t>0018F5597F59</t>
  </si>
  <si>
    <t>869492055119613</t>
  </si>
  <si>
    <t>WM21051100S0356</t>
  </si>
  <si>
    <t>00BD000AA1</t>
  </si>
  <si>
    <t>0018F5597D7A</t>
  </si>
  <si>
    <t>869492055118334</t>
  </si>
  <si>
    <t>WM21051100S0357</t>
  </si>
  <si>
    <t>00BD000A9E</t>
  </si>
  <si>
    <t>0018F5597D79</t>
  </si>
  <si>
    <t>869492055077878</t>
  </si>
  <si>
    <t>WM21051100S0358</t>
  </si>
  <si>
    <t>00BD000B6F</t>
  </si>
  <si>
    <t>0018F5598041</t>
  </si>
  <si>
    <t>869492054320444</t>
  </si>
  <si>
    <t>WM21051100S0359</t>
  </si>
  <si>
    <t>00BD000A58</t>
  </si>
  <si>
    <t>0018F5597D75</t>
  </si>
  <si>
    <t>869492055122328</t>
  </si>
  <si>
    <t>WM21051100S0360</t>
  </si>
  <si>
    <t>00BD000B22</t>
  </si>
  <si>
    <t>0018F5597D74</t>
  </si>
  <si>
    <t>869492055075344</t>
  </si>
  <si>
    <t>WM21051100S0361</t>
  </si>
  <si>
    <t>00BD0009C1</t>
  </si>
  <si>
    <t>0018F5597D7B</t>
  </si>
  <si>
    <t>869492055052913</t>
  </si>
  <si>
    <t>WM21051100S0362</t>
  </si>
  <si>
    <t>00BD000A56</t>
  </si>
  <si>
    <t>0018F5597D77</t>
  </si>
  <si>
    <t>869492055077886</t>
  </si>
  <si>
    <t>WM21051100S0363</t>
  </si>
  <si>
    <t>00BD000B01</t>
  </si>
  <si>
    <t>0018F5597E60</t>
  </si>
  <si>
    <t>869492054647457</t>
  </si>
  <si>
    <t>WM21051100S0364</t>
  </si>
  <si>
    <t>00BD000B26</t>
  </si>
  <si>
    <t>0018F5597E61</t>
  </si>
  <si>
    <t>869492055075260</t>
  </si>
  <si>
    <t>WM21051100S0365</t>
  </si>
  <si>
    <t>00BD000B1D</t>
  </si>
  <si>
    <t>0018F5597E62</t>
  </si>
  <si>
    <t>869492055075518</t>
  </si>
  <si>
    <t>WM21051100S0366</t>
  </si>
  <si>
    <t>00BD000A52</t>
  </si>
  <si>
    <t>0018F5597E68</t>
  </si>
  <si>
    <t>869492055122237</t>
  </si>
  <si>
    <t>WM21051100S0367</t>
  </si>
  <si>
    <t>00BD00081A</t>
  </si>
  <si>
    <t>0018F5597E67</t>
  </si>
  <si>
    <t>869492055051816</t>
  </si>
  <si>
    <t>WM21051100S0368</t>
  </si>
  <si>
    <t>00BD000811</t>
  </si>
  <si>
    <t>0018F5597E66</t>
  </si>
  <si>
    <t>869492054679146</t>
  </si>
  <si>
    <t>WM21051100S0369</t>
  </si>
  <si>
    <t>00BD000B39</t>
  </si>
  <si>
    <t>0018F5597E65</t>
  </si>
  <si>
    <t>869492054619373</t>
  </si>
  <si>
    <t>WM21051100S0370</t>
  </si>
  <si>
    <t>00BD000812</t>
  </si>
  <si>
    <t>0018F5597E64</t>
  </si>
  <si>
    <t>869492054330211</t>
  </si>
  <si>
    <t>WM21051100S0373</t>
  </si>
  <si>
    <t>00BD000B03</t>
  </si>
  <si>
    <t>0018F5597F57</t>
  </si>
  <si>
    <t>869492054632095</t>
  </si>
  <si>
    <t>WM21051100S0374</t>
  </si>
  <si>
    <t>00BD000B20</t>
  </si>
  <si>
    <t>0018F5597F58</t>
  </si>
  <si>
    <t>869492054645204</t>
  </si>
  <si>
    <t>WM21051100S0375</t>
  </si>
  <si>
    <t>00BD000A9A</t>
  </si>
  <si>
    <t>0018F5597E69</t>
  </si>
  <si>
    <t>869492055077928</t>
  </si>
  <si>
    <t>WM21051100S0376</t>
  </si>
  <si>
    <t>00BD000B72</t>
  </si>
  <si>
    <t>0018F5597D70</t>
  </si>
  <si>
    <t>869492055073828</t>
  </si>
  <si>
    <t>WM21051100S0377</t>
  </si>
  <si>
    <t>00BD00080E</t>
  </si>
  <si>
    <t>0018F5597D71</t>
  </si>
  <si>
    <t>869492054330880</t>
  </si>
  <si>
    <t>WM21051100S0378</t>
  </si>
  <si>
    <t>00BD000B50</t>
  </si>
  <si>
    <t>0018F5597D72</t>
  </si>
  <si>
    <t>869492055101793</t>
  </si>
  <si>
    <t>WM21051100S0379</t>
  </si>
  <si>
    <t>00BD000B5E</t>
  </si>
  <si>
    <t>0018F5598039</t>
  </si>
  <si>
    <t>869492055073521</t>
  </si>
  <si>
    <t>WM21051100S0380</t>
  </si>
  <si>
    <t>00BD000B7B</t>
  </si>
  <si>
    <t>0018F5598038</t>
  </si>
  <si>
    <t>869492055101876</t>
  </si>
  <si>
    <t>WM21051100S0381</t>
  </si>
  <si>
    <t>00BD000B0F</t>
  </si>
  <si>
    <t>0018F5598037</t>
  </si>
  <si>
    <t>869492055075450</t>
  </si>
  <si>
    <t>WM21051100S0383</t>
  </si>
  <si>
    <t>00BD000B7D</t>
  </si>
  <si>
    <t>0018F5597F51</t>
  </si>
  <si>
    <t>869492054331425</t>
  </si>
  <si>
    <t>WM21051100S0384</t>
  </si>
  <si>
    <t>00BD000B3D</t>
  </si>
  <si>
    <t>0018F5597E5F</t>
  </si>
  <si>
    <t>869492055073950</t>
  </si>
  <si>
    <t>WM21051100S0385</t>
  </si>
  <si>
    <t>00BD000B17</t>
  </si>
  <si>
    <t>0018F5597E5E</t>
  </si>
  <si>
    <t>869492055074545</t>
  </si>
  <si>
    <t>WM21051100S0386</t>
  </si>
  <si>
    <t>00BD000B82</t>
  </si>
  <si>
    <t>0018F5597E5D</t>
  </si>
  <si>
    <t>869492055119662</t>
  </si>
  <si>
    <t>WM21051100S0387</t>
  </si>
  <si>
    <t>00BD000B5A</t>
  </si>
  <si>
    <t>0018F5597F53</t>
  </si>
  <si>
    <t>869492055081474</t>
  </si>
  <si>
    <t>WM21051100S0388</t>
  </si>
  <si>
    <t>00BD000B2D</t>
  </si>
  <si>
    <t>0018F5597F54</t>
  </si>
  <si>
    <t>869492055081425</t>
  </si>
  <si>
    <t>WM21051100S0389</t>
  </si>
  <si>
    <t>00BD000B58</t>
  </si>
  <si>
    <t>0018F559803A</t>
  </si>
  <si>
    <t>869492055074594</t>
  </si>
  <si>
    <t>WM21051100S0390</t>
  </si>
  <si>
    <t>00BD000B5C</t>
  </si>
  <si>
    <t>0018F5597F55</t>
  </si>
  <si>
    <t>869492055075369</t>
  </si>
  <si>
    <t>WM21051100S0391</t>
  </si>
  <si>
    <t>00BD000B2F</t>
  </si>
  <si>
    <t>0018F559803B</t>
  </si>
  <si>
    <t>869492054672190</t>
  </si>
  <si>
    <t>WM21051100S0392</t>
  </si>
  <si>
    <t>00BD000B57</t>
  </si>
  <si>
    <t>0018F5597D6B</t>
  </si>
  <si>
    <t>869492054605968</t>
  </si>
  <si>
    <t>WM21051100S0395</t>
  </si>
  <si>
    <t>00BD000A8C</t>
  </si>
  <si>
    <t>0018F5598034</t>
  </si>
  <si>
    <t>869492055122278</t>
  </si>
  <si>
    <t>WM21051100S0396</t>
  </si>
  <si>
    <t>00BD000B4E</t>
  </si>
  <si>
    <t>0018F5597E5C</t>
  </si>
  <si>
    <t>869492055115892</t>
  </si>
  <si>
    <t>WM21051100S0397</t>
  </si>
  <si>
    <t>00BD000B63</t>
  </si>
  <si>
    <t>0018F5597E5B</t>
  </si>
  <si>
    <t>869492055101728</t>
  </si>
  <si>
    <t>WM21051100S0398</t>
  </si>
  <si>
    <t>00BD00080B</t>
  </si>
  <si>
    <t>0018F5597E5A</t>
  </si>
  <si>
    <t>869492054331680</t>
  </si>
  <si>
    <t>WM21051100S0399</t>
  </si>
  <si>
    <t>00BD000759</t>
  </si>
  <si>
    <t>0018F5597F4B</t>
  </si>
  <si>
    <t>869492054685507</t>
  </si>
  <si>
    <t>WM21051100S0401</t>
  </si>
  <si>
    <t>00BD00075D</t>
  </si>
  <si>
    <t>0018F5598035</t>
  </si>
  <si>
    <t>869492054638258</t>
  </si>
  <si>
    <t>WM21051100S0402</t>
  </si>
  <si>
    <t>00BD000756</t>
  </si>
  <si>
    <t>0018F5597F4C</t>
  </si>
  <si>
    <t>869492054619795</t>
  </si>
  <si>
    <t>WM21051100S0403</t>
  </si>
  <si>
    <t>00BD0007C0</t>
  </si>
  <si>
    <t>0018F5597F4D</t>
  </si>
  <si>
    <t>869492055119548</t>
  </si>
  <si>
    <t>WM21051100S0404</t>
  </si>
  <si>
    <t>00BD000ADD</t>
  </si>
  <si>
    <t>0018F5597E53</t>
  </si>
  <si>
    <t>869492055119134</t>
  </si>
  <si>
    <t>WM21051100S0405</t>
  </si>
  <si>
    <t>00BD000AEC</t>
  </si>
  <si>
    <t>0018F5597E54</t>
  </si>
  <si>
    <t>869492054632012</t>
  </si>
  <si>
    <t>WM21051100S0406</t>
  </si>
  <si>
    <t>00BD000AE0</t>
  </si>
  <si>
    <t>0018F5597E56</t>
  </si>
  <si>
    <t>869492055074669</t>
  </si>
  <si>
    <t>WM21051100S0407</t>
  </si>
  <si>
    <t>00BD000A6A</t>
  </si>
  <si>
    <t>0018F5597E57</t>
  </si>
  <si>
    <t>869492055077894</t>
  </si>
  <si>
    <t>WM21051100S0408</t>
  </si>
  <si>
    <t>00BD000A69</t>
  </si>
  <si>
    <t>0018F5597E58</t>
  </si>
  <si>
    <t>869492055077860</t>
  </si>
  <si>
    <t>WM21051100S0409</t>
  </si>
  <si>
    <t>00BD000B53</t>
  </si>
  <si>
    <t>0018F5597E59</t>
  </si>
  <si>
    <t>869492055119233</t>
  </si>
  <si>
    <t>WM21051100S0412</t>
  </si>
  <si>
    <t>00BD0007C1</t>
  </si>
  <si>
    <t>0018F5597F4E</t>
  </si>
  <si>
    <t>869492055126899</t>
  </si>
  <si>
    <t>WM21051100S0413</t>
  </si>
  <si>
    <t>00BD000B10</t>
  </si>
  <si>
    <t>0018F5597D69</t>
  </si>
  <si>
    <t>869492055081144</t>
  </si>
  <si>
    <t>WM21051100S0414</t>
  </si>
  <si>
    <t>00BD000AE6</t>
  </si>
  <si>
    <t>0018F5597D67</t>
  </si>
  <si>
    <t>869492054672406</t>
  </si>
  <si>
    <t>WM21051100S0415</t>
  </si>
  <si>
    <t>00BD000AEF</t>
  </si>
  <si>
    <t>0018F5597D6A</t>
  </si>
  <si>
    <t>869492054632004</t>
  </si>
  <si>
    <t>WM21051100S0417</t>
  </si>
  <si>
    <t>00BD000718</t>
  </si>
  <si>
    <t>0018F5597F49</t>
  </si>
  <si>
    <t>869492054330765</t>
  </si>
  <si>
    <t>WM21051100S0418</t>
  </si>
  <si>
    <t>00BD000A83</t>
  </si>
  <si>
    <t>0018F5597D64</t>
  </si>
  <si>
    <t>869492055122294</t>
  </si>
  <si>
    <t>WM21051100S0419</t>
  </si>
  <si>
    <t>00BD000A7F</t>
  </si>
  <si>
    <t>0018F5597D65</t>
  </si>
  <si>
    <t>869492055075658</t>
  </si>
  <si>
    <t>WM21051100S0420</t>
  </si>
  <si>
    <t>00BD00080F</t>
  </si>
  <si>
    <t>0018F5597D66</t>
  </si>
  <si>
    <t>869492054331524</t>
  </si>
  <si>
    <t>WM21051100S0421</t>
  </si>
  <si>
    <t>00BD0007C7</t>
  </si>
  <si>
    <t>0018F5597F4A</t>
  </si>
  <si>
    <t>869492055119456</t>
  </si>
  <si>
    <t>WM21051100S0422</t>
  </si>
  <si>
    <t>00BD000B00</t>
  </si>
  <si>
    <t>0018F5597D62</t>
  </si>
  <si>
    <t>869492055051451</t>
  </si>
  <si>
    <t>WM21051100S0423</t>
  </si>
  <si>
    <t>00BD0009CF</t>
  </si>
  <si>
    <t>0018F5597D63</t>
  </si>
  <si>
    <t>869492055052053</t>
  </si>
  <si>
    <t>WM21051100S0424</t>
  </si>
  <si>
    <t>00BD000A81</t>
  </si>
  <si>
    <t>0018F5597E4D</t>
  </si>
  <si>
    <t>869492055077811</t>
  </si>
  <si>
    <t>WM21051100S0425</t>
  </si>
  <si>
    <t>00BD000A7B</t>
  </si>
  <si>
    <t>0018F5597E4E</t>
  </si>
  <si>
    <t>869492055122203</t>
  </si>
  <si>
    <t>WM21051100S0426</t>
  </si>
  <si>
    <t>00BD000A7A</t>
  </si>
  <si>
    <t>0018F5597E4F</t>
  </si>
  <si>
    <t>869492055126964</t>
  </si>
  <si>
    <t>WM21051100S0428</t>
  </si>
  <si>
    <t>00BD000B0B</t>
  </si>
  <si>
    <t>0018F5597E50</t>
  </si>
  <si>
    <t>869492055119126</t>
  </si>
  <si>
    <t>WM21051100S0429</t>
  </si>
  <si>
    <t>00BD00080C</t>
  </si>
  <si>
    <t>0018F5597E52</t>
  </si>
  <si>
    <t>869492054331540</t>
  </si>
  <si>
    <t>WM21051100S0431</t>
  </si>
  <si>
    <t>00BD0007C5</t>
  </si>
  <si>
    <t>0018F5598032</t>
  </si>
  <si>
    <t>869492055101975</t>
  </si>
  <si>
    <t>WM21051100S0432</t>
  </si>
  <si>
    <t>00BD00073D</t>
  </si>
  <si>
    <t>0018F5598033</t>
  </si>
  <si>
    <t>869492054685663</t>
  </si>
  <si>
    <t>WM21051100S0433</t>
  </si>
  <si>
    <t>00BD000AFA</t>
  </si>
  <si>
    <t>0018F5597E49</t>
  </si>
  <si>
    <t>869492055101603</t>
  </si>
  <si>
    <t>WM21051100S0434</t>
  </si>
  <si>
    <t>00BD000AFD</t>
  </si>
  <si>
    <t>0018F5597E4A</t>
  </si>
  <si>
    <t>869492054665079</t>
  </si>
  <si>
    <t>WM21051100S0437</t>
  </si>
  <si>
    <t>00BD000AE4</t>
  </si>
  <si>
    <t>0018F5597D5F</t>
  </si>
  <si>
    <t>869492055126923</t>
  </si>
  <si>
    <t>WM21051100S0439</t>
  </si>
  <si>
    <t>00BD000ADE</t>
  </si>
  <si>
    <t>0018F5597D5B</t>
  </si>
  <si>
    <t>869492055074529</t>
  </si>
  <si>
    <t>WM21051100S0440</t>
  </si>
  <si>
    <t>00BD000AE1</t>
  </si>
  <si>
    <t>0018F5597D5C</t>
  </si>
  <si>
    <t>869492055119241</t>
  </si>
  <si>
    <t>WM21051100S0441</t>
  </si>
  <si>
    <t>00BD000AA2</t>
  </si>
  <si>
    <t>0018F5597D5D</t>
  </si>
  <si>
    <t>869492055076292</t>
  </si>
  <si>
    <t>WM21051100S0442</t>
  </si>
  <si>
    <t>00BD000AE8</t>
  </si>
  <si>
    <t>0018F5597E46</t>
  </si>
  <si>
    <t>869492055139413</t>
  </si>
  <si>
    <t>WM21051100S0443</t>
  </si>
  <si>
    <t>00BD000ADA</t>
  </si>
  <si>
    <t>0018F5597E47</t>
  </si>
  <si>
    <t>869492055139314</t>
  </si>
  <si>
    <t>WM21051100S0444</t>
  </si>
  <si>
    <t>00BD0009BE</t>
  </si>
  <si>
    <t>0018F5597E48</t>
  </si>
  <si>
    <t>869492055052897</t>
  </si>
  <si>
    <t>WM21051100S0445</t>
  </si>
  <si>
    <t>00BD0006BD</t>
  </si>
  <si>
    <t>0018F5597F44</t>
  </si>
  <si>
    <t>869492054685622</t>
  </si>
  <si>
    <t>WM21051100S0446</t>
  </si>
  <si>
    <t>00BD0006EC</t>
  </si>
  <si>
    <t>0018F5597F45</t>
  </si>
  <si>
    <t>869492054330138</t>
  </si>
  <si>
    <t>WM21051100S0447</t>
  </si>
  <si>
    <t>00BD0006B6</t>
  </si>
  <si>
    <t>0018F5597F46</t>
  </si>
  <si>
    <t>869492054678098</t>
  </si>
  <si>
    <t>WM21051100S0448</t>
  </si>
  <si>
    <t>00BD0006B5</t>
  </si>
  <si>
    <t>0018F5597F47</t>
  </si>
  <si>
    <t>869492054639546</t>
  </si>
  <si>
    <t>WM21051100S0450</t>
  </si>
  <si>
    <t>00BD0004D0</t>
  </si>
  <si>
    <t>0018F5597F3C</t>
  </si>
  <si>
    <t>869492054336846</t>
  </si>
  <si>
    <t>WM21051100S0451</t>
  </si>
  <si>
    <t>00BD0006C0</t>
  </si>
  <si>
    <t>0018F5597F3A</t>
  </si>
  <si>
    <t>869492054331920</t>
  </si>
  <si>
    <t>WM21051100S0452</t>
  </si>
  <si>
    <t>00BD0006B4</t>
  </si>
  <si>
    <t>0018F5597F3B</t>
  </si>
  <si>
    <t>869492055081193</t>
  </si>
  <si>
    <t>WM21051100S0454</t>
  </si>
  <si>
    <t>00BD0006B2</t>
  </si>
  <si>
    <t>0018F5597F43</t>
  </si>
  <si>
    <t>869492054602106</t>
  </si>
  <si>
    <t>WM21051100S0455</t>
  </si>
  <si>
    <t>00BD0006BC</t>
  </si>
  <si>
    <t>0018F5597F42</t>
  </si>
  <si>
    <t>869492055081136</t>
  </si>
  <si>
    <t>WM21051100S0457</t>
  </si>
  <si>
    <t>00BD000755</t>
  </si>
  <si>
    <t>0018F5597F39</t>
  </si>
  <si>
    <t>869492054698245</t>
  </si>
  <si>
    <t>WM21051100S0458</t>
  </si>
  <si>
    <t>00BD0004D9</t>
  </si>
  <si>
    <t>0018F5597F3D</t>
  </si>
  <si>
    <t>869492054338545</t>
  </si>
  <si>
    <t>WM21051100S0459</t>
  </si>
  <si>
    <t>00BD000752</t>
  </si>
  <si>
    <t>0018F5597F3F</t>
  </si>
  <si>
    <t>869492055139603</t>
  </si>
  <si>
    <t>WM21051100S0460</t>
  </si>
  <si>
    <t>00BD000751</t>
  </si>
  <si>
    <t>0018F5597F38</t>
  </si>
  <si>
    <t>869492055115843</t>
  </si>
  <si>
    <t>WM21051100S0461</t>
  </si>
  <si>
    <t>00BD0006EB</t>
  </si>
  <si>
    <t>0018F5597F40</t>
  </si>
  <si>
    <t>869492054330179</t>
  </si>
  <si>
    <t>WM21051100S0462</t>
  </si>
  <si>
    <t>00BD0008B6</t>
  </si>
  <si>
    <t>0018F5598021</t>
  </si>
  <si>
    <t>869492055073711</t>
  </si>
  <si>
    <t>WM21051100S0463</t>
  </si>
  <si>
    <t>00BD0008A2</t>
  </si>
  <si>
    <t>0018F5598024</t>
  </si>
  <si>
    <t>869492055075484</t>
  </si>
  <si>
    <t>WM21051100S0464</t>
  </si>
  <si>
    <t>00BD000898</t>
  </si>
  <si>
    <t>0018F5598025</t>
  </si>
  <si>
    <t>869492055073653</t>
  </si>
  <si>
    <t>WM21051100S0465</t>
  </si>
  <si>
    <t>00BD0007C6</t>
  </si>
  <si>
    <t>0018F559802A</t>
  </si>
  <si>
    <t>869492055108673</t>
  </si>
  <si>
    <t>WM21051100S0466</t>
  </si>
  <si>
    <t>00BD000750</t>
  </si>
  <si>
    <t>0018F5598023</t>
  </si>
  <si>
    <t>869492054320402</t>
  </si>
  <si>
    <t>WM21051100S0467</t>
  </si>
  <si>
    <t>00BD0008AC</t>
  </si>
  <si>
    <t>0018F5598022</t>
  </si>
  <si>
    <t>869492055075393</t>
  </si>
  <si>
    <t>WM21051100S0468</t>
  </si>
  <si>
    <t>00BD0008D7</t>
  </si>
  <si>
    <t>0018F5598029</t>
  </si>
  <si>
    <t>869492055077530</t>
  </si>
  <si>
    <t>WM21051100S0469</t>
  </si>
  <si>
    <t>00BD000848</t>
  </si>
  <si>
    <t>0018F5598028</t>
  </si>
  <si>
    <t>869492054320725</t>
  </si>
  <si>
    <t>WM21051100S0470</t>
  </si>
  <si>
    <t>00BD0008E5</t>
  </si>
  <si>
    <t>0018F5598027</t>
  </si>
  <si>
    <t>869492055051535</t>
  </si>
  <si>
    <t>WM21051100S0472</t>
  </si>
  <si>
    <t>00BD0007C9</t>
  </si>
  <si>
    <t>0018F5597F2A</t>
  </si>
  <si>
    <t>869492054330708</t>
  </si>
  <si>
    <t>WM21051100S0473</t>
  </si>
  <si>
    <t>00BD0007C8</t>
  </si>
  <si>
    <t>0018F5597F29</t>
  </si>
  <si>
    <t>869492054330310</t>
  </si>
  <si>
    <t>WM21051100S0474</t>
  </si>
  <si>
    <t>00BD0008A4</t>
  </si>
  <si>
    <t>0018F5597F28</t>
  </si>
  <si>
    <t>869492055075799</t>
  </si>
  <si>
    <t>WM21051100S0475</t>
  </si>
  <si>
    <t>00BD0006E7</t>
  </si>
  <si>
    <t>0018F5597F2F</t>
  </si>
  <si>
    <t>869492054330377</t>
  </si>
  <si>
    <t>WM21051100S0476</t>
  </si>
  <si>
    <t>00BD0006B9</t>
  </si>
  <si>
    <t>0018F5597F2E</t>
  </si>
  <si>
    <t>869492054330146</t>
  </si>
  <si>
    <t>WM21051100S0477</t>
  </si>
  <si>
    <t>00BD000714</t>
  </si>
  <si>
    <t>0018F5597F2D</t>
  </si>
  <si>
    <t>869492054330336</t>
  </si>
  <si>
    <t>WM21051100S0478</t>
  </si>
  <si>
    <t>00BD0006E2</t>
  </si>
  <si>
    <t>0018F559802C</t>
  </si>
  <si>
    <t>869492055119340</t>
  </si>
  <si>
    <t>WM21051100S0479</t>
  </si>
  <si>
    <t>00BD000516</t>
  </si>
  <si>
    <t>0018F559802B</t>
  </si>
  <si>
    <t>869492054309918</t>
  </si>
  <si>
    <t>WM21051100S0481</t>
  </si>
  <si>
    <t>00BD0007AF</t>
  </si>
  <si>
    <t>0018F5597F35</t>
  </si>
  <si>
    <t>869492054637433</t>
  </si>
  <si>
    <t>WM21051100S0482</t>
  </si>
  <si>
    <t>00BD00073A</t>
  </si>
  <si>
    <t>0018F5597F34</t>
  </si>
  <si>
    <t>869492054331466</t>
  </si>
  <si>
    <t>WM21051100S0483</t>
  </si>
  <si>
    <t>00BD0008C2</t>
  </si>
  <si>
    <t>0018F559801C</t>
  </si>
  <si>
    <t>869492055074867</t>
  </si>
  <si>
    <t>WM21051100S0484</t>
  </si>
  <si>
    <t>00BD0008E9</t>
  </si>
  <si>
    <t>0018F559801B</t>
  </si>
  <si>
    <t>869492055118565</t>
  </si>
  <si>
    <t>WM21051100S0485</t>
  </si>
  <si>
    <t>00BD0008E8</t>
  </si>
  <si>
    <t>0018F5597F23</t>
  </si>
  <si>
    <t>869492055074149</t>
  </si>
  <si>
    <t>WM21051100S0486</t>
  </si>
  <si>
    <t>00BD0008AE</t>
  </si>
  <si>
    <t>0018F5597F22</t>
  </si>
  <si>
    <t>869492055075591</t>
  </si>
  <si>
    <t>WM21051100S0487</t>
  </si>
  <si>
    <t>00BD000895</t>
  </si>
  <si>
    <t>0018F5597F27</t>
  </si>
  <si>
    <t>869492055075567</t>
  </si>
  <si>
    <t>WM21051100S0488</t>
  </si>
  <si>
    <t>00BD0007C3</t>
  </si>
  <si>
    <t>0018F559802F</t>
  </si>
  <si>
    <t>869492054330781</t>
  </si>
  <si>
    <t>WM21051100S0489</t>
  </si>
  <si>
    <t>00BD0008E3</t>
  </si>
  <si>
    <t>0018F5597F26</t>
  </si>
  <si>
    <t>869492055075310</t>
  </si>
  <si>
    <t>WM21051100S0490</t>
  </si>
  <si>
    <t>00BD0008DF</t>
  </si>
  <si>
    <t>0018F5597F25</t>
  </si>
  <si>
    <t>869492054679518</t>
  </si>
  <si>
    <t>WM21051100S0491</t>
  </si>
  <si>
    <t>00BD000739</t>
  </si>
  <si>
    <t>0018F559802E</t>
  </si>
  <si>
    <t>869492054331409</t>
  </si>
  <si>
    <t>WM21051100S0492</t>
  </si>
  <si>
    <t>00BD0004D8</t>
  </si>
  <si>
    <t>0018F559802D</t>
  </si>
  <si>
    <t>869492054337976</t>
  </si>
  <si>
    <t>WM21051100S0493</t>
  </si>
  <si>
    <t>00BD00089A</t>
  </si>
  <si>
    <t>0018F5598020</t>
  </si>
  <si>
    <t>869492055073620</t>
  </si>
  <si>
    <t>WM21051100S0494</t>
  </si>
  <si>
    <t>00BD0008E2</t>
  </si>
  <si>
    <t>0018F559801D</t>
  </si>
  <si>
    <t>869492055118508</t>
  </si>
  <si>
    <t>WM21051100S0495</t>
  </si>
  <si>
    <t>00BD000712</t>
  </si>
  <si>
    <t>0018F5597F24</t>
  </si>
  <si>
    <t>869492054320600</t>
  </si>
  <si>
    <t>WM21051100S0496</t>
  </si>
  <si>
    <t>00BD0007C2</t>
  </si>
  <si>
    <t>0018F5597F32</t>
  </si>
  <si>
    <t>869492055126907</t>
  </si>
  <si>
    <t>WM21051100S0497</t>
  </si>
  <si>
    <t>00BD0006BE</t>
  </si>
  <si>
    <t>0018F559801E</t>
  </si>
  <si>
    <t>869492054692305</t>
  </si>
  <si>
    <t>WM21051100S0498</t>
  </si>
  <si>
    <t>00BD000711</t>
  </si>
  <si>
    <t>0018F5597F30</t>
  </si>
  <si>
    <t>869492054330237</t>
  </si>
  <si>
    <t>WM21051100S0499</t>
  </si>
  <si>
    <t>00BD0004D6</t>
  </si>
  <si>
    <t>0018F5597F31</t>
  </si>
  <si>
    <t>869492054338008</t>
  </si>
  <si>
    <t>WM21051100S0500</t>
  </si>
  <si>
    <t>00BD0008A9</t>
  </si>
  <si>
    <t>0018F559801F</t>
  </si>
  <si>
    <t>869492055075724</t>
  </si>
  <si>
    <t>WM21051100S0822</t>
  </si>
  <si>
    <t>00BD000CBC</t>
  </si>
  <si>
    <t>0018F55980EC</t>
  </si>
  <si>
    <t>869492055050867</t>
  </si>
  <si>
    <t>WM21051100S0823</t>
  </si>
  <si>
    <t>00BD000CB4</t>
  </si>
  <si>
    <t>0018F55980EB</t>
  </si>
  <si>
    <t>869492055052020</t>
  </si>
  <si>
    <t>WM21051100S0828</t>
  </si>
  <si>
    <t>00BD0009F6</t>
  </si>
  <si>
    <t>0018F5597C72</t>
  </si>
  <si>
    <t>869492055122336</t>
  </si>
  <si>
    <t>WM21051100S0829</t>
  </si>
  <si>
    <t>00BD000A03</t>
  </si>
  <si>
    <t>0018F5597C73</t>
  </si>
  <si>
    <t>869492054331292</t>
  </si>
  <si>
    <t>WM21051100S0830</t>
  </si>
  <si>
    <t>00BD0008D3</t>
  </si>
  <si>
    <t>0018F5597C80</t>
  </si>
  <si>
    <t>869492055074156</t>
  </si>
  <si>
    <t>WM21051100S0836</t>
  </si>
  <si>
    <t>00BD000CAB</t>
  </si>
  <si>
    <t>0018F5597A11</t>
  </si>
  <si>
    <t>869492055052541</t>
  </si>
  <si>
    <t>WM21051100S0837</t>
  </si>
  <si>
    <t>00BD000CB6</t>
  </si>
  <si>
    <t>0018F5597A12</t>
  </si>
  <si>
    <t>869492055052236</t>
  </si>
  <si>
    <t>WM21051100S0838</t>
  </si>
  <si>
    <t>00BD000C6D</t>
  </si>
  <si>
    <t>0018F5597A13</t>
  </si>
  <si>
    <t>869492055074453</t>
  </si>
  <si>
    <t>WM21051100S0839</t>
  </si>
  <si>
    <t>00BD0009FD</t>
  </si>
  <si>
    <t>0018F5597C74</t>
  </si>
  <si>
    <t>869492054331284</t>
  </si>
  <si>
    <t>WM21051100S0840</t>
  </si>
  <si>
    <t>00BD000A1E</t>
  </si>
  <si>
    <t>0018F5597C75</t>
  </si>
  <si>
    <t>869492055122195</t>
  </si>
  <si>
    <t>WM21051100S0841</t>
  </si>
  <si>
    <t>00BD0009EE</t>
  </si>
  <si>
    <t>0018F5597C76</t>
  </si>
  <si>
    <t>869492055051618</t>
  </si>
  <si>
    <t>WM21051100S0843</t>
  </si>
  <si>
    <t>00BD000A5E</t>
  </si>
  <si>
    <t>0018F55980E9</t>
  </si>
  <si>
    <t>869492054331813</t>
  </si>
  <si>
    <t>WM21051100S0844</t>
  </si>
  <si>
    <t>00BD000CB0</t>
  </si>
  <si>
    <t>0018F55980EA</t>
  </si>
  <si>
    <t>869492055075617</t>
  </si>
  <si>
    <t>WM21051100S0845</t>
  </si>
  <si>
    <t>00BD000A4A</t>
  </si>
  <si>
    <t>0018F55980E4</t>
  </si>
  <si>
    <t>869492055126931</t>
  </si>
  <si>
    <t>WM21051100S0846</t>
  </si>
  <si>
    <t>00BD000C67</t>
  </si>
  <si>
    <t>0018F5597B90</t>
  </si>
  <si>
    <t>869492055139322</t>
  </si>
  <si>
    <t>WM21051100S0847</t>
  </si>
  <si>
    <t>00BD0008BF</t>
  </si>
  <si>
    <t>0018F5597B91</t>
  </si>
  <si>
    <t>869492055052939</t>
  </si>
  <si>
    <t>WM21051100S0850</t>
  </si>
  <si>
    <t>00BD000CA1</t>
  </si>
  <si>
    <t>0018F5597C85</t>
  </si>
  <si>
    <t>869492055050693</t>
  </si>
  <si>
    <t>WM21051100S0851</t>
  </si>
  <si>
    <t>00BD000A2D</t>
  </si>
  <si>
    <t>0018F55980E3</t>
  </si>
  <si>
    <t>869492055122146</t>
  </si>
  <si>
    <t>WM21051100S0853</t>
  </si>
  <si>
    <t>00BD000C47</t>
  </si>
  <si>
    <t>0018F5597B93</t>
  </si>
  <si>
    <t>869492054672380</t>
  </si>
  <si>
    <t>WM21051100S0854</t>
  </si>
  <si>
    <t>00BD000CAE</t>
  </si>
  <si>
    <t>0018F5597A14</t>
  </si>
  <si>
    <t>869492055050735</t>
  </si>
  <si>
    <t>WM21051100S0855</t>
  </si>
  <si>
    <t>00BD000ADF</t>
  </si>
  <si>
    <t>0018F5597A15</t>
  </si>
  <si>
    <t>869492055122856</t>
  </si>
  <si>
    <t>WM21051100S0869</t>
  </si>
  <si>
    <t>00BD000CD4</t>
  </si>
  <si>
    <t>0018F5597FFE</t>
  </si>
  <si>
    <t>869492055075302</t>
  </si>
  <si>
    <t>WM21051100S0871</t>
  </si>
  <si>
    <t>00BD000A3D</t>
  </si>
  <si>
    <t>0018F5597C70</t>
  </si>
  <si>
    <t>869492055121957</t>
  </si>
  <si>
    <t>WM21051100S0877</t>
  </si>
  <si>
    <t>00BD000C6B</t>
  </si>
  <si>
    <t>0018F55980DA</t>
  </si>
  <si>
    <t>869492055101710</t>
  </si>
  <si>
    <t>WM21051100S0878</t>
  </si>
  <si>
    <t>00BD000C6A</t>
  </si>
  <si>
    <t>0018F55980D9</t>
  </si>
  <si>
    <t>869492055119670</t>
  </si>
  <si>
    <t>WM21051100S0887</t>
  </si>
  <si>
    <t>00BD000A4F</t>
  </si>
  <si>
    <t>0018F55980E6</t>
  </si>
  <si>
    <t>869492055139355</t>
  </si>
  <si>
    <t>WM21051100S0888</t>
  </si>
  <si>
    <t>00BD000A41</t>
  </si>
  <si>
    <t>0018F55980E7</t>
  </si>
  <si>
    <t>869492055076243</t>
  </si>
  <si>
    <t>WM21051100S0889</t>
  </si>
  <si>
    <t>00BD000A16</t>
  </si>
  <si>
    <t>0018F5597B7A</t>
  </si>
  <si>
    <t>869492055126626</t>
  </si>
  <si>
    <t>WM21051100S0900</t>
  </si>
  <si>
    <t>00BD000C55</t>
  </si>
  <si>
    <t>0018F55980DE</t>
  </si>
  <si>
    <t>869492055081441</t>
  </si>
  <si>
    <t>WM21051100S0901</t>
  </si>
  <si>
    <t>00BD000A07</t>
  </si>
  <si>
    <t>0018F5597A08</t>
  </si>
  <si>
    <t>869492054330542</t>
  </si>
  <si>
    <t>WM21051100S0902</t>
  </si>
  <si>
    <t>00BD000A2B</t>
  </si>
  <si>
    <t>0018F5597A09</t>
  </si>
  <si>
    <t>869492055122138</t>
  </si>
  <si>
    <t>WM21051100S0903</t>
  </si>
  <si>
    <t>00BD000A22</t>
  </si>
  <si>
    <t>0018F5597A0A</t>
  </si>
  <si>
    <t>869492055122120</t>
  </si>
  <si>
    <t>WM21051100S0904</t>
  </si>
  <si>
    <t>00BD000C64</t>
  </si>
  <si>
    <t>0018F5597B76</t>
  </si>
  <si>
    <t>869492054692446</t>
  </si>
  <si>
    <t>WM21051100S0905</t>
  </si>
  <si>
    <t>00BD000C66</t>
  </si>
  <si>
    <t>0018F5597A03</t>
  </si>
  <si>
    <t>869492055081227</t>
  </si>
  <si>
    <t>WM21051100S0920</t>
  </si>
  <si>
    <t>00BD000C60</t>
  </si>
  <si>
    <t>0018F5597C64</t>
  </si>
  <si>
    <t>869492054672208</t>
  </si>
  <si>
    <t>WM21051100S0921</t>
  </si>
  <si>
    <t>00BD000C43</t>
  </si>
  <si>
    <t>0018F5597C65</t>
  </si>
  <si>
    <t>869492055101884</t>
  </si>
  <si>
    <t>WM21051100S0922</t>
  </si>
  <si>
    <t>00BD000C58</t>
  </si>
  <si>
    <t>0018F5597C66</t>
  </si>
  <si>
    <t>869492055081433</t>
  </si>
  <si>
    <t>WM21051100S0925</t>
  </si>
  <si>
    <t>00BD000C41</t>
  </si>
  <si>
    <t>0018F5597B6D</t>
  </si>
  <si>
    <t>869492054691059</t>
  </si>
  <si>
    <t>WM21051100S0926</t>
  </si>
  <si>
    <t>00BD000BCC</t>
  </si>
  <si>
    <t>0018F5597B6E</t>
  </si>
  <si>
    <t>869492055119720</t>
  </si>
  <si>
    <t>WM21051100S0927</t>
  </si>
  <si>
    <t>00BD000A10</t>
  </si>
  <si>
    <t>0018F5597B77</t>
  </si>
  <si>
    <t>869492055126808</t>
  </si>
  <si>
    <t>WM21051100S0934</t>
  </si>
  <si>
    <t>00BD000C5B</t>
  </si>
  <si>
    <t>0018F5597B72</t>
  </si>
  <si>
    <t>869492055081359</t>
  </si>
  <si>
    <t>WM21051100S0935</t>
  </si>
  <si>
    <t>00BD000C4C</t>
  </si>
  <si>
    <t>0018F5597B73</t>
  </si>
  <si>
    <t>869492055077027</t>
  </si>
  <si>
    <t>WM21051100S0936</t>
  </si>
  <si>
    <t>00BD000C49</t>
  </si>
  <si>
    <t>0018F5597B74</t>
  </si>
  <si>
    <t>869492055139512</t>
  </si>
  <si>
    <t>WM21051100S0937</t>
  </si>
  <si>
    <t>00BD000C8C</t>
  </si>
  <si>
    <t>0018F5597C5B</t>
  </si>
  <si>
    <t>869492055052491</t>
  </si>
  <si>
    <t>WM21051100S0938</t>
  </si>
  <si>
    <t>00BD000C92</t>
  </si>
  <si>
    <t>0018F5597C5C</t>
  </si>
  <si>
    <t>869492055050842</t>
  </si>
  <si>
    <t>WM21051100S0939</t>
  </si>
  <si>
    <t>00BD000C81</t>
  </si>
  <si>
    <t>0018F5597C5D</t>
  </si>
  <si>
    <t>869492055050933</t>
  </si>
  <si>
    <t>WM21051100S0944</t>
  </si>
  <si>
    <t>00BD00088E</t>
  </si>
  <si>
    <t>0018F5597C59</t>
  </si>
  <si>
    <t>869492055052129</t>
  </si>
  <si>
    <t>WM21051100S0951</t>
  </si>
  <si>
    <t>00BD000C72</t>
  </si>
  <si>
    <t>0018F5597B64</t>
  </si>
  <si>
    <t>869492055050743</t>
  </si>
  <si>
    <t>WM21051100S0952</t>
  </si>
  <si>
    <t>00BD000C99</t>
  </si>
  <si>
    <t>0018F5597B65</t>
  </si>
  <si>
    <t>869492055118516</t>
  </si>
  <si>
    <t>WM21051100S0961</t>
  </si>
  <si>
    <t>00BD0008A1</t>
  </si>
  <si>
    <t>0018F5597B5C</t>
  </si>
  <si>
    <t>869492055052509</t>
  </si>
  <si>
    <t>WM21051100S0962</t>
  </si>
  <si>
    <t>00BD0008EB</t>
  </si>
  <si>
    <t>0018F5597B57</t>
  </si>
  <si>
    <t>869492055075229</t>
  </si>
  <si>
    <t>WM21051100S0963</t>
  </si>
  <si>
    <t>00BD0008D6</t>
  </si>
  <si>
    <t>0018F5597B56</t>
  </si>
  <si>
    <t>869492055075781</t>
  </si>
  <si>
    <t>WM21051100S0964</t>
  </si>
  <si>
    <t>00BD000BC7</t>
  </si>
  <si>
    <t>0018F5597C4D</t>
  </si>
  <si>
    <t>869492055081268</t>
  </si>
  <si>
    <t>WM21051100S0965</t>
  </si>
  <si>
    <t>00BD000BAB</t>
  </si>
  <si>
    <t>0018F5597C4E</t>
  </si>
  <si>
    <t>869492055074461</t>
  </si>
  <si>
    <t>WM21051100S0966</t>
  </si>
  <si>
    <t>00BD000B29</t>
  </si>
  <si>
    <t>0018F5597FF1</t>
  </si>
  <si>
    <t>869492055074578</t>
  </si>
  <si>
    <t>WM21051100S0971</t>
  </si>
  <si>
    <t>00BD000D01</t>
  </si>
  <si>
    <t>0018F5597C54</t>
  </si>
  <si>
    <t>869492055076144</t>
  </si>
  <si>
    <t>WM21051100S0972</t>
  </si>
  <si>
    <t>00BD000796</t>
  </si>
  <si>
    <t>0018F55980D6</t>
  </si>
  <si>
    <t>869492054321137</t>
  </si>
  <si>
    <t>WM21051100S0974</t>
  </si>
  <si>
    <t>00BD000BB8</t>
  </si>
  <si>
    <t>0018F5597B58</t>
  </si>
  <si>
    <t>869492055076334</t>
  </si>
  <si>
    <t>WM21051100S0976</t>
  </si>
  <si>
    <t>00BD000BA5</t>
  </si>
  <si>
    <t>0018F55980D4</t>
  </si>
  <si>
    <t>869492054643282</t>
  </si>
  <si>
    <t>WM21051100S0978</t>
  </si>
  <si>
    <t>00BD000B36</t>
  </si>
  <si>
    <t>0018F5597FEB</t>
  </si>
  <si>
    <t>869492055074347</t>
  </si>
  <si>
    <t>WM21051100S0981</t>
  </si>
  <si>
    <t>00BD000896</t>
  </si>
  <si>
    <t>0018F5597C50</t>
  </si>
  <si>
    <t>869492055118243</t>
  </si>
  <si>
    <t>WM21051100S0982</t>
  </si>
  <si>
    <t>00BD0008EF</t>
  </si>
  <si>
    <t>0018F5597B55</t>
  </si>
  <si>
    <t>869492055118557</t>
  </si>
  <si>
    <t>WM21051100S0983</t>
  </si>
  <si>
    <t>00BD0008C8</t>
  </si>
  <si>
    <t>0018F5597B54</t>
  </si>
  <si>
    <t>869492055051121</t>
  </si>
  <si>
    <t>WM21051100S1005</t>
  </si>
  <si>
    <t>00BD000789</t>
  </si>
  <si>
    <t>0018F5597B50</t>
  </si>
  <si>
    <t>869492055139371</t>
  </si>
  <si>
    <t>WM21051100S1006</t>
  </si>
  <si>
    <t>00BD00079A</t>
  </si>
  <si>
    <t>0018F5597B52</t>
  </si>
  <si>
    <t>869492055119852</t>
  </si>
  <si>
    <t>WM21051100S1007</t>
  </si>
  <si>
    <t>00BD000763</t>
  </si>
  <si>
    <t>0018F5597B51</t>
  </si>
  <si>
    <t>869492054688436</t>
  </si>
  <si>
    <t>WM21051100S1015</t>
  </si>
  <si>
    <t>00BD0009B8</t>
  </si>
  <si>
    <t>0018F5597C43</t>
  </si>
  <si>
    <t>869492055050891</t>
  </si>
  <si>
    <t>WM21051100S1017</t>
  </si>
  <si>
    <t>00BD000770</t>
  </si>
  <si>
    <t>0018F5597B46</t>
  </si>
  <si>
    <t>869492054320576</t>
  </si>
  <si>
    <t>WM21051100S1040</t>
  </si>
  <si>
    <t>00BD000819</t>
  </si>
  <si>
    <t>0018F5597FD4</t>
  </si>
  <si>
    <t>869492055077654</t>
  </si>
  <si>
    <t>WM21051100S1041</t>
  </si>
  <si>
    <t>00BD000AAC</t>
  </si>
  <si>
    <t>0018F5597FD6</t>
  </si>
  <si>
    <t>869492055052285</t>
  </si>
  <si>
    <t>WM21051100S1045</t>
  </si>
  <si>
    <t>00BD00076F</t>
  </si>
  <si>
    <t>0018F5597C40</t>
  </si>
  <si>
    <t>869492054685523</t>
  </si>
  <si>
    <t>WM21051100S1048</t>
  </si>
  <si>
    <t>00BD0009AD</t>
  </si>
  <si>
    <t>0018F5597FD7</t>
  </si>
  <si>
    <t>869492055051493</t>
  </si>
  <si>
    <t>WM21051100S1050</t>
  </si>
  <si>
    <t>00BD000834</t>
  </si>
  <si>
    <t>0018F55980C2</t>
  </si>
  <si>
    <t>869492055139199</t>
  </si>
  <si>
    <t>WM21051100S1054</t>
  </si>
  <si>
    <t>00BD000ACD</t>
  </si>
  <si>
    <t>0018F5597B38</t>
  </si>
  <si>
    <t>869492055101538</t>
  </si>
  <si>
    <t>WM21051100S1055</t>
  </si>
  <si>
    <t>00BD000B0D</t>
  </si>
  <si>
    <t>0018F5597B39</t>
  </si>
  <si>
    <t>869492054644488</t>
  </si>
  <si>
    <t>WM21051100S1056</t>
  </si>
  <si>
    <t>00BD000B27</t>
  </si>
  <si>
    <t>0018F5597B41</t>
  </si>
  <si>
    <t>869492055074313</t>
  </si>
  <si>
    <t>WM21051100S1057</t>
  </si>
  <si>
    <t>00BD000962</t>
  </si>
  <si>
    <t>0018F5597B42</t>
  </si>
  <si>
    <t>869492055051147</t>
  </si>
  <si>
    <t>WM21051100S1058</t>
  </si>
  <si>
    <t>00BD0007A3</t>
  </si>
  <si>
    <t>0018F5597B43</t>
  </si>
  <si>
    <t>869492055139694</t>
  </si>
  <si>
    <t>WM21051100S1059</t>
  </si>
  <si>
    <t>00BD00076C</t>
  </si>
  <si>
    <t>0018F5597C3C</t>
  </si>
  <si>
    <t>869492054331797</t>
  </si>
  <si>
    <t>WM21051100S1060</t>
  </si>
  <si>
    <t>00BD0009D2</t>
  </si>
  <si>
    <t>0018F5597C3B</t>
  </si>
  <si>
    <t>869492055052921</t>
  </si>
  <si>
    <t>WM21051100S1062</t>
  </si>
  <si>
    <t>00BD000989</t>
  </si>
  <si>
    <t>0018F55980C0</t>
  </si>
  <si>
    <t>869492055052269</t>
  </si>
  <si>
    <t>WM21051100S1063</t>
  </si>
  <si>
    <t>00BD000B02</t>
  </si>
  <si>
    <t>0018F55980BF</t>
  </si>
  <si>
    <t>869492055074917</t>
  </si>
  <si>
    <t>WM21051100S1064</t>
  </si>
  <si>
    <t>00BD000AA6</t>
  </si>
  <si>
    <t>0018F55980BD</t>
  </si>
  <si>
    <t>869492055051923</t>
  </si>
  <si>
    <t>WM21051100S1065</t>
  </si>
  <si>
    <t>00BD000A65</t>
  </si>
  <si>
    <t>0018F5597B3A</t>
  </si>
  <si>
    <t>869492055117856</t>
  </si>
  <si>
    <t>WM21051100S1088</t>
  </si>
  <si>
    <t>00BD000B1C</t>
  </si>
  <si>
    <t>0018F5597B3C</t>
  </si>
  <si>
    <t>869492055081466</t>
  </si>
  <si>
    <t>WM21051100S1089</t>
  </si>
  <si>
    <t>00BD000B06</t>
  </si>
  <si>
    <t>0018F5597B3B</t>
  </si>
  <si>
    <t>869492054610620</t>
  </si>
  <si>
    <t>WM21051100S1090</t>
  </si>
  <si>
    <t>00BD000816</t>
  </si>
  <si>
    <t>0018F55980BA</t>
  </si>
  <si>
    <t>869492054330922</t>
  </si>
  <si>
    <t>WM21051100S1104</t>
  </si>
  <si>
    <t>00BD00089B</t>
  </si>
  <si>
    <t>0018F55980B4</t>
  </si>
  <si>
    <t>869492055076508</t>
  </si>
  <si>
    <t>WM21051100S1105</t>
  </si>
  <si>
    <t>00BD000AE2</t>
  </si>
  <si>
    <t>0018F55980B2</t>
  </si>
  <si>
    <t>869492055122450</t>
  </si>
  <si>
    <t>WM21051100S1106</t>
  </si>
  <si>
    <t>00BD000A5F</t>
  </si>
  <si>
    <t>0018F55980B3</t>
  </si>
  <si>
    <t>869492055122427</t>
  </si>
  <si>
    <t>WM21051100S1107</t>
  </si>
  <si>
    <t>00BD00095C</t>
  </si>
  <si>
    <t>0018F5597B34</t>
  </si>
  <si>
    <t>869492055076557</t>
  </si>
  <si>
    <t>WM21051100S1154</t>
  </si>
  <si>
    <t>00BD00073F</t>
  </si>
  <si>
    <t>0018F5597C1E</t>
  </si>
  <si>
    <t>869492054685630</t>
  </si>
  <si>
    <t>WM21051100S1170</t>
  </si>
  <si>
    <t>00BD000A36</t>
  </si>
  <si>
    <t>0018F55980A6</t>
  </si>
  <si>
    <t>869492055139363</t>
  </si>
  <si>
    <t>STT</t>
  </si>
  <si>
    <t>Emei</t>
  </si>
  <si>
    <t xml:space="preserve">Sản phẩm </t>
  </si>
  <si>
    <t>MAC</t>
  </si>
  <si>
    <t>Chip code</t>
  </si>
  <si>
    <t xml:space="preserve">Ngày xuất </t>
  </si>
  <si>
    <t xml:space="preserve">Khách hàng </t>
  </si>
  <si>
    <t xml:space="preserve"> ĐL GPS Global </t>
  </si>
  <si>
    <t xml:space="preserve">Số lượng </t>
  </si>
  <si>
    <t xml:space="preserve">GPS Tây Ninh </t>
  </si>
  <si>
    <t xml:space="preserve">ĐL Hải Yến </t>
  </si>
  <si>
    <t xml:space="preserve">Lắp đặt đã xuất </t>
  </si>
  <si>
    <t xml:space="preserve">ĐL a Tĩnh Bình Dương </t>
  </si>
  <si>
    <t xml:space="preserve">đl Phúc Hưng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</si>
</sst>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 shrinkToFit="1"/>
    </xf>
    <xf numFmtId="49" fontId="1" fillId="0" borderId="1" xfId="0" applyNumberFormat="1" applyFont="1" applyBorder="1" applyAlignment="1">
      <alignment horizontal="left" vertical="center" wrapText="1" shrinkToFit="1"/>
    </xf>
    <xf numFmtId="0" fontId="1" fillId="0" borderId="0" xfId="0" applyFont="1"/>
    <xf numFmtId="0" fontId="1" fillId="0" borderId="2" xfId="0" applyFont="1" applyBorder="1" applyAlignment="1">
      <alignment horizontal="center" vertical="center" wrapText="1" shrinkToFit="1"/>
    </xf>
    <xf numFmtId="49" fontId="1" fillId="0" borderId="2" xfId="0" applyNumberFormat="1" applyFont="1" applyBorder="1" applyAlignment="1">
      <alignment horizontal="left" vertical="center" wrapText="1" shrinkToFit="1"/>
    </xf>
    <xf numFmtId="0" fontId="2" fillId="2" borderId="2" xfId="0" applyFont="1" applyFill="1" applyBorder="1" applyAlignment="1">
      <alignment horizontal="center"/>
    </xf>
    <xf numFmtId="0" fontId="0" fillId="0" borderId="2" xfId="0" applyBorder="1"/>
    <xf numFmtId="14" fontId="0" fillId="0" borderId="2" xfId="0" applyNumberFormat="1" applyBorder="1"/>
    <xf numFmtId="0" fontId="1" fillId="3" borderId="2" xfId="0" applyFont="1" applyFill="1" applyBorder="1" applyAlignment="1">
      <alignment horizontal="center"/>
    </xf>
    <xf numFmtId="0" fontId="0" fillId="2" borderId="2" xfId="0" applyFill="1" applyBorder="1"/>
    <xf numFmtId="14" fontId="1" fillId="3" borderId="2" xfId="0" applyNumberFormat="1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T-KHO\Desktop\Thi&#7871;t%20b&#7883;%20b&#225;n%20h&#224;ng%20th&#225;ng%206%20n&#259;m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45">
          <cell r="H245" t="str">
            <v>00BD000A58</v>
          </cell>
          <cell r="J245" t="str">
            <v xml:space="preserve">ĐL a Tuấn Ninh Bình </v>
          </cell>
        </row>
        <row r="246">
          <cell r="H246" t="str">
            <v>00BD000712</v>
          </cell>
          <cell r="J246" t="str">
            <v xml:space="preserve">ĐL a Tuấn Ninh Bình </v>
          </cell>
        </row>
        <row r="247">
          <cell r="H247" t="str">
            <v>00BD0006B2</v>
          </cell>
          <cell r="J247" t="str">
            <v xml:space="preserve">ĐL a Tuấn Ninh Bình </v>
          </cell>
        </row>
        <row r="248">
          <cell r="H248" t="str">
            <v>00BD000B2B</v>
          </cell>
          <cell r="J248" t="str">
            <v xml:space="preserve">ĐL a Tuấn Ninh Bình </v>
          </cell>
        </row>
        <row r="249">
          <cell r="H249" t="str">
            <v>00BD000B09</v>
          </cell>
          <cell r="J249" t="str">
            <v xml:space="preserve">ĐL a Tuấn Ninh Bình </v>
          </cell>
        </row>
        <row r="250">
          <cell r="H250" t="str">
            <v>00BD0008BE</v>
          </cell>
          <cell r="J250" t="str">
            <v xml:space="preserve">ĐL a Tuấn Ninh Bình </v>
          </cell>
        </row>
        <row r="251">
          <cell r="H251" t="str">
            <v>00BD000A9A</v>
          </cell>
          <cell r="J251" t="str">
            <v xml:space="preserve">ĐL a Tuấn Ninh Bình </v>
          </cell>
        </row>
        <row r="252">
          <cell r="H252" t="str">
            <v>00BD000B70</v>
          </cell>
          <cell r="J252" t="str">
            <v xml:space="preserve">ĐL a Tuấn Ninh Bình </v>
          </cell>
        </row>
        <row r="253">
          <cell r="H253" t="str">
            <v>00BD000A69</v>
          </cell>
          <cell r="J253" t="str">
            <v xml:space="preserve">ĐL a Tuấn Ninh Bình </v>
          </cell>
        </row>
        <row r="254">
          <cell r="H254" t="str">
            <v>00BD000752</v>
          </cell>
          <cell r="J254" t="str">
            <v xml:space="preserve">ĐL a Tuấn Ninh Bình </v>
          </cell>
        </row>
        <row r="255">
          <cell r="H255">
            <v>868183037804338</v>
          </cell>
          <cell r="I255">
            <v>385170167</v>
          </cell>
          <cell r="J255" t="str">
            <v>CTV  Nhân Thaco Hà Nam</v>
          </cell>
        </row>
        <row r="256">
          <cell r="H256">
            <v>868183037818205</v>
          </cell>
          <cell r="I256">
            <v>842199465</v>
          </cell>
          <cell r="J256" t="str">
            <v xml:space="preserve">KL Quốc Đoan </v>
          </cell>
        </row>
        <row r="257">
          <cell r="H257">
            <v>868183038477068</v>
          </cell>
          <cell r="I257">
            <v>842161285</v>
          </cell>
          <cell r="J257" t="str">
            <v xml:space="preserve">KL Quốc Đoan </v>
          </cell>
        </row>
        <row r="258">
          <cell r="H258">
            <v>868183037785263</v>
          </cell>
          <cell r="I258">
            <v>842217294</v>
          </cell>
          <cell r="J258" t="str">
            <v xml:space="preserve">KL Quốc Đoan </v>
          </cell>
        </row>
        <row r="259">
          <cell r="H259" t="str">
            <v>00BD000ADF</v>
          </cell>
          <cell r="J259" t="str">
            <v>Định vị 5s</v>
          </cell>
        </row>
        <row r="260">
          <cell r="H260" t="str">
            <v>00BD000811</v>
          </cell>
          <cell r="J260" t="str">
            <v xml:space="preserve">ĐL GPS Tây Ninh </v>
          </cell>
        </row>
        <row r="261">
          <cell r="H261">
            <v>21050018</v>
          </cell>
          <cell r="J261" t="str">
            <v xml:space="preserve">ĐL Ngọc Hoan </v>
          </cell>
        </row>
        <row r="262">
          <cell r="H262">
            <v>21050012</v>
          </cell>
          <cell r="J262" t="str">
            <v xml:space="preserve">ĐL Ngọc Hoan </v>
          </cell>
        </row>
        <row r="263">
          <cell r="H263">
            <v>21050015</v>
          </cell>
          <cell r="J263" t="str">
            <v xml:space="preserve">ĐL Ngọc Hoan </v>
          </cell>
        </row>
        <row r="264">
          <cell r="H264">
            <v>21050016</v>
          </cell>
          <cell r="J264" t="str">
            <v xml:space="preserve">ĐL Ngọc Hoan </v>
          </cell>
        </row>
        <row r="265">
          <cell r="H265">
            <v>21050010</v>
          </cell>
          <cell r="J265" t="str">
            <v xml:space="preserve">ĐL Ngọc Hoan </v>
          </cell>
        </row>
        <row r="266">
          <cell r="H266">
            <v>21050024</v>
          </cell>
          <cell r="J266" t="str">
            <v xml:space="preserve">ĐL Ngọc Hoan </v>
          </cell>
        </row>
        <row r="267">
          <cell r="H267">
            <v>21050027</v>
          </cell>
          <cell r="J267" t="str">
            <v xml:space="preserve">ĐL Ngọc Hoan </v>
          </cell>
        </row>
        <row r="268">
          <cell r="H268">
            <v>21050025</v>
          </cell>
          <cell r="J268" t="str">
            <v xml:space="preserve">ĐL Ngọc Hoan </v>
          </cell>
        </row>
        <row r="269">
          <cell r="H269">
            <v>21050022</v>
          </cell>
          <cell r="J269" t="str">
            <v xml:space="preserve">ĐL Ngọc Hoan </v>
          </cell>
        </row>
        <row r="270">
          <cell r="H270">
            <v>21050011</v>
          </cell>
          <cell r="J270" t="str">
            <v xml:space="preserve">ĐL Ngọc Hoan </v>
          </cell>
        </row>
        <row r="271">
          <cell r="H271">
            <v>861881051089291</v>
          </cell>
          <cell r="I271">
            <v>382849023</v>
          </cell>
          <cell r="J271" t="str">
            <v xml:space="preserve">ĐL Đông Hải </v>
          </cell>
        </row>
        <row r="272">
          <cell r="H272" t="str">
            <v>00BD000A7B</v>
          </cell>
          <cell r="J272" t="str">
            <v xml:space="preserve">ĐL a Tĩnh </v>
          </cell>
        </row>
        <row r="273">
          <cell r="H273" t="str">
            <v>00BD000A5E</v>
          </cell>
          <cell r="J273" t="str">
            <v xml:space="preserve">ĐL a Tĩnh </v>
          </cell>
        </row>
        <row r="274">
          <cell r="H274" t="str">
            <v>00BD000B02</v>
          </cell>
          <cell r="J274" t="str">
            <v xml:space="preserve">ĐL a Tĩnh </v>
          </cell>
        </row>
        <row r="275">
          <cell r="H275" t="str">
            <v>00BD000AF3</v>
          </cell>
          <cell r="J275" t="str">
            <v xml:space="preserve">ĐL a Tĩnh </v>
          </cell>
        </row>
        <row r="276">
          <cell r="H276" t="str">
            <v>00BD000755</v>
          </cell>
          <cell r="J276" t="str">
            <v xml:space="preserve">ĐL a Tĩnh </v>
          </cell>
        </row>
        <row r="277">
          <cell r="H277" t="str">
            <v>00BD000C6A</v>
          </cell>
          <cell r="J277" t="str">
            <v xml:space="preserve">ĐL a Tĩnh </v>
          </cell>
        </row>
        <row r="278">
          <cell r="H278" t="str">
            <v>00BD000D01</v>
          </cell>
          <cell r="J278" t="str">
            <v xml:space="preserve">ĐL a Tĩnh </v>
          </cell>
        </row>
        <row r="279">
          <cell r="H279" t="str">
            <v>00BD000AD6</v>
          </cell>
          <cell r="J279" t="str">
            <v xml:space="preserve">ĐL a Tĩnh </v>
          </cell>
        </row>
        <row r="280">
          <cell r="H280" t="str">
            <v>00BD0006EB</v>
          </cell>
          <cell r="J280" t="str">
            <v xml:space="preserve">ĐL a Tĩnh </v>
          </cell>
        </row>
        <row r="281">
          <cell r="H281" t="str">
            <v>00BD000B06</v>
          </cell>
          <cell r="J281" t="str">
            <v xml:space="preserve">ĐL a Tĩnh </v>
          </cell>
        </row>
        <row r="282">
          <cell r="H282" t="str">
            <v>00BD000B2D</v>
          </cell>
          <cell r="J282" t="str">
            <v xml:space="preserve">ĐL a Tĩnh </v>
          </cell>
        </row>
        <row r="283">
          <cell r="H283" t="str">
            <v>00BD0004D9</v>
          </cell>
          <cell r="J283" t="str">
            <v xml:space="preserve">ĐL a Tĩnh </v>
          </cell>
        </row>
        <row r="284">
          <cell r="H284" t="str">
            <v>00BD000B44</v>
          </cell>
          <cell r="J284" t="str">
            <v xml:space="preserve">ĐL a Tĩnh </v>
          </cell>
        </row>
        <row r="285">
          <cell r="H285" t="str">
            <v>00BD0006B6</v>
          </cell>
          <cell r="J285" t="str">
            <v xml:space="preserve">ĐL a Tĩnh </v>
          </cell>
        </row>
        <row r="286">
          <cell r="H286" t="str">
            <v>00BD000AA1</v>
          </cell>
          <cell r="J286" t="str">
            <v xml:space="preserve">ĐL a Tĩnh </v>
          </cell>
        </row>
        <row r="287">
          <cell r="H287" t="str">
            <v>00BD000B11</v>
          </cell>
          <cell r="J287" t="str">
            <v xml:space="preserve">ĐL a Tĩnh </v>
          </cell>
        </row>
        <row r="288">
          <cell r="H288" t="str">
            <v>00BD000B96</v>
          </cell>
          <cell r="J288" t="str">
            <v xml:space="preserve">ĐL a Tĩnh </v>
          </cell>
        </row>
        <row r="289">
          <cell r="H289" t="str">
            <v>00BD000C66</v>
          </cell>
          <cell r="J289" t="str">
            <v xml:space="preserve">ĐL a Tĩnh </v>
          </cell>
        </row>
        <row r="290">
          <cell r="H290" t="str">
            <v>00BD00095C</v>
          </cell>
          <cell r="J290" t="str">
            <v xml:space="preserve">ĐL a Tĩnh </v>
          </cell>
        </row>
        <row r="291">
          <cell r="H291" t="str">
            <v>00BD000516</v>
          </cell>
          <cell r="J291" t="str">
            <v xml:space="preserve">ĐL a Tĩnh </v>
          </cell>
        </row>
        <row r="292">
          <cell r="H292" t="str">
            <v>00BD000AE1</v>
          </cell>
          <cell r="J292" t="str">
            <v xml:space="preserve">ĐL a Tĩnh </v>
          </cell>
        </row>
        <row r="293">
          <cell r="H293" t="str">
            <v>00BD000A2B</v>
          </cell>
          <cell r="J293" t="str">
            <v xml:space="preserve">ĐL a Tĩnh </v>
          </cell>
        </row>
        <row r="294">
          <cell r="H294" t="str">
            <v>00BD000B4C</v>
          </cell>
          <cell r="J294" t="str">
            <v xml:space="preserve">ĐL a Tĩnh </v>
          </cell>
        </row>
        <row r="295">
          <cell r="H295" t="str">
            <v>00BD000B66</v>
          </cell>
          <cell r="J295" t="str">
            <v xml:space="preserve">ĐL a Tĩnh </v>
          </cell>
        </row>
        <row r="296">
          <cell r="H296" t="str">
            <v>00BD000AEC</v>
          </cell>
          <cell r="J296" t="str">
            <v xml:space="preserve">ĐL a Tĩnh </v>
          </cell>
        </row>
        <row r="297">
          <cell r="H297" t="str">
            <v>00BD000ADA</v>
          </cell>
          <cell r="J297" t="str">
            <v xml:space="preserve">ĐL a Tĩnh </v>
          </cell>
        </row>
        <row r="298">
          <cell r="H298" t="str">
            <v>00BD0007C7</v>
          </cell>
          <cell r="J298" t="str">
            <v xml:space="preserve">ĐL a Tĩnh </v>
          </cell>
        </row>
        <row r="299">
          <cell r="H299" t="str">
            <v>00BD0009BE</v>
          </cell>
          <cell r="J299" t="str">
            <v xml:space="preserve">ĐL a Tĩnh </v>
          </cell>
        </row>
        <row r="300">
          <cell r="H300" t="str">
            <v>00BD000CA1</v>
          </cell>
          <cell r="J300" t="str">
            <v xml:space="preserve">ĐL a Tĩnh </v>
          </cell>
        </row>
        <row r="301">
          <cell r="H301" t="str">
            <v>00BD0008A2</v>
          </cell>
          <cell r="J301" t="str">
            <v xml:space="preserve">ĐL a Tĩnh </v>
          </cell>
        </row>
        <row r="302">
          <cell r="H302" t="str">
            <v>00BD000819</v>
          </cell>
          <cell r="J302" t="str">
            <v xml:space="preserve">ĐL a Tĩnh </v>
          </cell>
        </row>
        <row r="303">
          <cell r="H303" t="str">
            <v>00BD000AE8</v>
          </cell>
          <cell r="J303" t="str">
            <v xml:space="preserve">ĐL a Tĩnh </v>
          </cell>
        </row>
        <row r="304">
          <cell r="H304" t="str">
            <v>00BD000A52</v>
          </cell>
          <cell r="J304" t="str">
            <v xml:space="preserve">ĐL a Tĩnh </v>
          </cell>
        </row>
        <row r="305">
          <cell r="H305" t="str">
            <v>00BD000B00</v>
          </cell>
          <cell r="J305" t="str">
            <v xml:space="preserve">ĐL a Tĩnh </v>
          </cell>
        </row>
        <row r="306">
          <cell r="H306" t="str">
            <v>00BD000711</v>
          </cell>
          <cell r="J306" t="str">
            <v xml:space="preserve">ĐL a Tĩnh </v>
          </cell>
        </row>
        <row r="307">
          <cell r="H307" t="str">
            <v>00BD000BCC</v>
          </cell>
          <cell r="J307" t="str">
            <v xml:space="preserve">ĐL a Tĩnh </v>
          </cell>
        </row>
        <row r="308">
          <cell r="H308" t="str">
            <v>00BD000C58</v>
          </cell>
          <cell r="J308" t="str">
            <v xml:space="preserve">ĐL a Tĩnh </v>
          </cell>
        </row>
        <row r="309">
          <cell r="H309" t="str">
            <v>00BD000A03</v>
          </cell>
          <cell r="J309" t="str">
            <v xml:space="preserve">ĐL a Tĩnh </v>
          </cell>
        </row>
        <row r="310">
          <cell r="H310" t="str">
            <v>00BD000C43</v>
          </cell>
          <cell r="J310" t="str">
            <v xml:space="preserve">ĐL a Tĩnh </v>
          </cell>
        </row>
        <row r="311">
          <cell r="H311" t="str">
            <v>00BD000B6A</v>
          </cell>
          <cell r="J311" t="str">
            <v xml:space="preserve">ĐL a Tĩnh </v>
          </cell>
        </row>
        <row r="312">
          <cell r="H312" t="str">
            <v>00BD00080D</v>
          </cell>
          <cell r="J312" t="str">
            <v xml:space="preserve">ĐL a Tĩnh </v>
          </cell>
        </row>
        <row r="313">
          <cell r="H313" t="str">
            <v>00BD000B56</v>
          </cell>
          <cell r="J313" t="str">
            <v xml:space="preserve">ĐL a Tĩnh </v>
          </cell>
        </row>
        <row r="314">
          <cell r="H314" t="str">
            <v>00BD0006BD</v>
          </cell>
          <cell r="J314" t="str">
            <v xml:space="preserve">ĐL a Tĩnh </v>
          </cell>
        </row>
        <row r="315">
          <cell r="H315" t="str">
            <v>00BD000AE0</v>
          </cell>
          <cell r="J315" t="str">
            <v xml:space="preserve">ĐL a Tĩnh </v>
          </cell>
        </row>
        <row r="316">
          <cell r="H316" t="str">
            <v>00BD000A22</v>
          </cell>
          <cell r="J316" t="str">
            <v xml:space="preserve">ĐL a Tĩnh </v>
          </cell>
        </row>
        <row r="317">
          <cell r="H317" t="str">
            <v>00BD0008D3</v>
          </cell>
          <cell r="J317" t="str">
            <v xml:space="preserve">ĐL a Tĩnh </v>
          </cell>
        </row>
        <row r="318">
          <cell r="H318" t="str">
            <v>00BD0009EE</v>
          </cell>
          <cell r="J318" t="str">
            <v xml:space="preserve">ĐL a Tĩnh </v>
          </cell>
        </row>
        <row r="319">
          <cell r="H319" t="str">
            <v>00BD000C72</v>
          </cell>
          <cell r="J319" t="str">
            <v xml:space="preserve">ĐL a Tĩnh </v>
          </cell>
        </row>
        <row r="320">
          <cell r="H320" t="str">
            <v>00BD000B36</v>
          </cell>
          <cell r="J320" t="str">
            <v xml:space="preserve">ĐL a Tĩnh </v>
          </cell>
        </row>
        <row r="321">
          <cell r="H321" t="str">
            <v>00BD00079A</v>
          </cell>
          <cell r="J321" t="str">
            <v xml:space="preserve">ĐL a Tĩnh </v>
          </cell>
        </row>
        <row r="322">
          <cell r="J322" t="str">
            <v xml:space="preserve">ĐL a Tĩnh </v>
          </cell>
        </row>
        <row r="323">
          <cell r="H323">
            <v>868183038525502</v>
          </cell>
          <cell r="I323">
            <v>376470629</v>
          </cell>
          <cell r="J323" t="str">
            <v>CTV  Tuấn Hino Long biên</v>
          </cell>
        </row>
        <row r="324">
          <cell r="H324">
            <v>868183038512286</v>
          </cell>
          <cell r="I324">
            <v>842168100</v>
          </cell>
          <cell r="J324" t="str">
            <v>CTV Sơn Huyndai Đông Nam</v>
          </cell>
        </row>
        <row r="325">
          <cell r="H325">
            <v>868183037809576</v>
          </cell>
          <cell r="I325">
            <v>842190127</v>
          </cell>
          <cell r="J325" t="str">
            <v xml:space="preserve"> KL tk ctythongnhat </v>
          </cell>
        </row>
        <row r="326">
          <cell r="H326">
            <v>868183037785123</v>
          </cell>
          <cell r="I326">
            <v>842024657</v>
          </cell>
          <cell r="J326" t="str">
            <v>CTV  Hiền Thăng Long</v>
          </cell>
        </row>
        <row r="327">
          <cell r="H327">
            <v>868183037808735</v>
          </cell>
          <cell r="I327">
            <v>842159695</v>
          </cell>
          <cell r="J327" t="str">
            <v xml:space="preserve"> KL CP Hải Dương</v>
          </cell>
        </row>
        <row r="328">
          <cell r="H328">
            <v>868183037808818</v>
          </cell>
          <cell r="I328">
            <v>842156138</v>
          </cell>
          <cell r="J328" t="str">
            <v xml:space="preserve"> CTV Biên Ford Hà Nội</v>
          </cell>
        </row>
        <row r="329">
          <cell r="H329">
            <v>868183037792954</v>
          </cell>
          <cell r="I329">
            <v>356714750</v>
          </cell>
          <cell r="J329" t="str">
            <v>KL tk vital</v>
          </cell>
        </row>
        <row r="330">
          <cell r="H330">
            <v>868183037814568</v>
          </cell>
          <cell r="J330" t="str">
            <v xml:space="preserve">Sao Việt </v>
          </cell>
        </row>
        <row r="331">
          <cell r="H331">
            <v>868183037803686</v>
          </cell>
          <cell r="J331" t="str">
            <v xml:space="preserve">Sao Việt </v>
          </cell>
        </row>
        <row r="332">
          <cell r="H332">
            <v>868183038612300</v>
          </cell>
          <cell r="J332" t="str">
            <v xml:space="preserve">Sao Việt </v>
          </cell>
        </row>
        <row r="333">
          <cell r="H333">
            <v>868183037858821</v>
          </cell>
          <cell r="J333" t="str">
            <v xml:space="preserve">Sao Việt </v>
          </cell>
        </row>
        <row r="334">
          <cell r="H334">
            <v>868183038613969</v>
          </cell>
          <cell r="J334" t="str">
            <v xml:space="preserve">Sao Việt </v>
          </cell>
        </row>
        <row r="335">
          <cell r="H335">
            <v>868183037816076</v>
          </cell>
          <cell r="J335" t="str">
            <v xml:space="preserve">Sao Việt </v>
          </cell>
        </row>
        <row r="336">
          <cell r="H336">
            <v>868183038064684</v>
          </cell>
          <cell r="J336" t="str">
            <v xml:space="preserve">Sao Việt </v>
          </cell>
        </row>
        <row r="337">
          <cell r="H337">
            <v>868183038608795</v>
          </cell>
          <cell r="J337" t="str">
            <v xml:space="preserve">Sao Việt </v>
          </cell>
        </row>
        <row r="338">
          <cell r="H338">
            <v>868183037819526</v>
          </cell>
          <cell r="J338" t="str">
            <v xml:space="preserve">Sao Việt </v>
          </cell>
        </row>
        <row r="339">
          <cell r="H339">
            <v>868183037789364</v>
          </cell>
          <cell r="J339" t="str">
            <v xml:space="preserve">Sao Việt </v>
          </cell>
        </row>
        <row r="340">
          <cell r="H340" t="str">
            <v xml:space="preserve">00BD000AE4 </v>
          </cell>
          <cell r="I340">
            <v>84857578768</v>
          </cell>
          <cell r="J340" t="str">
            <v xml:space="preserve">ĐL Hải Yến </v>
          </cell>
        </row>
        <row r="341">
          <cell r="J341" t="str">
            <v xml:space="preserve">ĐL Hải Yến </v>
          </cell>
        </row>
        <row r="342">
          <cell r="J342" t="str">
            <v xml:space="preserve">ĐL Hải Yến </v>
          </cell>
        </row>
        <row r="343">
          <cell r="J343" t="str">
            <v xml:space="preserve">ĐL Hải Yến </v>
          </cell>
        </row>
        <row r="344">
          <cell r="I344">
            <v>336261540</v>
          </cell>
          <cell r="J344" t="str">
            <v>Thay cho tk ctyduongdong</v>
          </cell>
        </row>
        <row r="345">
          <cell r="H345">
            <v>868183037817496</v>
          </cell>
          <cell r="I345">
            <v>365642502</v>
          </cell>
          <cell r="J345" t="str">
            <v xml:space="preserve">CTV a Công Thaco Hà Nam </v>
          </cell>
        </row>
        <row r="346">
          <cell r="I346">
            <v>84842053310</v>
          </cell>
          <cell r="J346" t="str">
            <v xml:space="preserve">Thay cho gia hạn , sim lỗi hỏng </v>
          </cell>
        </row>
        <row r="347">
          <cell r="I347">
            <v>84842053378</v>
          </cell>
          <cell r="J347" t="str">
            <v xml:space="preserve">Thay cho gia hạn , sim lỗi hỏng </v>
          </cell>
        </row>
        <row r="348">
          <cell r="I348">
            <v>84842054938</v>
          </cell>
          <cell r="J348" t="str">
            <v xml:space="preserve">Thay cho gia hạn , sim lỗi hỏng </v>
          </cell>
        </row>
        <row r="349">
          <cell r="I349">
            <v>84842055082</v>
          </cell>
          <cell r="J349" t="str">
            <v xml:space="preserve">Thay cho gia hạn , sim lỗi hỏng </v>
          </cell>
        </row>
        <row r="350">
          <cell r="I350">
            <v>84842056090</v>
          </cell>
          <cell r="J350" t="str">
            <v xml:space="preserve">Thay cho gia hạn , sim lỗi hỏng </v>
          </cell>
        </row>
        <row r="351">
          <cell r="I351">
            <v>84842057139</v>
          </cell>
          <cell r="J351" t="str">
            <v xml:space="preserve">Thay cho gia hạn , sim lỗi hỏng </v>
          </cell>
        </row>
        <row r="352">
          <cell r="I352">
            <v>84842057299</v>
          </cell>
          <cell r="J352" t="str">
            <v xml:space="preserve">Thay cho gia hạn , sim lỗi hỏng </v>
          </cell>
        </row>
        <row r="353">
          <cell r="I353">
            <v>84842057383</v>
          </cell>
          <cell r="J353" t="str">
            <v xml:space="preserve">Thay cho gia hạn , sim lỗi hỏng </v>
          </cell>
        </row>
        <row r="354">
          <cell r="I354">
            <v>84842057524</v>
          </cell>
          <cell r="J354" t="str">
            <v xml:space="preserve">Thay cho gia hạn , sim lỗi hỏng </v>
          </cell>
        </row>
        <row r="355">
          <cell r="I355">
            <v>84842057635</v>
          </cell>
          <cell r="J355" t="str">
            <v xml:space="preserve">Thay cho gia hạn , sim lỗi hỏng </v>
          </cell>
        </row>
        <row r="356">
          <cell r="H356">
            <v>868183038064551</v>
          </cell>
          <cell r="J356" t="str">
            <v>ĐL Hưng Thành</v>
          </cell>
        </row>
        <row r="357">
          <cell r="H357">
            <v>868183038470626</v>
          </cell>
          <cell r="J357" t="str">
            <v>ĐL Hưng Thành</v>
          </cell>
        </row>
        <row r="358">
          <cell r="H358">
            <v>868183037859381</v>
          </cell>
          <cell r="J358" t="str">
            <v>ĐL Hưng Thành</v>
          </cell>
        </row>
        <row r="359">
          <cell r="H359">
            <v>868183037830143</v>
          </cell>
          <cell r="J359" t="str">
            <v>ĐL Hưng Thành</v>
          </cell>
        </row>
        <row r="360">
          <cell r="H360">
            <v>868183038023128</v>
          </cell>
          <cell r="J360" t="str">
            <v>ĐL Hưng Thành</v>
          </cell>
        </row>
        <row r="361">
          <cell r="H361">
            <v>868183038476367</v>
          </cell>
          <cell r="J361" t="str">
            <v>ĐL Hưng Thành</v>
          </cell>
        </row>
        <row r="362">
          <cell r="H362">
            <v>868183037788473</v>
          </cell>
          <cell r="J362" t="str">
            <v>ĐL Hưng Thành</v>
          </cell>
        </row>
        <row r="363">
          <cell r="H363">
            <v>868183037788499</v>
          </cell>
          <cell r="J363" t="str">
            <v>ĐL Hưng Thành</v>
          </cell>
        </row>
        <row r="364">
          <cell r="H364">
            <v>868183037837577</v>
          </cell>
          <cell r="J364" t="str">
            <v>ĐL Hưng Thành</v>
          </cell>
        </row>
        <row r="365">
          <cell r="H365">
            <v>868183037839516</v>
          </cell>
          <cell r="J365" t="str">
            <v>ĐL Hưng Thành</v>
          </cell>
        </row>
        <row r="366">
          <cell r="H366">
            <v>868183037807539</v>
          </cell>
          <cell r="J366" t="str">
            <v>ĐL Hưng Thành</v>
          </cell>
        </row>
        <row r="367">
          <cell r="H367">
            <v>868183037817090</v>
          </cell>
          <cell r="J367" t="str">
            <v>ĐL Hưng Thành</v>
          </cell>
        </row>
        <row r="368">
          <cell r="H368">
            <v>868183037807513</v>
          </cell>
          <cell r="J368" t="str">
            <v>ĐL Hưng Thành</v>
          </cell>
        </row>
        <row r="369">
          <cell r="H369">
            <v>868183037830044</v>
          </cell>
          <cell r="J369" t="str">
            <v>ĐL Hưng Thành</v>
          </cell>
        </row>
        <row r="370">
          <cell r="H370">
            <v>868183037857963</v>
          </cell>
          <cell r="J370" t="str">
            <v>ĐL Hưng Thành</v>
          </cell>
        </row>
        <row r="371">
          <cell r="H371">
            <v>868183038616087</v>
          </cell>
          <cell r="J371" t="str">
            <v>ĐL Hưng Thành</v>
          </cell>
        </row>
        <row r="372">
          <cell r="H372">
            <v>868183038022955</v>
          </cell>
          <cell r="J372" t="str">
            <v>ĐL Hưng Thành</v>
          </cell>
        </row>
        <row r="373">
          <cell r="H373">
            <v>868183038499187</v>
          </cell>
          <cell r="J373" t="str">
            <v>ĐL Hưng Thành</v>
          </cell>
        </row>
        <row r="374">
          <cell r="H374">
            <v>868183038613712</v>
          </cell>
          <cell r="J374" t="str">
            <v>ĐL Hưng Thành</v>
          </cell>
        </row>
        <row r="375">
          <cell r="H375">
            <v>868183038075292</v>
          </cell>
          <cell r="J375" t="str">
            <v>ĐL Hưng Thành</v>
          </cell>
        </row>
        <row r="376">
          <cell r="H376">
            <v>868183038047168</v>
          </cell>
          <cell r="J376" t="str">
            <v>ĐL Hưng Thành</v>
          </cell>
        </row>
        <row r="377">
          <cell r="H377">
            <v>868183037808982</v>
          </cell>
          <cell r="J377" t="str">
            <v>ĐL Hưng Thành</v>
          </cell>
        </row>
        <row r="378">
          <cell r="H378">
            <v>868183037812596</v>
          </cell>
          <cell r="J378" t="str">
            <v>ĐL Hưng Thành</v>
          </cell>
        </row>
        <row r="379">
          <cell r="H379">
            <v>868183038062852</v>
          </cell>
          <cell r="J379" t="str">
            <v>ĐL Hưng Thành</v>
          </cell>
        </row>
        <row r="380">
          <cell r="H380">
            <v>868183037808677</v>
          </cell>
          <cell r="J380" t="str">
            <v>ĐL Hưng Thành</v>
          </cell>
        </row>
        <row r="381">
          <cell r="H381">
            <v>868183037779589</v>
          </cell>
          <cell r="J381" t="str">
            <v>ĐL Hưng Thành</v>
          </cell>
        </row>
        <row r="382">
          <cell r="H382">
            <v>868183038010174</v>
          </cell>
          <cell r="J382" t="str">
            <v>ĐL Hưng Thành</v>
          </cell>
        </row>
        <row r="383">
          <cell r="H383">
            <v>868183038582172</v>
          </cell>
          <cell r="J383" t="str">
            <v>ĐL Hưng Thành</v>
          </cell>
        </row>
        <row r="384">
          <cell r="H384">
            <v>868183038044637</v>
          </cell>
          <cell r="J384" t="str">
            <v>ĐL Hưng Thành</v>
          </cell>
        </row>
        <row r="385">
          <cell r="H385">
            <v>868183038476318</v>
          </cell>
          <cell r="J385" t="str">
            <v>ĐL Hưng Thành</v>
          </cell>
        </row>
        <row r="386">
          <cell r="H386">
            <v>868183037813214</v>
          </cell>
          <cell r="J386" t="str">
            <v>ĐL Hưng Thành</v>
          </cell>
        </row>
        <row r="387">
          <cell r="H387">
            <v>868183038065228</v>
          </cell>
          <cell r="J387" t="str">
            <v>ĐL Hưng Thành</v>
          </cell>
        </row>
        <row r="388">
          <cell r="H388">
            <v>868183038001314</v>
          </cell>
          <cell r="J388" t="str">
            <v>ĐL Hưng Thành</v>
          </cell>
        </row>
        <row r="389">
          <cell r="H389">
            <v>868183037803850</v>
          </cell>
          <cell r="J389" t="str">
            <v>ĐL Hưng Thành</v>
          </cell>
        </row>
        <row r="390">
          <cell r="H390">
            <v>868183038582545</v>
          </cell>
          <cell r="J390" t="str">
            <v>ĐL Hưng Thành</v>
          </cell>
        </row>
        <row r="391">
          <cell r="H391">
            <v>868183037803934</v>
          </cell>
          <cell r="J391" t="str">
            <v>ĐL Hưng Thành</v>
          </cell>
        </row>
        <row r="392">
          <cell r="H392">
            <v>868183037837718</v>
          </cell>
          <cell r="J392" t="str">
            <v>ĐL Hưng Thành</v>
          </cell>
        </row>
        <row r="393">
          <cell r="H393">
            <v>868183037839656</v>
          </cell>
          <cell r="J393" t="str">
            <v>ĐL Hưng Thành</v>
          </cell>
        </row>
        <row r="394">
          <cell r="H394">
            <v>868183037788820</v>
          </cell>
          <cell r="J394" t="str">
            <v>ĐL Hưng Thành</v>
          </cell>
        </row>
        <row r="395">
          <cell r="H395">
            <v>868183037803488</v>
          </cell>
          <cell r="J395" t="str">
            <v>ĐL Hưng Thành</v>
          </cell>
        </row>
        <row r="396">
          <cell r="H396">
            <v>868183037811911</v>
          </cell>
          <cell r="J396" t="str">
            <v>ĐL Hưng Thành</v>
          </cell>
        </row>
        <row r="397">
          <cell r="H397">
            <v>868183037809212</v>
          </cell>
          <cell r="J397" t="str">
            <v>ĐL Hưng Thành</v>
          </cell>
        </row>
        <row r="398">
          <cell r="H398">
            <v>868183037808594</v>
          </cell>
          <cell r="J398" t="str">
            <v>ĐL Hưng Thành</v>
          </cell>
        </row>
        <row r="399">
          <cell r="H399">
            <v>868183037808636</v>
          </cell>
          <cell r="J399" t="str">
            <v>ĐL Hưng Thành</v>
          </cell>
        </row>
        <row r="400">
          <cell r="H400">
            <v>868183037855637</v>
          </cell>
          <cell r="J400" t="str">
            <v>ĐL Hưng Thành</v>
          </cell>
        </row>
        <row r="401">
          <cell r="H401">
            <v>868183037804882</v>
          </cell>
          <cell r="J401" t="str">
            <v>ĐL Hưng Thành</v>
          </cell>
        </row>
        <row r="402">
          <cell r="H402">
            <v>868183037809097</v>
          </cell>
          <cell r="J402" t="str">
            <v>ĐL Hưng Thành</v>
          </cell>
        </row>
        <row r="403">
          <cell r="H403">
            <v>868183038585514</v>
          </cell>
          <cell r="J403" t="str">
            <v>ĐL Hưng Thành</v>
          </cell>
        </row>
        <row r="404">
          <cell r="H404">
            <v>868183038063579</v>
          </cell>
          <cell r="J404" t="str">
            <v>ĐL Hưng Thành</v>
          </cell>
        </row>
        <row r="405">
          <cell r="H405">
            <v>868183037811887</v>
          </cell>
          <cell r="J405" t="str">
            <v>ĐL Hưng Thành</v>
          </cell>
        </row>
        <row r="406">
          <cell r="H406">
            <v>868183037792236</v>
          </cell>
          <cell r="J406" t="str">
            <v>ĐL Hưng Thành</v>
          </cell>
        </row>
        <row r="407">
          <cell r="H407">
            <v>868183037803355</v>
          </cell>
          <cell r="J407" t="str">
            <v>ĐL Hưng Thành</v>
          </cell>
        </row>
        <row r="408">
          <cell r="H408">
            <v>868183038581877</v>
          </cell>
          <cell r="J408" t="str">
            <v>ĐL Hưng Thành</v>
          </cell>
        </row>
        <row r="409">
          <cell r="H409">
            <v>868183038584608</v>
          </cell>
          <cell r="J409" t="str">
            <v>ĐL Hưng Thành</v>
          </cell>
        </row>
        <row r="410">
          <cell r="H410">
            <v>868183038525742</v>
          </cell>
          <cell r="J410" t="str">
            <v>ĐL Hưng Thành</v>
          </cell>
        </row>
        <row r="411">
          <cell r="H411">
            <v>868183038065632</v>
          </cell>
          <cell r="J411" t="str">
            <v>ĐL Hưng Thành</v>
          </cell>
        </row>
        <row r="412">
          <cell r="H412">
            <v>868183037809295</v>
          </cell>
          <cell r="J412" t="str">
            <v>ĐL Hưng Thành</v>
          </cell>
        </row>
        <row r="413">
          <cell r="H413">
            <v>868183038608134</v>
          </cell>
          <cell r="J413" t="str">
            <v>ĐL Hưng Thành</v>
          </cell>
        </row>
        <row r="414">
          <cell r="H414">
            <v>868183037832305</v>
          </cell>
          <cell r="J414" t="str">
            <v>ĐL Hưng Thành</v>
          </cell>
        </row>
        <row r="415">
          <cell r="H415">
            <v>868183037857922</v>
          </cell>
          <cell r="J415" t="str">
            <v>ĐL Hưng Thành</v>
          </cell>
        </row>
        <row r="416">
          <cell r="H416">
            <v>868183037803405</v>
          </cell>
          <cell r="J416" t="str">
            <v>ĐL Hưng Thành</v>
          </cell>
        </row>
        <row r="417">
          <cell r="H417">
            <v>868183037804270</v>
          </cell>
          <cell r="J417" t="str">
            <v>ĐL Hưng Thành</v>
          </cell>
        </row>
        <row r="418">
          <cell r="H418">
            <v>868183037857237</v>
          </cell>
          <cell r="J418" t="str">
            <v>ĐL Hưng Thành</v>
          </cell>
        </row>
        <row r="419">
          <cell r="H419">
            <v>868183037809303</v>
          </cell>
          <cell r="J419" t="str">
            <v>ĐL Hưng Thành</v>
          </cell>
        </row>
        <row r="420">
          <cell r="H420">
            <v>868183037805004</v>
          </cell>
          <cell r="J420" t="str">
            <v>ĐL Hưng Thành</v>
          </cell>
        </row>
        <row r="421">
          <cell r="H421">
            <v>868183037857559</v>
          </cell>
          <cell r="J421" t="str">
            <v>ĐL Hưng Thành</v>
          </cell>
        </row>
        <row r="422">
          <cell r="H422">
            <v>868183037858037</v>
          </cell>
          <cell r="J422" t="str">
            <v>ĐL Hưng Thành</v>
          </cell>
        </row>
        <row r="423">
          <cell r="H423">
            <v>868183037804916</v>
          </cell>
          <cell r="J423" t="str">
            <v>ĐL Hưng Thành</v>
          </cell>
        </row>
        <row r="424">
          <cell r="H424">
            <v>868183037805129</v>
          </cell>
          <cell r="J424" t="str">
            <v>ĐL Hưng Thành</v>
          </cell>
        </row>
        <row r="425">
          <cell r="H425">
            <v>868183037838088</v>
          </cell>
          <cell r="J425" t="str">
            <v>ĐL Hưng Thành</v>
          </cell>
        </row>
        <row r="426">
          <cell r="H426">
            <v>868183037803892</v>
          </cell>
          <cell r="J426" t="str">
            <v>ĐL Hưng Thành</v>
          </cell>
        </row>
        <row r="427">
          <cell r="H427">
            <v>868183037813610</v>
          </cell>
          <cell r="J427" t="str">
            <v>ĐL Hưng Thành</v>
          </cell>
        </row>
        <row r="428">
          <cell r="H428">
            <v>868183037804254</v>
          </cell>
          <cell r="J428" t="str">
            <v>ĐL Hưng Thành</v>
          </cell>
        </row>
        <row r="429">
          <cell r="H429">
            <v>868183037808743</v>
          </cell>
          <cell r="J429" t="str">
            <v>ĐL Hưng Thành</v>
          </cell>
        </row>
        <row r="430">
          <cell r="H430">
            <v>868183037804429</v>
          </cell>
          <cell r="J430" t="str">
            <v>ĐL Hưng Thành</v>
          </cell>
        </row>
        <row r="431">
          <cell r="H431">
            <v>868183037857534</v>
          </cell>
          <cell r="J431" t="str">
            <v>ĐL Hưng Thành</v>
          </cell>
        </row>
        <row r="432">
          <cell r="H432">
            <v>868183037839474</v>
          </cell>
          <cell r="J432" t="str">
            <v>ĐL Hưng Thành</v>
          </cell>
        </row>
        <row r="433">
          <cell r="H433">
            <v>868183037814329</v>
          </cell>
          <cell r="J433" t="str">
            <v>ĐL Hưng Thành</v>
          </cell>
        </row>
        <row r="434">
          <cell r="H434">
            <v>868183037804395</v>
          </cell>
          <cell r="J434" t="str">
            <v>ĐL Hưng Thành</v>
          </cell>
        </row>
        <row r="435">
          <cell r="H435">
            <v>868183037832883</v>
          </cell>
          <cell r="J435" t="str">
            <v>ĐL Hưng Thành</v>
          </cell>
        </row>
        <row r="436">
          <cell r="H436">
            <v>868183037807174</v>
          </cell>
          <cell r="J436" t="str">
            <v>ĐL Hưng Thành</v>
          </cell>
        </row>
        <row r="437">
          <cell r="H437">
            <v>868183037813412</v>
          </cell>
          <cell r="J437" t="str">
            <v>ĐL Hưng Thành</v>
          </cell>
        </row>
        <row r="438">
          <cell r="H438">
            <v>868183037807687</v>
          </cell>
          <cell r="J438" t="str">
            <v>ĐL Hưng Thành</v>
          </cell>
        </row>
        <row r="439">
          <cell r="H439">
            <v>868183038580861</v>
          </cell>
          <cell r="J439" t="str">
            <v>ĐL Hưng Thành</v>
          </cell>
        </row>
        <row r="440">
          <cell r="H440">
            <v>868183037808586</v>
          </cell>
          <cell r="J440" t="str">
            <v>ĐL Hưng Thành</v>
          </cell>
        </row>
        <row r="441">
          <cell r="H441">
            <v>868183037784589</v>
          </cell>
          <cell r="J441" t="str">
            <v>ĐL Hưng Thành</v>
          </cell>
        </row>
        <row r="442">
          <cell r="H442">
            <v>868183037817512</v>
          </cell>
          <cell r="J442" t="str">
            <v>ĐL Hưng Thành</v>
          </cell>
        </row>
        <row r="443">
          <cell r="H443">
            <v>868183037809246</v>
          </cell>
          <cell r="J443" t="str">
            <v>ĐL Hưng Thành</v>
          </cell>
        </row>
        <row r="444">
          <cell r="H444">
            <v>868183037807703</v>
          </cell>
          <cell r="J444" t="str">
            <v>ĐL Hưng Thành</v>
          </cell>
        </row>
        <row r="445">
          <cell r="H445">
            <v>868183037818072</v>
          </cell>
          <cell r="J445" t="str">
            <v>ĐL Hưng Thành</v>
          </cell>
        </row>
        <row r="446">
          <cell r="H446">
            <v>868183037858177</v>
          </cell>
          <cell r="J446" t="str">
            <v>ĐL Hưng Thành</v>
          </cell>
        </row>
        <row r="447">
          <cell r="H447">
            <v>868183037817421</v>
          </cell>
          <cell r="J447" t="str">
            <v>ĐL Hưng Thành</v>
          </cell>
        </row>
        <row r="448">
          <cell r="H448">
            <v>868183037801847</v>
          </cell>
          <cell r="J448" t="str">
            <v>ĐL Hưng Thành</v>
          </cell>
        </row>
        <row r="449">
          <cell r="H449">
            <v>868183037788689</v>
          </cell>
          <cell r="J449" t="str">
            <v>ĐL Hưng Thành</v>
          </cell>
        </row>
        <row r="450">
          <cell r="H450">
            <v>868183037787939</v>
          </cell>
          <cell r="J450" t="str">
            <v>ĐL Hưng Thành</v>
          </cell>
        </row>
        <row r="451">
          <cell r="H451">
            <v>868183037807661</v>
          </cell>
          <cell r="J451" t="str">
            <v>ĐL Hưng Thành</v>
          </cell>
        </row>
        <row r="452">
          <cell r="H452">
            <v>868183037804288</v>
          </cell>
          <cell r="J452" t="str">
            <v>ĐL Hưng Thành</v>
          </cell>
        </row>
        <row r="453">
          <cell r="H453">
            <v>868183038062282</v>
          </cell>
          <cell r="J453" t="str">
            <v>ĐL Hưng Thành</v>
          </cell>
        </row>
        <row r="454">
          <cell r="H454">
            <v>868183037805376</v>
          </cell>
          <cell r="J454" t="str">
            <v>ĐL Hưng Thành</v>
          </cell>
        </row>
        <row r="455">
          <cell r="H455">
            <v>868183037804981</v>
          </cell>
          <cell r="J455" t="str">
            <v>ĐL Hưng Thành</v>
          </cell>
        </row>
        <row r="456">
          <cell r="H456" t="str">
            <v>00BD000BE9</v>
          </cell>
          <cell r="J456" t="str">
            <v>Kim Long</v>
          </cell>
        </row>
        <row r="457">
          <cell r="H457">
            <v>868183037791816</v>
          </cell>
          <cell r="I457">
            <v>842138024</v>
          </cell>
          <cell r="J457" t="str">
            <v>KL Tuấn Vinaconex</v>
          </cell>
        </row>
        <row r="458">
          <cell r="H458">
            <v>868183038005190</v>
          </cell>
          <cell r="I458">
            <v>842157791</v>
          </cell>
          <cell r="J458" t="str">
            <v>KL Tuấn Vinaconex</v>
          </cell>
        </row>
        <row r="459">
          <cell r="H459">
            <v>868183037804353</v>
          </cell>
          <cell r="I459">
            <v>842086597</v>
          </cell>
          <cell r="J459" t="str">
            <v>KL Tuấn Vinaconex</v>
          </cell>
        </row>
        <row r="460">
          <cell r="H460">
            <v>868183037801946</v>
          </cell>
          <cell r="I460">
            <v>842182270</v>
          </cell>
          <cell r="J460" t="str">
            <v>KL Tuấn Vinaconex</v>
          </cell>
        </row>
        <row r="461">
          <cell r="H461">
            <v>868183037824534</v>
          </cell>
          <cell r="I461">
            <v>842080530</v>
          </cell>
          <cell r="J461" t="str">
            <v>KL Tuấn Vinaconex</v>
          </cell>
        </row>
        <row r="462">
          <cell r="H462" t="str">
            <v>00BD00075D</v>
          </cell>
          <cell r="J462" t="str">
            <v xml:space="preserve"> ĐL GPS Global </v>
          </cell>
        </row>
        <row r="463">
          <cell r="J463" t="str">
            <v xml:space="preserve"> ĐL GPS Global </v>
          </cell>
        </row>
        <row r="464">
          <cell r="H464">
            <v>868183037803462</v>
          </cell>
          <cell r="I464">
            <v>842137203</v>
          </cell>
          <cell r="J464" t="str">
            <v>CTV Thành Huyndai</v>
          </cell>
        </row>
        <row r="465">
          <cell r="I465">
            <v>84842148400</v>
          </cell>
          <cell r="J465" t="str">
            <v>Thay cho nguyenvandinhtq</v>
          </cell>
        </row>
        <row r="466">
          <cell r="I466">
            <v>84848960227</v>
          </cell>
          <cell r="J466" t="str">
            <v xml:space="preserve">Hợp chuẩn hợp quy </v>
          </cell>
        </row>
        <row r="467">
          <cell r="I467">
            <v>84848960993</v>
          </cell>
          <cell r="J467" t="str">
            <v xml:space="preserve">Hợp chuẩn hợp quy </v>
          </cell>
        </row>
        <row r="468">
          <cell r="I468">
            <v>84848962375</v>
          </cell>
          <cell r="J468" t="str">
            <v xml:space="preserve">Hợp chuẩn hợp quy </v>
          </cell>
        </row>
        <row r="469">
          <cell r="H469" t="str">
            <v>00BD000A83</v>
          </cell>
          <cell r="J469" t="str">
            <v xml:space="preserve">Hợp chuẩn hợp quy </v>
          </cell>
        </row>
        <row r="470">
          <cell r="H470" t="str">
            <v>00BD0008C1</v>
          </cell>
          <cell r="J470" t="str">
            <v xml:space="preserve">Hợp chuẩn hợp quy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AA9B-7E51-4E48-8270-ECE11936ABB0}">
  <dimension ref="A1:I304"/>
  <sheetViews>
    <sheetView tabSelected="1" workbookViewId="0">
      <selection activeCell="H17" sqref="H17"/>
    </sheetView>
  </sheetViews>
  <sheetFormatPr defaultRowHeight="15.6" x14ac:dyDescent="0.3"/>
  <cols>
    <col min="2" max="2" width="8.88671875" style="3"/>
    <col min="3" max="3" width="19.88671875" style="3" customWidth="1"/>
    <col min="4" max="4" width="25.21875" style="3" customWidth="1"/>
    <col min="5" max="5" width="21.77734375" style="3" customWidth="1"/>
    <col min="6" max="6" width="31.6640625" style="3" customWidth="1"/>
    <col min="7" max="7" width="20.88671875" customWidth="1"/>
    <col min="8" max="8" width="22.33203125" customWidth="1"/>
    <col min="9" max="9" width="18.44140625" customWidth="1"/>
  </cols>
  <sheetData>
    <row r="1" spans="1:9" x14ac:dyDescent="0.3">
      <c r="E1" s="8"/>
      <c r="F1" s="7"/>
    </row>
    <row r="3" spans="1:9" ht="37.200000000000003" customHeight="1" x14ac:dyDescent="0.3">
      <c r="A3" s="10" t="s">
        <v>1208</v>
      </c>
      <c r="B3" s="6" t="s">
        <v>1200</v>
      </c>
      <c r="C3" s="6" t="s">
        <v>1202</v>
      </c>
      <c r="D3" s="6" t="s">
        <v>1204</v>
      </c>
      <c r="E3" s="6" t="s">
        <v>1203</v>
      </c>
      <c r="F3" s="6" t="s">
        <v>1201</v>
      </c>
      <c r="G3" s="6" t="s">
        <v>1205</v>
      </c>
      <c r="H3" s="6" t="s">
        <v>1206</v>
      </c>
      <c r="I3" s="6" t="s">
        <v>1211</v>
      </c>
    </row>
    <row r="4" spans="1:9" x14ac:dyDescent="0.3">
      <c r="A4" s="7">
        <f>IF(B4&lt;&gt;"",SUBTOTAL(3,$C$4:C4))</f>
        <v>1</v>
      </c>
      <c r="B4" s="4">
        <v>1</v>
      </c>
      <c r="C4" s="5" t="s">
        <v>0</v>
      </c>
      <c r="D4" s="5" t="s">
        <v>1</v>
      </c>
      <c r="E4" s="5" t="s">
        <v>2</v>
      </c>
      <c r="F4" s="5" t="s">
        <v>3</v>
      </c>
      <c r="G4" s="7"/>
      <c r="H4" s="7"/>
      <c r="I4" s="7"/>
    </row>
    <row r="5" spans="1:9" x14ac:dyDescent="0.3">
      <c r="A5" s="7">
        <f>IF(B5&lt;&gt;"",SUBTOTAL(3,$C$4:C5))</f>
        <v>2</v>
      </c>
      <c r="B5" s="4">
        <v>2</v>
      </c>
      <c r="C5" s="5" t="s">
        <v>4</v>
      </c>
      <c r="D5" s="5" t="s">
        <v>5</v>
      </c>
      <c r="E5" s="5" t="s">
        <v>6</v>
      </c>
      <c r="F5" s="5" t="s">
        <v>7</v>
      </c>
      <c r="G5" s="7"/>
      <c r="H5" s="7"/>
      <c r="I5" s="7"/>
    </row>
    <row r="6" spans="1:9" x14ac:dyDescent="0.3">
      <c r="A6" s="7">
        <f>IF(B6&lt;&gt;"",SUBTOTAL(3,$C$4:C6))</f>
        <v>3</v>
      </c>
      <c r="B6" s="4">
        <v>3</v>
      </c>
      <c r="C6" s="5" t="s">
        <v>8</v>
      </c>
      <c r="D6" s="5" t="s">
        <v>9</v>
      </c>
      <c r="E6" s="5" t="s">
        <v>10</v>
      </c>
      <c r="F6" s="5" t="s">
        <v>11</v>
      </c>
      <c r="G6" s="7"/>
      <c r="H6" s="7"/>
      <c r="I6" s="7"/>
    </row>
    <row r="7" spans="1:9" x14ac:dyDescent="0.3">
      <c r="A7" s="7">
        <f>IF(B7&lt;&gt;"",SUBTOTAL(3,$C$4:C7))</f>
        <v>4</v>
      </c>
      <c r="B7" s="4">
        <v>4</v>
      </c>
      <c r="C7" s="5" t="s">
        <v>12</v>
      </c>
      <c r="D7" s="5" t="s">
        <v>13</v>
      </c>
      <c r="E7" s="5" t="s">
        <v>14</v>
      </c>
      <c r="F7" s="5" t="s">
        <v>15</v>
      </c>
      <c r="G7" s="8">
        <v>44368</v>
      </c>
      <c r="H7" s="7" t="s">
        <v>1212</v>
      </c>
      <c r="I7" s="7"/>
    </row>
    <row r="8" spans="1:9" x14ac:dyDescent="0.3">
      <c r="A8" s="7">
        <f>IF(B8&lt;&gt;"",SUBTOTAL(3,$C$4:C8))</f>
        <v>5</v>
      </c>
      <c r="B8" s="4">
        <v>5</v>
      </c>
      <c r="C8" s="5" t="s">
        <v>16</v>
      </c>
      <c r="D8" s="5" t="s">
        <v>17</v>
      </c>
      <c r="E8" s="5" t="s">
        <v>18</v>
      </c>
      <c r="F8" s="5" t="s">
        <v>19</v>
      </c>
      <c r="G8" s="7"/>
      <c r="H8" s="7"/>
      <c r="I8" s="7"/>
    </row>
    <row r="9" spans="1:9" x14ac:dyDescent="0.3">
      <c r="A9" s="7">
        <f>IF(B9&lt;&gt;"",SUBTOTAL(3,$C$4:C9))</f>
        <v>6</v>
      </c>
      <c r="B9" s="4">
        <v>6</v>
      </c>
      <c r="C9" s="5" t="s">
        <v>20</v>
      </c>
      <c r="D9" s="5" t="s">
        <v>21</v>
      </c>
      <c r="E9" s="5" t="s">
        <v>22</v>
      </c>
      <c r="F9" s="5" t="s">
        <v>23</v>
      </c>
      <c r="G9" s="7"/>
      <c r="H9" s="7"/>
      <c r="I9" s="7"/>
    </row>
    <row r="10" spans="1:9" x14ac:dyDescent="0.3">
      <c r="A10" s="7">
        <f>IF(B10&lt;&gt;"",SUBTOTAL(3,$C$4:C10))</f>
        <v>7</v>
      </c>
      <c r="B10" s="4">
        <v>7</v>
      </c>
      <c r="C10" s="5" t="s">
        <v>24</v>
      </c>
      <c r="D10" s="5" t="s">
        <v>25</v>
      </c>
      <c r="E10" s="5" t="s">
        <v>26</v>
      </c>
      <c r="F10" s="5" t="s">
        <v>27</v>
      </c>
      <c r="G10" s="7"/>
      <c r="H10" s="7"/>
      <c r="I10" s="7"/>
    </row>
    <row r="11" spans="1:9" x14ac:dyDescent="0.3">
      <c r="A11" s="7">
        <f>IF(B11&lt;&gt;"",SUBTOTAL(3,$C$4:C11))</f>
        <v>8</v>
      </c>
      <c r="B11" s="4">
        <v>8</v>
      </c>
      <c r="C11" s="5" t="s">
        <v>28</v>
      </c>
      <c r="D11" s="5" t="s">
        <v>29</v>
      </c>
      <c r="E11" s="5" t="s">
        <v>30</v>
      </c>
      <c r="F11" s="5" t="s">
        <v>31</v>
      </c>
      <c r="G11" s="7"/>
      <c r="H11" s="7"/>
      <c r="I11" s="7"/>
    </row>
    <row r="12" spans="1:9" x14ac:dyDescent="0.3">
      <c r="A12" s="7">
        <f>IF(B12&lt;&gt;"",SUBTOTAL(3,$C$4:C12))</f>
        <v>9</v>
      </c>
      <c r="B12" s="4">
        <v>9</v>
      </c>
      <c r="C12" s="5" t="s">
        <v>32</v>
      </c>
      <c r="D12" s="5" t="s">
        <v>33</v>
      </c>
      <c r="E12" s="5" t="s">
        <v>34</v>
      </c>
      <c r="F12" s="5" t="s">
        <v>35</v>
      </c>
      <c r="G12" s="7"/>
      <c r="H12" s="7"/>
      <c r="I12" s="7"/>
    </row>
    <row r="13" spans="1:9" x14ac:dyDescent="0.3">
      <c r="A13" s="7">
        <f>IF(B13&lt;&gt;"",SUBTOTAL(3,$C$4:C13))</f>
        <v>10</v>
      </c>
      <c r="B13" s="4">
        <v>10</v>
      </c>
      <c r="C13" s="5" t="s">
        <v>36</v>
      </c>
      <c r="D13" s="5" t="s">
        <v>37</v>
      </c>
      <c r="E13" s="5" t="s">
        <v>38</v>
      </c>
      <c r="F13" s="5" t="s">
        <v>39</v>
      </c>
      <c r="G13" s="7"/>
      <c r="H13" s="7"/>
      <c r="I13" s="7"/>
    </row>
    <row r="14" spans="1:9" x14ac:dyDescent="0.3">
      <c r="A14" s="7">
        <f>IF(B14&lt;&gt;"",SUBTOTAL(3,$C$4:C14))</f>
        <v>11</v>
      </c>
      <c r="B14" s="4">
        <v>11</v>
      </c>
      <c r="C14" s="5" t="s">
        <v>40</v>
      </c>
      <c r="D14" s="5" t="s">
        <v>41</v>
      </c>
      <c r="E14" s="5" t="s">
        <v>42</v>
      </c>
      <c r="F14" s="5" t="s">
        <v>43</v>
      </c>
      <c r="G14" s="7"/>
      <c r="H14" s="7"/>
      <c r="I14" s="7"/>
    </row>
    <row r="15" spans="1:9" x14ac:dyDescent="0.3">
      <c r="A15" s="7">
        <f>IF(B15&lt;&gt;"",SUBTOTAL(3,$C$4:C15))</f>
        <v>12</v>
      </c>
      <c r="B15" s="4">
        <v>12</v>
      </c>
      <c r="C15" s="5" t="s">
        <v>44</v>
      </c>
      <c r="D15" s="5" t="s">
        <v>45</v>
      </c>
      <c r="E15" s="5" t="s">
        <v>46</v>
      </c>
      <c r="F15" s="5" t="s">
        <v>47</v>
      </c>
      <c r="G15" s="7"/>
      <c r="H15" s="7"/>
      <c r="I15" s="7"/>
    </row>
    <row r="16" spans="1:9" x14ac:dyDescent="0.3">
      <c r="A16" s="7">
        <f>IF(B16&lt;&gt;"",SUBTOTAL(3,$C$4:C16))</f>
        <v>13</v>
      </c>
      <c r="B16" s="4">
        <v>13</v>
      </c>
      <c r="C16" s="5" t="s">
        <v>48</v>
      </c>
      <c r="D16" s="5" t="s">
        <v>49</v>
      </c>
      <c r="E16" s="5" t="s">
        <v>50</v>
      </c>
      <c r="F16" s="5" t="s">
        <v>51</v>
      </c>
      <c r="G16" s="8">
        <v>44357</v>
      </c>
      <c r="H16" s="7" t="str">
        <f>VLOOKUP(D16,[1]Sheet1!$H$245:$J$470,3,0)</f>
        <v xml:space="preserve">ĐL a Tuấn Ninh Bình </v>
      </c>
      <c r="I16" s="7"/>
    </row>
    <row r="17" spans="1:9" x14ac:dyDescent="0.3">
      <c r="A17" s="7">
        <f>IF(B17&lt;&gt;"",SUBTOTAL(3,$C$4:C17))</f>
        <v>14</v>
      </c>
      <c r="B17" s="4">
        <v>14</v>
      </c>
      <c r="C17" s="5" t="s">
        <v>52</v>
      </c>
      <c r="D17" s="5" t="s">
        <v>53</v>
      </c>
      <c r="E17" s="5" t="s">
        <v>54</v>
      </c>
      <c r="F17" s="5" t="s">
        <v>55</v>
      </c>
      <c r="G17" s="7"/>
      <c r="H17" s="7"/>
      <c r="I17" s="7"/>
    </row>
    <row r="18" spans="1:9" x14ac:dyDescent="0.3">
      <c r="A18" s="7">
        <f>IF(B18&lt;&gt;"",SUBTOTAL(3,$C$4:C18))</f>
        <v>15</v>
      </c>
      <c r="B18" s="4">
        <v>15</v>
      </c>
      <c r="C18" s="5" t="s">
        <v>56</v>
      </c>
      <c r="D18" s="5" t="s">
        <v>57</v>
      </c>
      <c r="E18" s="5" t="s">
        <v>58</v>
      </c>
      <c r="F18" s="5" t="s">
        <v>59</v>
      </c>
      <c r="G18" s="7"/>
      <c r="H18" s="7"/>
      <c r="I18" s="7"/>
    </row>
    <row r="19" spans="1:9" x14ac:dyDescent="0.3">
      <c r="A19" s="7">
        <f>IF(B19&lt;&gt;"",SUBTOTAL(3,$C$4:C19))</f>
        <v>16</v>
      </c>
      <c r="B19" s="4">
        <v>16</v>
      </c>
      <c r="C19" s="5" t="s">
        <v>60</v>
      </c>
      <c r="D19" s="5" t="s">
        <v>61</v>
      </c>
      <c r="E19" s="5" t="s">
        <v>62</v>
      </c>
      <c r="F19" s="5" t="s">
        <v>63</v>
      </c>
      <c r="G19" s="7"/>
      <c r="H19" s="7"/>
      <c r="I19" s="7"/>
    </row>
    <row r="20" spans="1:9" x14ac:dyDescent="0.3">
      <c r="A20" s="7">
        <f>IF(B20&lt;&gt;"",SUBTOTAL(3,$C$4:C20))</f>
        <v>17</v>
      </c>
      <c r="B20" s="4">
        <v>17</v>
      </c>
      <c r="C20" s="5" t="s">
        <v>64</v>
      </c>
      <c r="D20" s="5" t="s">
        <v>65</v>
      </c>
      <c r="E20" s="5" t="s">
        <v>66</v>
      </c>
      <c r="F20" s="5" t="s">
        <v>67</v>
      </c>
      <c r="G20" s="7"/>
      <c r="H20" s="7"/>
      <c r="I20" s="7"/>
    </row>
    <row r="21" spans="1:9" x14ac:dyDescent="0.3">
      <c r="A21" s="7">
        <f>IF(B21&lt;&gt;"",SUBTOTAL(3,$C$4:C21))</f>
        <v>18</v>
      </c>
      <c r="B21" s="4">
        <v>18</v>
      </c>
      <c r="C21" s="5" t="s">
        <v>68</v>
      </c>
      <c r="D21" s="5" t="s">
        <v>69</v>
      </c>
      <c r="E21" s="5" t="s">
        <v>70</v>
      </c>
      <c r="F21" s="5" t="s">
        <v>71</v>
      </c>
      <c r="G21" s="7"/>
      <c r="H21" s="7"/>
      <c r="I21" s="7"/>
    </row>
    <row r="22" spans="1:9" x14ac:dyDescent="0.3">
      <c r="A22" s="7">
        <f>IF(B22&lt;&gt;"",SUBTOTAL(3,$C$4:C22))</f>
        <v>19</v>
      </c>
      <c r="B22" s="4">
        <v>19</v>
      </c>
      <c r="C22" s="5" t="s">
        <v>72</v>
      </c>
      <c r="D22" s="5" t="s">
        <v>73</v>
      </c>
      <c r="E22" s="5" t="s">
        <v>74</v>
      </c>
      <c r="F22" s="5" t="s">
        <v>75</v>
      </c>
      <c r="G22" s="7"/>
      <c r="H22" s="7"/>
      <c r="I22" s="7"/>
    </row>
    <row r="23" spans="1:9" x14ac:dyDescent="0.3">
      <c r="A23" s="7">
        <f>IF(B23&lt;&gt;"",SUBTOTAL(3,$C$4:C23))</f>
        <v>20</v>
      </c>
      <c r="B23" s="4">
        <v>20</v>
      </c>
      <c r="C23" s="5" t="s">
        <v>76</v>
      </c>
      <c r="D23" s="5" t="s">
        <v>77</v>
      </c>
      <c r="E23" s="5" t="s">
        <v>78</v>
      </c>
      <c r="F23" s="5" t="s">
        <v>79</v>
      </c>
      <c r="G23" s="8">
        <v>44358</v>
      </c>
      <c r="H23" s="7" t="str">
        <f>VLOOKUP(D23,[1]Sheet1!$H$245:$J$470,3,0)</f>
        <v xml:space="preserve">ĐL a Tĩnh </v>
      </c>
      <c r="I23" s="7"/>
    </row>
    <row r="24" spans="1:9" x14ac:dyDescent="0.3">
      <c r="A24" s="7">
        <f>IF(B24&lt;&gt;"",SUBTOTAL(3,$C$4:C24))</f>
        <v>21</v>
      </c>
      <c r="B24" s="4">
        <v>21</v>
      </c>
      <c r="C24" s="5" t="s">
        <v>80</v>
      </c>
      <c r="D24" s="5" t="s">
        <v>81</v>
      </c>
      <c r="E24" s="5" t="s">
        <v>82</v>
      </c>
      <c r="F24" s="5" t="s">
        <v>83</v>
      </c>
      <c r="G24" s="8">
        <v>44358</v>
      </c>
      <c r="H24" s="7" t="str">
        <f>VLOOKUP(D24,[1]Sheet1!$H$245:$J$470,3,0)</f>
        <v xml:space="preserve">ĐL a Tĩnh </v>
      </c>
      <c r="I24" s="7"/>
    </row>
    <row r="25" spans="1:9" x14ac:dyDescent="0.3">
      <c r="A25" s="7">
        <f>IF(B25&lt;&gt;"",SUBTOTAL(3,$C$4:C25))</f>
        <v>22</v>
      </c>
      <c r="B25" s="4">
        <v>22</v>
      </c>
      <c r="C25" s="5" t="s">
        <v>84</v>
      </c>
      <c r="D25" s="5" t="s">
        <v>85</v>
      </c>
      <c r="E25" s="5" t="s">
        <v>86</v>
      </c>
      <c r="F25" s="5" t="s">
        <v>87</v>
      </c>
      <c r="G25" s="7"/>
      <c r="H25" s="7"/>
      <c r="I25" s="7"/>
    </row>
    <row r="26" spans="1:9" x14ac:dyDescent="0.3">
      <c r="A26" s="7">
        <f>IF(B26&lt;&gt;"",SUBTOTAL(3,$C$4:C26))</f>
        <v>23</v>
      </c>
      <c r="B26" s="4">
        <v>23</v>
      </c>
      <c r="C26" s="5" t="s">
        <v>88</v>
      </c>
      <c r="D26" s="5" t="s">
        <v>89</v>
      </c>
      <c r="E26" s="5" t="s">
        <v>90</v>
      </c>
      <c r="F26" s="5" t="s">
        <v>91</v>
      </c>
      <c r="G26" s="7"/>
      <c r="H26" s="7"/>
      <c r="I26" s="7"/>
    </row>
    <row r="27" spans="1:9" x14ac:dyDescent="0.3">
      <c r="A27" s="7">
        <f>IF(B27&lt;&gt;"",SUBTOTAL(3,$C$4:C27))</f>
        <v>24</v>
      </c>
      <c r="B27" s="4">
        <v>24</v>
      </c>
      <c r="C27" s="5" t="s">
        <v>92</v>
      </c>
      <c r="D27" s="5" t="s">
        <v>93</v>
      </c>
      <c r="E27" s="5" t="s">
        <v>94</v>
      </c>
      <c r="F27" s="5" t="s">
        <v>95</v>
      </c>
      <c r="G27" s="7"/>
      <c r="H27" s="7"/>
      <c r="I27" s="7"/>
    </row>
    <row r="28" spans="1:9" x14ac:dyDescent="0.3">
      <c r="A28" s="7">
        <f>IF(B28&lt;&gt;"",SUBTOTAL(3,$C$4:C28))</f>
        <v>25</v>
      </c>
      <c r="B28" s="4">
        <v>25</v>
      </c>
      <c r="C28" s="5" t="s">
        <v>96</v>
      </c>
      <c r="D28" s="5" t="s">
        <v>97</v>
      </c>
      <c r="E28" s="5" t="s">
        <v>98</v>
      </c>
      <c r="F28" s="5" t="s">
        <v>99</v>
      </c>
      <c r="G28" s="7"/>
      <c r="H28" s="7"/>
      <c r="I28" s="7"/>
    </row>
    <row r="29" spans="1:9" x14ac:dyDescent="0.3">
      <c r="A29" s="7">
        <f>IF(B29&lt;&gt;"",SUBTOTAL(3,$C$4:C29))</f>
        <v>26</v>
      </c>
      <c r="B29" s="4">
        <v>26</v>
      </c>
      <c r="C29" s="5" t="s">
        <v>100</v>
      </c>
      <c r="D29" s="5" t="s">
        <v>101</v>
      </c>
      <c r="E29" s="5" t="s">
        <v>102</v>
      </c>
      <c r="F29" s="5" t="s">
        <v>103</v>
      </c>
      <c r="G29" s="7"/>
      <c r="H29" s="7"/>
      <c r="I29" s="7"/>
    </row>
    <row r="30" spans="1:9" x14ac:dyDescent="0.3">
      <c r="A30" s="7">
        <f>IF(B30&lt;&gt;"",SUBTOTAL(3,$C$4:C30))</f>
        <v>27</v>
      </c>
      <c r="B30" s="4">
        <v>27</v>
      </c>
      <c r="C30" s="5" t="s">
        <v>104</v>
      </c>
      <c r="D30" s="5" t="s">
        <v>105</v>
      </c>
      <c r="E30" s="5" t="s">
        <v>106</v>
      </c>
      <c r="F30" s="5" t="s">
        <v>107</v>
      </c>
      <c r="G30" s="7"/>
      <c r="H30" s="7"/>
      <c r="I30" s="7"/>
    </row>
    <row r="31" spans="1:9" x14ac:dyDescent="0.3">
      <c r="A31" s="7">
        <f>IF(B31&lt;&gt;"",SUBTOTAL(3,$C$4:C31))</f>
        <v>28</v>
      </c>
      <c r="B31" s="4">
        <v>28</v>
      </c>
      <c r="C31" s="5" t="s">
        <v>108</v>
      </c>
      <c r="D31" s="5" t="s">
        <v>109</v>
      </c>
      <c r="E31" s="5" t="s">
        <v>110</v>
      </c>
      <c r="F31" s="5" t="s">
        <v>111</v>
      </c>
      <c r="G31" s="8">
        <v>44358</v>
      </c>
      <c r="H31" s="7" t="str">
        <f>VLOOKUP(D31,[1]Sheet1!$H$245:$J$470,3,0)</f>
        <v xml:space="preserve">ĐL a Tĩnh </v>
      </c>
      <c r="I31" s="7"/>
    </row>
    <row r="32" spans="1:9" x14ac:dyDescent="0.3">
      <c r="A32" s="7">
        <f>IF(B32&lt;&gt;"",SUBTOTAL(3,$C$4:C32))</f>
        <v>29</v>
      </c>
      <c r="B32" s="4">
        <v>29</v>
      </c>
      <c r="C32" s="5" t="s">
        <v>112</v>
      </c>
      <c r="D32" s="5" t="s">
        <v>113</v>
      </c>
      <c r="E32" s="5" t="s">
        <v>114</v>
      </c>
      <c r="F32" s="5" t="s">
        <v>115</v>
      </c>
      <c r="G32" s="7"/>
      <c r="H32" s="7"/>
      <c r="I32" s="7"/>
    </row>
    <row r="33" spans="1:9" x14ac:dyDescent="0.3">
      <c r="A33" s="7">
        <f>IF(B33&lt;&gt;"",SUBTOTAL(3,$C$4:C33))</f>
        <v>30</v>
      </c>
      <c r="B33" s="4">
        <v>30</v>
      </c>
      <c r="C33" s="5" t="s">
        <v>116</v>
      </c>
      <c r="D33" s="5" t="s">
        <v>117</v>
      </c>
      <c r="E33" s="5" t="s">
        <v>118</v>
      </c>
      <c r="F33" s="5" t="s">
        <v>119</v>
      </c>
      <c r="G33" s="7"/>
      <c r="H33" s="7"/>
      <c r="I33" s="7"/>
    </row>
    <row r="34" spans="1:9" x14ac:dyDescent="0.3">
      <c r="A34" s="7">
        <f>IF(B34&lt;&gt;"",SUBTOTAL(3,$C$4:C34))</f>
        <v>31</v>
      </c>
      <c r="B34" s="4">
        <v>31</v>
      </c>
      <c r="C34" s="5" t="s">
        <v>120</v>
      </c>
      <c r="D34" s="5" t="s">
        <v>121</v>
      </c>
      <c r="E34" s="5" t="s">
        <v>122</v>
      </c>
      <c r="F34" s="5" t="s">
        <v>123</v>
      </c>
      <c r="G34" s="7"/>
      <c r="H34" s="7"/>
      <c r="I34" s="7"/>
    </row>
    <row r="35" spans="1:9" x14ac:dyDescent="0.3">
      <c r="A35" s="7">
        <f>IF(B35&lt;&gt;"",SUBTOTAL(3,$C$4:C35))</f>
        <v>32</v>
      </c>
      <c r="B35" s="4">
        <v>32</v>
      </c>
      <c r="C35" s="5" t="s">
        <v>124</v>
      </c>
      <c r="D35" s="5" t="s">
        <v>125</v>
      </c>
      <c r="E35" s="5" t="s">
        <v>126</v>
      </c>
      <c r="F35" s="5" t="s">
        <v>127</v>
      </c>
      <c r="G35" s="7"/>
      <c r="H35" s="7"/>
      <c r="I35" s="7"/>
    </row>
    <row r="36" spans="1:9" x14ac:dyDescent="0.3">
      <c r="A36" s="7">
        <f>IF(B36&lt;&gt;"",SUBTOTAL(3,$C$4:C36))</f>
        <v>33</v>
      </c>
      <c r="B36" s="4">
        <v>33</v>
      </c>
      <c r="C36" s="5" t="s">
        <v>128</v>
      </c>
      <c r="D36" s="5" t="s">
        <v>129</v>
      </c>
      <c r="E36" s="5" t="s">
        <v>130</v>
      </c>
      <c r="F36" s="5" t="s">
        <v>131</v>
      </c>
      <c r="G36" s="7"/>
      <c r="H36" s="7"/>
      <c r="I36" s="7"/>
    </row>
    <row r="37" spans="1:9" x14ac:dyDescent="0.3">
      <c r="A37" s="7">
        <f>IF(B37&lt;&gt;"",SUBTOTAL(3,$C$4:C37))</f>
        <v>34</v>
      </c>
      <c r="B37" s="4">
        <v>34</v>
      </c>
      <c r="C37" s="5" t="s">
        <v>132</v>
      </c>
      <c r="D37" s="5" t="s">
        <v>133</v>
      </c>
      <c r="E37" s="5" t="s">
        <v>134</v>
      </c>
      <c r="F37" s="5" t="s">
        <v>135</v>
      </c>
      <c r="G37" s="7"/>
      <c r="H37" s="7"/>
      <c r="I37" s="7"/>
    </row>
    <row r="38" spans="1:9" x14ac:dyDescent="0.3">
      <c r="A38" s="7">
        <f>IF(B38&lt;&gt;"",SUBTOTAL(3,$C$4:C38))</f>
        <v>35</v>
      </c>
      <c r="B38" s="4">
        <v>35</v>
      </c>
      <c r="C38" s="5" t="s">
        <v>136</v>
      </c>
      <c r="D38" s="5" t="s">
        <v>137</v>
      </c>
      <c r="E38" s="5" t="s">
        <v>138</v>
      </c>
      <c r="F38" s="5" t="s">
        <v>139</v>
      </c>
      <c r="G38" s="7"/>
      <c r="H38" s="7"/>
      <c r="I38" s="7"/>
    </row>
    <row r="39" spans="1:9" x14ac:dyDescent="0.3">
      <c r="A39" s="7">
        <f>IF(B39&lt;&gt;"",SUBTOTAL(3,$C$4:C39))</f>
        <v>36</v>
      </c>
      <c r="B39" s="4">
        <v>36</v>
      </c>
      <c r="C39" s="5" t="s">
        <v>140</v>
      </c>
      <c r="D39" s="5" t="s">
        <v>141</v>
      </c>
      <c r="E39" s="5" t="s">
        <v>142</v>
      </c>
      <c r="F39" s="5" t="s">
        <v>143</v>
      </c>
      <c r="G39" s="7"/>
      <c r="H39" s="7"/>
      <c r="I39" s="7"/>
    </row>
    <row r="40" spans="1:9" x14ac:dyDescent="0.3">
      <c r="A40" s="7">
        <f>IF(B40&lt;&gt;"",SUBTOTAL(3,$C$4:C40))</f>
        <v>37</v>
      </c>
      <c r="B40" s="4">
        <v>37</v>
      </c>
      <c r="C40" s="5" t="s">
        <v>144</v>
      </c>
      <c r="D40" s="5" t="s">
        <v>145</v>
      </c>
      <c r="E40" s="5" t="s">
        <v>146</v>
      </c>
      <c r="F40" s="5" t="s">
        <v>147</v>
      </c>
      <c r="G40" s="7"/>
      <c r="H40" s="7"/>
      <c r="I40" s="7"/>
    </row>
    <row r="41" spans="1:9" x14ac:dyDescent="0.3">
      <c r="A41" s="7">
        <f>IF(B41&lt;&gt;"",SUBTOTAL(3,$C$4:C41))</f>
        <v>38</v>
      </c>
      <c r="B41" s="4">
        <v>38</v>
      </c>
      <c r="C41" s="5" t="s">
        <v>148</v>
      </c>
      <c r="D41" s="5" t="s">
        <v>149</v>
      </c>
      <c r="E41" s="5" t="s">
        <v>150</v>
      </c>
      <c r="F41" s="5" t="s">
        <v>151</v>
      </c>
      <c r="G41" s="7"/>
      <c r="H41" s="7"/>
      <c r="I41" s="7"/>
    </row>
    <row r="42" spans="1:9" x14ac:dyDescent="0.3">
      <c r="A42" s="7">
        <f>IF(B42&lt;&gt;"",SUBTOTAL(3,$C$4:C42))</f>
        <v>39</v>
      </c>
      <c r="B42" s="4">
        <v>39</v>
      </c>
      <c r="C42" s="5" t="s">
        <v>152</v>
      </c>
      <c r="D42" s="5" t="s">
        <v>153</v>
      </c>
      <c r="E42" s="5" t="s">
        <v>154</v>
      </c>
      <c r="F42" s="5" t="s">
        <v>155</v>
      </c>
      <c r="G42" s="8">
        <v>44358</v>
      </c>
      <c r="H42" s="7" t="str">
        <f>VLOOKUP(D42,[1]Sheet1!$H$245:$J$470,3,0)</f>
        <v xml:space="preserve">ĐL a Tĩnh </v>
      </c>
      <c r="I42" s="7"/>
    </row>
    <row r="43" spans="1:9" x14ac:dyDescent="0.3">
      <c r="A43" s="7">
        <f>IF(B43&lt;&gt;"",SUBTOTAL(3,$C$4:C43))</f>
        <v>40</v>
      </c>
      <c r="B43" s="4">
        <v>40</v>
      </c>
      <c r="C43" s="5" t="s">
        <v>156</v>
      </c>
      <c r="D43" s="5" t="s">
        <v>157</v>
      </c>
      <c r="E43" s="5" t="s">
        <v>158</v>
      </c>
      <c r="F43" s="5" t="s">
        <v>159</v>
      </c>
      <c r="G43" s="7"/>
      <c r="H43" s="7"/>
      <c r="I43" s="7"/>
    </row>
    <row r="44" spans="1:9" x14ac:dyDescent="0.3">
      <c r="A44" s="7">
        <f>IF(B44&lt;&gt;"",SUBTOTAL(3,$C$4:C44))</f>
        <v>41</v>
      </c>
      <c r="B44" s="4">
        <v>41</v>
      </c>
      <c r="C44" s="5" t="s">
        <v>160</v>
      </c>
      <c r="D44" s="5" t="s">
        <v>161</v>
      </c>
      <c r="E44" s="5" t="s">
        <v>162</v>
      </c>
      <c r="F44" s="5" t="s">
        <v>163</v>
      </c>
      <c r="G44" s="8">
        <v>44357</v>
      </c>
      <c r="H44" s="7" t="str">
        <f>VLOOKUP(D44,[1]Sheet1!$H$245:$J$470,3,0)</f>
        <v xml:space="preserve">ĐL a Tuấn Ninh Bình </v>
      </c>
      <c r="I44" s="7"/>
    </row>
    <row r="45" spans="1:9" x14ac:dyDescent="0.3">
      <c r="A45" s="7">
        <f>IF(B45&lt;&gt;"",SUBTOTAL(3,$C$4:C45))</f>
        <v>42</v>
      </c>
      <c r="B45" s="4">
        <v>42</v>
      </c>
      <c r="C45" s="5" t="s">
        <v>164</v>
      </c>
      <c r="D45" s="5" t="s">
        <v>165</v>
      </c>
      <c r="E45" s="5" t="s">
        <v>166</v>
      </c>
      <c r="F45" s="5" t="s">
        <v>167</v>
      </c>
      <c r="G45" s="7"/>
      <c r="H45" s="7"/>
      <c r="I45" s="7"/>
    </row>
    <row r="46" spans="1:9" x14ac:dyDescent="0.3">
      <c r="A46" s="7">
        <f>IF(B46&lt;&gt;"",SUBTOTAL(3,$C$4:C46))</f>
        <v>43</v>
      </c>
      <c r="B46" s="4">
        <v>43</v>
      </c>
      <c r="C46" s="5" t="s">
        <v>168</v>
      </c>
      <c r="D46" s="5" t="s">
        <v>169</v>
      </c>
      <c r="E46" s="5" t="s">
        <v>170</v>
      </c>
      <c r="F46" s="5" t="s">
        <v>171</v>
      </c>
      <c r="G46" s="7"/>
      <c r="H46" s="7"/>
      <c r="I46" s="7"/>
    </row>
    <row r="47" spans="1:9" x14ac:dyDescent="0.3">
      <c r="A47" s="7">
        <f>IF(B47&lt;&gt;"",SUBTOTAL(3,$C$4:C47))</f>
        <v>44</v>
      </c>
      <c r="B47" s="4">
        <v>44</v>
      </c>
      <c r="C47" s="5" t="s">
        <v>172</v>
      </c>
      <c r="D47" s="5" t="s">
        <v>173</v>
      </c>
      <c r="E47" s="5" t="s">
        <v>174</v>
      </c>
      <c r="F47" s="5" t="s">
        <v>175</v>
      </c>
      <c r="G47" s="7"/>
      <c r="H47" s="7"/>
      <c r="I47" s="7"/>
    </row>
    <row r="48" spans="1:9" x14ac:dyDescent="0.3">
      <c r="A48" s="7">
        <f>IF(B48&lt;&gt;"",SUBTOTAL(3,$C$4:C48))</f>
        <v>45</v>
      </c>
      <c r="B48" s="4">
        <v>45</v>
      </c>
      <c r="C48" s="5" t="s">
        <v>176</v>
      </c>
      <c r="D48" s="5" t="s">
        <v>177</v>
      </c>
      <c r="E48" s="5" t="s">
        <v>178</v>
      </c>
      <c r="F48" s="5" t="s">
        <v>179</v>
      </c>
      <c r="G48" s="7"/>
      <c r="H48" s="7"/>
      <c r="I48" s="7"/>
    </row>
    <row r="49" spans="1:9" x14ac:dyDescent="0.3">
      <c r="A49" s="7">
        <f>IF(B49&lt;&gt;"",SUBTOTAL(3,$C$4:C49))</f>
        <v>46</v>
      </c>
      <c r="B49" s="4">
        <v>46</v>
      </c>
      <c r="C49" s="5" t="s">
        <v>180</v>
      </c>
      <c r="D49" s="5" t="s">
        <v>181</v>
      </c>
      <c r="E49" s="5" t="s">
        <v>182</v>
      </c>
      <c r="F49" s="5" t="s">
        <v>183</v>
      </c>
      <c r="G49" s="7"/>
      <c r="H49" s="7"/>
      <c r="I49" s="7"/>
    </row>
    <row r="50" spans="1:9" x14ac:dyDescent="0.3">
      <c r="A50" s="7">
        <f>IF(B50&lt;&gt;"",SUBTOTAL(3,$C$4:C50))</f>
        <v>47</v>
      </c>
      <c r="B50" s="4">
        <v>47</v>
      </c>
      <c r="C50" s="5" t="s">
        <v>184</v>
      </c>
      <c r="D50" s="5" t="s">
        <v>185</v>
      </c>
      <c r="E50" s="5" t="s">
        <v>186</v>
      </c>
      <c r="F50" s="5" t="s">
        <v>187</v>
      </c>
      <c r="G50" s="7"/>
      <c r="H50" s="7"/>
      <c r="I50" s="7"/>
    </row>
    <row r="51" spans="1:9" x14ac:dyDescent="0.3">
      <c r="A51" s="7">
        <f>IF(B51&lt;&gt;"",SUBTOTAL(3,$C$4:C51))</f>
        <v>48</v>
      </c>
      <c r="B51" s="4">
        <v>48</v>
      </c>
      <c r="C51" s="5" t="s">
        <v>188</v>
      </c>
      <c r="D51" s="5" t="s">
        <v>189</v>
      </c>
      <c r="E51" s="5" t="s">
        <v>190</v>
      </c>
      <c r="F51" s="5" t="s">
        <v>191</v>
      </c>
      <c r="G51" s="7"/>
      <c r="H51" s="7"/>
      <c r="I51" s="7"/>
    </row>
    <row r="52" spans="1:9" x14ac:dyDescent="0.3">
      <c r="A52" s="7">
        <f>IF(B52&lt;&gt;"",SUBTOTAL(3,$C$4:C52))</f>
        <v>49</v>
      </c>
      <c r="B52" s="4">
        <v>49</v>
      </c>
      <c r="C52" s="5" t="s">
        <v>192</v>
      </c>
      <c r="D52" s="5" t="s">
        <v>193</v>
      </c>
      <c r="E52" s="5" t="s">
        <v>194</v>
      </c>
      <c r="F52" s="5" t="s">
        <v>195</v>
      </c>
      <c r="G52" s="8">
        <v>44357</v>
      </c>
      <c r="H52" s="7" t="str">
        <f>VLOOKUP(D52,[1]Sheet1!$H$245:$J$470,3,0)</f>
        <v xml:space="preserve">ĐL a Tuấn Ninh Bình </v>
      </c>
      <c r="I52" s="7"/>
    </row>
    <row r="53" spans="1:9" x14ac:dyDescent="0.3">
      <c r="A53" s="7">
        <f>IF(B53&lt;&gt;"",SUBTOTAL(3,$C$4:C53))</f>
        <v>50</v>
      </c>
      <c r="B53" s="4">
        <v>50</v>
      </c>
      <c r="C53" s="5" t="s">
        <v>196</v>
      </c>
      <c r="D53" s="5" t="s">
        <v>197</v>
      </c>
      <c r="E53" s="5" t="s">
        <v>198</v>
      </c>
      <c r="F53" s="5" t="s">
        <v>199</v>
      </c>
      <c r="G53" s="7"/>
      <c r="H53" s="7"/>
      <c r="I53" s="7"/>
    </row>
    <row r="54" spans="1:9" x14ac:dyDescent="0.3">
      <c r="A54" s="7">
        <f>IF(B54&lt;&gt;"",SUBTOTAL(3,$C$4:C54))</f>
        <v>51</v>
      </c>
      <c r="B54" s="4">
        <v>51</v>
      </c>
      <c r="C54" s="5" t="s">
        <v>200</v>
      </c>
      <c r="D54" s="5" t="s">
        <v>201</v>
      </c>
      <c r="E54" s="5" t="s">
        <v>202</v>
      </c>
      <c r="F54" s="5" t="s">
        <v>203</v>
      </c>
      <c r="G54" s="8">
        <v>44358</v>
      </c>
      <c r="H54" s="7" t="str">
        <f>VLOOKUP(D54,[1]Sheet1!$H$245:$J$470,3,0)</f>
        <v xml:space="preserve">ĐL a Tĩnh </v>
      </c>
      <c r="I54" s="7"/>
    </row>
    <row r="55" spans="1:9" x14ac:dyDescent="0.3">
      <c r="A55" s="7">
        <f>IF(B55&lt;&gt;"",SUBTOTAL(3,$C$4:C55))</f>
        <v>52</v>
      </c>
      <c r="B55" s="4">
        <v>52</v>
      </c>
      <c r="C55" s="5" t="s">
        <v>204</v>
      </c>
      <c r="D55" s="5" t="s">
        <v>205</v>
      </c>
      <c r="E55" s="5" t="s">
        <v>206</v>
      </c>
      <c r="F55" s="5" t="s">
        <v>207</v>
      </c>
      <c r="G55" s="8">
        <v>44358</v>
      </c>
      <c r="H55" s="7" t="str">
        <f>VLOOKUP(D55,[1]Sheet1!$H$245:$J$470,3,0)</f>
        <v xml:space="preserve">ĐL a Tĩnh </v>
      </c>
      <c r="I55" s="7"/>
    </row>
    <row r="56" spans="1:9" x14ac:dyDescent="0.3">
      <c r="A56" s="7">
        <f>IF(B56&lt;&gt;"",SUBTOTAL(3,$C$4:C56))</f>
        <v>53</v>
      </c>
      <c r="B56" s="4">
        <v>53</v>
      </c>
      <c r="C56" s="5" t="s">
        <v>208</v>
      </c>
      <c r="D56" s="5" t="s">
        <v>209</v>
      </c>
      <c r="E56" s="5" t="s">
        <v>210</v>
      </c>
      <c r="F56" s="5" t="s">
        <v>211</v>
      </c>
      <c r="G56" s="8">
        <v>44357</v>
      </c>
      <c r="H56" s="7" t="str">
        <f>VLOOKUP(D56,[1]Sheet1!$H$245:$J$470,3,0)</f>
        <v xml:space="preserve">ĐL a Tuấn Ninh Bình </v>
      </c>
      <c r="I56" s="7"/>
    </row>
    <row r="57" spans="1:9" x14ac:dyDescent="0.3">
      <c r="A57" s="7">
        <f>IF(B57&lt;&gt;"",SUBTOTAL(3,$C$4:C57))</f>
        <v>54</v>
      </c>
      <c r="B57" s="4">
        <v>54</v>
      </c>
      <c r="C57" s="5" t="s">
        <v>212</v>
      </c>
      <c r="D57" s="5" t="s">
        <v>213</v>
      </c>
      <c r="E57" s="5" t="s">
        <v>214</v>
      </c>
      <c r="F57" s="5" t="s">
        <v>215</v>
      </c>
      <c r="G57" s="7"/>
      <c r="H57" s="7"/>
      <c r="I57" s="7"/>
    </row>
    <row r="58" spans="1:9" x14ac:dyDescent="0.3">
      <c r="A58" s="7">
        <f>IF(B58&lt;&gt;"",SUBTOTAL(3,$C$4:C58))</f>
        <v>55</v>
      </c>
      <c r="B58" s="4">
        <v>55</v>
      </c>
      <c r="C58" s="5" t="s">
        <v>216</v>
      </c>
      <c r="D58" s="5" t="s">
        <v>217</v>
      </c>
      <c r="E58" s="5" t="s">
        <v>218</v>
      </c>
      <c r="F58" s="5" t="s">
        <v>219</v>
      </c>
      <c r="G58" s="7"/>
      <c r="H58" s="7"/>
      <c r="I58" s="7"/>
    </row>
    <row r="59" spans="1:9" x14ac:dyDescent="0.3">
      <c r="A59" s="7">
        <f>IF(B59&lt;&gt;"",SUBTOTAL(3,$C$4:C59))</f>
        <v>56</v>
      </c>
      <c r="B59" s="4">
        <v>56</v>
      </c>
      <c r="C59" s="5" t="s">
        <v>220</v>
      </c>
      <c r="D59" s="5" t="s">
        <v>221</v>
      </c>
      <c r="E59" s="5" t="s">
        <v>222</v>
      </c>
      <c r="F59" s="5" t="s">
        <v>223</v>
      </c>
      <c r="G59" s="8">
        <v>44358</v>
      </c>
      <c r="H59" s="7" t="str">
        <f>VLOOKUP(D59,[1]Sheet1!$H$245:$J$470,3,0)</f>
        <v xml:space="preserve">ĐL a Tĩnh </v>
      </c>
      <c r="I59" s="7"/>
    </row>
    <row r="60" spans="1:9" x14ac:dyDescent="0.3">
      <c r="A60" s="7">
        <f>IF(B60&lt;&gt;"",SUBTOTAL(3,$C$4:C60))</f>
        <v>57</v>
      </c>
      <c r="B60" s="4">
        <v>57</v>
      </c>
      <c r="C60" s="5" t="s">
        <v>224</v>
      </c>
      <c r="D60" s="5" t="s">
        <v>225</v>
      </c>
      <c r="E60" s="5" t="s">
        <v>226</v>
      </c>
      <c r="F60" s="5" t="s">
        <v>227</v>
      </c>
      <c r="G60" s="7"/>
      <c r="H60" s="7"/>
      <c r="I60" s="7"/>
    </row>
    <row r="61" spans="1:9" x14ac:dyDescent="0.3">
      <c r="A61" s="7">
        <f>IF(B61&lt;&gt;"",SUBTOTAL(3,$C$4:C61))</f>
        <v>58</v>
      </c>
      <c r="B61" s="4">
        <v>58</v>
      </c>
      <c r="C61" s="5" t="s">
        <v>228</v>
      </c>
      <c r="D61" s="5" t="s">
        <v>229</v>
      </c>
      <c r="E61" s="5" t="s">
        <v>230</v>
      </c>
      <c r="F61" s="5" t="s">
        <v>231</v>
      </c>
      <c r="G61" s="7"/>
      <c r="H61" s="7"/>
      <c r="I61" s="7"/>
    </row>
    <row r="62" spans="1:9" x14ac:dyDescent="0.3">
      <c r="A62" s="7">
        <f>IF(B62&lt;&gt;"",SUBTOTAL(3,$C$4:C62))</f>
        <v>59</v>
      </c>
      <c r="B62" s="4">
        <v>59</v>
      </c>
      <c r="C62" s="5" t="s">
        <v>232</v>
      </c>
      <c r="D62" s="5" t="s">
        <v>233</v>
      </c>
      <c r="E62" s="5" t="s">
        <v>234</v>
      </c>
      <c r="F62" s="5" t="s">
        <v>235</v>
      </c>
      <c r="G62" s="7"/>
      <c r="H62" s="7"/>
      <c r="I62" s="7"/>
    </row>
    <row r="63" spans="1:9" x14ac:dyDescent="0.3">
      <c r="A63" s="7">
        <f>IF(B63&lt;&gt;"",SUBTOTAL(3,$C$4:C63))</f>
        <v>60</v>
      </c>
      <c r="B63" s="4">
        <v>60</v>
      </c>
      <c r="C63" s="5" t="s">
        <v>236</v>
      </c>
      <c r="D63" s="5" t="s">
        <v>237</v>
      </c>
      <c r="E63" s="5" t="s">
        <v>238</v>
      </c>
      <c r="F63" s="5" t="s">
        <v>239</v>
      </c>
      <c r="G63" s="7"/>
      <c r="H63" s="7"/>
      <c r="I63" s="7"/>
    </row>
    <row r="64" spans="1:9" x14ac:dyDescent="0.3">
      <c r="A64" s="7">
        <f>IF(B64&lt;&gt;"",SUBTOTAL(3,$C$4:C64))</f>
        <v>61</v>
      </c>
      <c r="B64" s="4">
        <v>61</v>
      </c>
      <c r="C64" s="5" t="s">
        <v>240</v>
      </c>
      <c r="D64" s="5" t="s">
        <v>241</v>
      </c>
      <c r="E64" s="5" t="s">
        <v>242</v>
      </c>
      <c r="F64" s="5" t="s">
        <v>243</v>
      </c>
      <c r="G64" s="7"/>
      <c r="H64" s="7"/>
      <c r="I64" s="7"/>
    </row>
    <row r="65" spans="1:9" x14ac:dyDescent="0.3">
      <c r="A65" s="7">
        <f>IF(B65&lt;&gt;"",SUBTOTAL(3,$C$4:C65))</f>
        <v>62</v>
      </c>
      <c r="B65" s="4">
        <v>62</v>
      </c>
      <c r="C65" s="5" t="s">
        <v>244</v>
      </c>
      <c r="D65" s="5" t="s">
        <v>245</v>
      </c>
      <c r="E65" s="5" t="s">
        <v>246</v>
      </c>
      <c r="F65" s="5" t="s">
        <v>247</v>
      </c>
      <c r="G65" s="7"/>
      <c r="H65" s="7"/>
      <c r="I65" s="7"/>
    </row>
    <row r="66" spans="1:9" x14ac:dyDescent="0.3">
      <c r="A66" s="7">
        <f>IF(B66&lt;&gt;"",SUBTOTAL(3,$C$4:C66))</f>
        <v>63</v>
      </c>
      <c r="B66" s="4">
        <v>63</v>
      </c>
      <c r="C66" s="5" t="s">
        <v>248</v>
      </c>
      <c r="D66" s="5" t="s">
        <v>249</v>
      </c>
      <c r="E66" s="5" t="s">
        <v>250</v>
      </c>
      <c r="F66" s="5" t="s">
        <v>251</v>
      </c>
      <c r="G66" s="8">
        <v>44358</v>
      </c>
      <c r="H66" s="7" t="str">
        <f>VLOOKUP(D66,[1]Sheet1!$H$245:$J$470,3,0)</f>
        <v xml:space="preserve">ĐL a Tĩnh </v>
      </c>
      <c r="I66" s="7"/>
    </row>
    <row r="67" spans="1:9" x14ac:dyDescent="0.3">
      <c r="A67" s="7">
        <f>IF(B67&lt;&gt;"",SUBTOTAL(3,$C$4:C67))</f>
        <v>64</v>
      </c>
      <c r="B67" s="4">
        <v>64</v>
      </c>
      <c r="C67" s="5" t="s">
        <v>252</v>
      </c>
      <c r="D67" s="5" t="s">
        <v>253</v>
      </c>
      <c r="E67" s="5" t="s">
        <v>254</v>
      </c>
      <c r="F67" s="5" t="s">
        <v>255</v>
      </c>
      <c r="G67" s="7"/>
      <c r="H67" s="7"/>
      <c r="I67" s="7"/>
    </row>
    <row r="68" spans="1:9" x14ac:dyDescent="0.3">
      <c r="A68" s="7">
        <f>IF(B68&lt;&gt;"",SUBTOTAL(3,$C$4:C68))</f>
        <v>65</v>
      </c>
      <c r="B68" s="4">
        <v>65</v>
      </c>
      <c r="C68" s="5" t="s">
        <v>256</v>
      </c>
      <c r="D68" s="5" t="s">
        <v>257</v>
      </c>
      <c r="E68" s="5" t="s">
        <v>258</v>
      </c>
      <c r="F68" s="5" t="s">
        <v>259</v>
      </c>
      <c r="G68" s="7"/>
      <c r="H68" s="7"/>
      <c r="I68" s="7"/>
    </row>
    <row r="69" spans="1:9" x14ac:dyDescent="0.3">
      <c r="A69" s="7">
        <f>IF(B69&lt;&gt;"",SUBTOTAL(3,$C$4:C69))</f>
        <v>66</v>
      </c>
      <c r="B69" s="4">
        <v>66</v>
      </c>
      <c r="C69" s="5" t="s">
        <v>260</v>
      </c>
      <c r="D69" s="5" t="s">
        <v>261</v>
      </c>
      <c r="E69" s="5" t="s">
        <v>262</v>
      </c>
      <c r="F69" s="5" t="s">
        <v>263</v>
      </c>
      <c r="G69" s="7"/>
      <c r="H69" s="7"/>
      <c r="I69" s="7"/>
    </row>
    <row r="70" spans="1:9" x14ac:dyDescent="0.3">
      <c r="A70" s="7">
        <f>IF(B70&lt;&gt;"",SUBTOTAL(3,$C$4:C70))</f>
        <v>67</v>
      </c>
      <c r="B70" s="4">
        <v>67</v>
      </c>
      <c r="C70" s="5" t="s">
        <v>264</v>
      </c>
      <c r="D70" s="5" t="s">
        <v>265</v>
      </c>
      <c r="E70" s="5" t="s">
        <v>266</v>
      </c>
      <c r="F70" s="5" t="s">
        <v>267</v>
      </c>
      <c r="G70" s="7"/>
      <c r="H70" s="7"/>
      <c r="I70" s="7"/>
    </row>
    <row r="71" spans="1:9" x14ac:dyDescent="0.3">
      <c r="A71" s="7">
        <f>IF(B71&lt;&gt;"",SUBTOTAL(3,$C$4:C71))</f>
        <v>68</v>
      </c>
      <c r="B71" s="4">
        <v>68</v>
      </c>
      <c r="C71" s="5" t="s">
        <v>268</v>
      </c>
      <c r="D71" s="5" t="s">
        <v>269</v>
      </c>
      <c r="E71" s="5" t="s">
        <v>270</v>
      </c>
      <c r="F71" s="5" t="s">
        <v>271</v>
      </c>
      <c r="G71" s="7"/>
      <c r="H71" s="7"/>
      <c r="I71" s="7"/>
    </row>
    <row r="72" spans="1:9" x14ac:dyDescent="0.3">
      <c r="A72" s="7">
        <f>IF(B72&lt;&gt;"",SUBTOTAL(3,$C$4:C72))</f>
        <v>69</v>
      </c>
      <c r="B72" s="4">
        <v>69</v>
      </c>
      <c r="C72" s="5" t="s">
        <v>272</v>
      </c>
      <c r="D72" s="5" t="s">
        <v>273</v>
      </c>
      <c r="E72" s="5" t="s">
        <v>274</v>
      </c>
      <c r="F72" s="5" t="s">
        <v>275</v>
      </c>
      <c r="G72" s="7"/>
      <c r="H72" s="7"/>
      <c r="I72" s="7"/>
    </row>
    <row r="73" spans="1:9" x14ac:dyDescent="0.3">
      <c r="A73" s="7">
        <f>IF(B73&lt;&gt;"",SUBTOTAL(3,$C$4:C73))</f>
        <v>70</v>
      </c>
      <c r="B73" s="4">
        <v>70</v>
      </c>
      <c r="C73" s="5" t="s">
        <v>276</v>
      </c>
      <c r="D73" s="5" t="s">
        <v>277</v>
      </c>
      <c r="E73" s="5" t="s">
        <v>278</v>
      </c>
      <c r="F73" s="5" t="s">
        <v>279</v>
      </c>
      <c r="G73" s="7"/>
      <c r="H73" s="7"/>
      <c r="I73" s="7"/>
    </row>
    <row r="74" spans="1:9" x14ac:dyDescent="0.3">
      <c r="A74" s="7">
        <f>IF(B74&lt;&gt;"",SUBTOTAL(3,$C$4:C74))</f>
        <v>71</v>
      </c>
      <c r="B74" s="4">
        <v>71</v>
      </c>
      <c r="C74" s="5" t="s">
        <v>280</v>
      </c>
      <c r="D74" s="5" t="s">
        <v>281</v>
      </c>
      <c r="E74" s="5" t="s">
        <v>282</v>
      </c>
      <c r="F74" s="5" t="s">
        <v>283</v>
      </c>
      <c r="G74" s="7"/>
      <c r="H74" s="7"/>
      <c r="I74" s="7"/>
    </row>
    <row r="75" spans="1:9" x14ac:dyDescent="0.3">
      <c r="A75" s="7">
        <f>IF(B75&lt;&gt;"",SUBTOTAL(3,$C$4:C75))</f>
        <v>72</v>
      </c>
      <c r="B75" s="4">
        <v>72</v>
      </c>
      <c r="C75" s="5" t="s">
        <v>284</v>
      </c>
      <c r="D75" s="5" t="s">
        <v>285</v>
      </c>
      <c r="E75" s="5" t="s">
        <v>286</v>
      </c>
      <c r="F75" s="5" t="s">
        <v>287</v>
      </c>
      <c r="G75" s="7"/>
      <c r="H75" s="7"/>
      <c r="I75" s="7"/>
    </row>
    <row r="76" spans="1:9" x14ac:dyDescent="0.3">
      <c r="A76" s="7">
        <f>IF(B76&lt;&gt;"",SUBTOTAL(3,$C$4:C76))</f>
        <v>73</v>
      </c>
      <c r="B76" s="4">
        <v>73</v>
      </c>
      <c r="C76" s="5" t="s">
        <v>288</v>
      </c>
      <c r="D76" s="5" t="s">
        <v>289</v>
      </c>
      <c r="E76" s="5" t="s">
        <v>290</v>
      </c>
      <c r="F76" s="5" t="s">
        <v>291</v>
      </c>
      <c r="G76" s="7"/>
      <c r="H76" s="7"/>
      <c r="I76" s="7"/>
    </row>
    <row r="77" spans="1:9" x14ac:dyDescent="0.3">
      <c r="A77" s="7">
        <f>IF(B77&lt;&gt;"",SUBTOTAL(3,$C$4:C77))</f>
        <v>74</v>
      </c>
      <c r="B77" s="4">
        <v>74</v>
      </c>
      <c r="C77" s="5" t="s">
        <v>292</v>
      </c>
      <c r="D77" s="5" t="s">
        <v>293</v>
      </c>
      <c r="E77" s="5" t="s">
        <v>294</v>
      </c>
      <c r="F77" s="5" t="s">
        <v>295</v>
      </c>
      <c r="G77" s="7"/>
      <c r="H77" s="7"/>
      <c r="I77" s="7"/>
    </row>
    <row r="78" spans="1:9" x14ac:dyDescent="0.3">
      <c r="A78" s="7">
        <f>IF(B78&lt;&gt;"",SUBTOTAL(3,$C$4:C78))</f>
        <v>75</v>
      </c>
      <c r="B78" s="4">
        <v>75</v>
      </c>
      <c r="C78" s="5" t="s">
        <v>296</v>
      </c>
      <c r="D78" s="5" t="s">
        <v>297</v>
      </c>
      <c r="E78" s="5" t="s">
        <v>298</v>
      </c>
      <c r="F78" s="5" t="s">
        <v>299</v>
      </c>
      <c r="G78" s="7"/>
      <c r="H78" s="7"/>
      <c r="I78" s="7"/>
    </row>
    <row r="79" spans="1:9" x14ac:dyDescent="0.3">
      <c r="A79" s="7">
        <f>IF(B79&lt;&gt;"",SUBTOTAL(3,$C$4:C79))</f>
        <v>76</v>
      </c>
      <c r="B79" s="4">
        <v>76</v>
      </c>
      <c r="C79" s="5" t="s">
        <v>300</v>
      </c>
      <c r="D79" s="5" t="s">
        <v>301</v>
      </c>
      <c r="E79" s="5" t="s">
        <v>302</v>
      </c>
      <c r="F79" s="5" t="s">
        <v>303</v>
      </c>
      <c r="G79" s="7"/>
      <c r="H79" s="7"/>
      <c r="I79" s="7"/>
    </row>
    <row r="80" spans="1:9" x14ac:dyDescent="0.3">
      <c r="A80" s="7">
        <f>IF(B80&lt;&gt;"",SUBTOTAL(3,$C$4:C80))</f>
        <v>77</v>
      </c>
      <c r="B80" s="4">
        <v>77</v>
      </c>
      <c r="C80" s="5" t="s">
        <v>304</v>
      </c>
      <c r="D80" s="5" t="s">
        <v>305</v>
      </c>
      <c r="E80" s="5" t="s">
        <v>306</v>
      </c>
      <c r="F80" s="5" t="s">
        <v>307</v>
      </c>
      <c r="G80" s="8">
        <v>44358</v>
      </c>
      <c r="H80" s="7" t="str">
        <f>VLOOKUP(D80,[1]Sheet1!$H$245:$J$470,3,0)</f>
        <v xml:space="preserve">ĐL a Tĩnh </v>
      </c>
      <c r="I80" s="7"/>
    </row>
    <row r="81" spans="1:9" x14ac:dyDescent="0.3">
      <c r="A81" s="7">
        <f>IF(B81&lt;&gt;"",SUBTOTAL(3,$C$4:C81))</f>
        <v>78</v>
      </c>
      <c r="B81" s="4">
        <v>78</v>
      </c>
      <c r="C81" s="5" t="s">
        <v>308</v>
      </c>
      <c r="D81" s="5" t="s">
        <v>309</v>
      </c>
      <c r="E81" s="5" t="s">
        <v>310</v>
      </c>
      <c r="F81" s="5" t="s">
        <v>311</v>
      </c>
      <c r="G81" s="7"/>
      <c r="H81" s="7"/>
      <c r="I81" s="7"/>
    </row>
    <row r="82" spans="1:9" x14ac:dyDescent="0.3">
      <c r="A82" s="7">
        <f>IF(B82&lt;&gt;"",SUBTOTAL(3,$C$4:C82))</f>
        <v>79</v>
      </c>
      <c r="B82" s="4">
        <v>79</v>
      </c>
      <c r="C82" s="5" t="s">
        <v>312</v>
      </c>
      <c r="D82" s="5" t="s">
        <v>313</v>
      </c>
      <c r="E82" s="5" t="s">
        <v>314</v>
      </c>
      <c r="F82" s="5" t="s">
        <v>315</v>
      </c>
      <c r="G82" s="7"/>
      <c r="H82" s="7"/>
      <c r="I82" s="7"/>
    </row>
    <row r="83" spans="1:9" x14ac:dyDescent="0.3">
      <c r="A83" s="7">
        <f>IF(B83&lt;&gt;"",SUBTOTAL(3,$C$4:C83))</f>
        <v>80</v>
      </c>
      <c r="B83" s="4">
        <v>80</v>
      </c>
      <c r="C83" s="5" t="s">
        <v>316</v>
      </c>
      <c r="D83" s="5" t="s">
        <v>317</v>
      </c>
      <c r="E83" s="5" t="s">
        <v>318</v>
      </c>
      <c r="F83" s="5" t="s">
        <v>319</v>
      </c>
      <c r="G83" s="8">
        <v>44358</v>
      </c>
      <c r="H83" s="7" t="str">
        <f>VLOOKUP(D83,[1]Sheet1!$H$245:$J$470,3,0)</f>
        <v xml:space="preserve">ĐL a Tĩnh </v>
      </c>
      <c r="I83" s="7"/>
    </row>
    <row r="84" spans="1:9" x14ac:dyDescent="0.3">
      <c r="A84" s="7">
        <f>IF(B84&lt;&gt;"",SUBTOTAL(3,$C$4:C84))</f>
        <v>81</v>
      </c>
      <c r="B84" s="4">
        <v>81</v>
      </c>
      <c r="C84" s="5" t="s">
        <v>320</v>
      </c>
      <c r="D84" s="5" t="s">
        <v>321</v>
      </c>
      <c r="E84" s="5" t="s">
        <v>322</v>
      </c>
      <c r="F84" s="5" t="s">
        <v>323</v>
      </c>
      <c r="G84" s="7"/>
      <c r="H84" s="7"/>
      <c r="I84" s="7"/>
    </row>
    <row r="85" spans="1:9" x14ac:dyDescent="0.3">
      <c r="A85" s="7">
        <f>IF(B85&lt;&gt;"",SUBTOTAL(3,$C$4:C85))</f>
        <v>82</v>
      </c>
      <c r="B85" s="4">
        <v>82</v>
      </c>
      <c r="C85" s="5" t="s">
        <v>324</v>
      </c>
      <c r="D85" s="5" t="s">
        <v>325</v>
      </c>
      <c r="E85" s="5" t="s">
        <v>326</v>
      </c>
      <c r="F85" s="5" t="s">
        <v>327</v>
      </c>
      <c r="G85" s="8">
        <v>44358</v>
      </c>
      <c r="H85" s="7" t="str">
        <f>VLOOKUP(D85,[1]Sheet1!$H$245:$J$470,3,0)</f>
        <v xml:space="preserve">ĐL a Tĩnh </v>
      </c>
      <c r="I85" s="7"/>
    </row>
    <row r="86" spans="1:9" x14ac:dyDescent="0.3">
      <c r="A86" s="7">
        <f>IF(B86&lt;&gt;"",SUBTOTAL(3,$C$4:C86))</f>
        <v>83</v>
      </c>
      <c r="B86" s="4">
        <v>83</v>
      </c>
      <c r="C86" s="5" t="s">
        <v>328</v>
      </c>
      <c r="D86" s="5" t="s">
        <v>329</v>
      </c>
      <c r="E86" s="5" t="s">
        <v>330</v>
      </c>
      <c r="F86" s="5" t="s">
        <v>331</v>
      </c>
      <c r="G86" s="7"/>
      <c r="H86" s="7"/>
      <c r="I86" s="7"/>
    </row>
    <row r="87" spans="1:9" x14ac:dyDescent="0.3">
      <c r="A87" s="7">
        <f>IF(B87&lt;&gt;"",SUBTOTAL(3,$C$4:C87))</f>
        <v>84</v>
      </c>
      <c r="B87" s="4">
        <v>84</v>
      </c>
      <c r="C87" s="5" t="s">
        <v>332</v>
      </c>
      <c r="D87" s="5" t="s">
        <v>333</v>
      </c>
      <c r="E87" s="5" t="s">
        <v>334</v>
      </c>
      <c r="F87" s="5" t="s">
        <v>335</v>
      </c>
      <c r="G87" s="7"/>
      <c r="H87" s="7"/>
      <c r="I87" s="7"/>
    </row>
    <row r="88" spans="1:9" x14ac:dyDescent="0.3">
      <c r="A88" s="7">
        <f>IF(B88&lt;&gt;"",SUBTOTAL(3,$C$4:C88))</f>
        <v>85</v>
      </c>
      <c r="B88" s="4">
        <v>85</v>
      </c>
      <c r="C88" s="5" t="s">
        <v>336</v>
      </c>
      <c r="D88" s="5" t="s">
        <v>337</v>
      </c>
      <c r="E88" s="5" t="s">
        <v>338</v>
      </c>
      <c r="F88" s="5" t="s">
        <v>339</v>
      </c>
      <c r="G88" s="8">
        <v>44357</v>
      </c>
      <c r="H88" s="7" t="str">
        <f>VLOOKUP(D88,[1]Sheet1!$H$245:$J$470,3,0)</f>
        <v xml:space="preserve">ĐL a Tuấn Ninh Bình </v>
      </c>
      <c r="I88" s="7"/>
    </row>
    <row r="89" spans="1:9" x14ac:dyDescent="0.3">
      <c r="A89" s="7">
        <f>IF(B89&lt;&gt;"",SUBTOTAL(3,$C$4:C89))</f>
        <v>86</v>
      </c>
      <c r="B89" s="4">
        <v>86</v>
      </c>
      <c r="C89" s="5" t="s">
        <v>340</v>
      </c>
      <c r="D89" s="5" t="s">
        <v>341</v>
      </c>
      <c r="E89" s="5" t="s">
        <v>342</v>
      </c>
      <c r="F89" s="5" t="s">
        <v>343</v>
      </c>
      <c r="G89" s="7"/>
      <c r="H89" s="7"/>
      <c r="I89" s="7"/>
    </row>
    <row r="90" spans="1:9" x14ac:dyDescent="0.3">
      <c r="A90" s="7">
        <f>IF(B90&lt;&gt;"",SUBTOTAL(3,$C$4:C90))</f>
        <v>87</v>
      </c>
      <c r="B90" s="4">
        <v>87</v>
      </c>
      <c r="C90" s="5" t="s">
        <v>344</v>
      </c>
      <c r="D90" s="5" t="s">
        <v>345</v>
      </c>
      <c r="E90" s="5" t="s">
        <v>346</v>
      </c>
      <c r="F90" s="5" t="s">
        <v>347</v>
      </c>
      <c r="G90" s="7"/>
      <c r="H90" s="7"/>
      <c r="I90" s="7"/>
    </row>
    <row r="91" spans="1:9" x14ac:dyDescent="0.3">
      <c r="A91" s="7">
        <f>IF(B91&lt;&gt;"",SUBTOTAL(3,$C$4:C91))</f>
        <v>88</v>
      </c>
      <c r="B91" s="4">
        <v>88</v>
      </c>
      <c r="C91" s="5" t="s">
        <v>348</v>
      </c>
      <c r="D91" s="5" t="s">
        <v>349</v>
      </c>
      <c r="E91" s="5" t="s">
        <v>350</v>
      </c>
      <c r="F91" s="5" t="s">
        <v>351</v>
      </c>
      <c r="G91" s="7"/>
      <c r="H91" s="7"/>
      <c r="I91" s="7"/>
    </row>
    <row r="92" spans="1:9" x14ac:dyDescent="0.3">
      <c r="A92" s="7">
        <f>IF(B92&lt;&gt;"",SUBTOTAL(3,$C$4:C92))</f>
        <v>89</v>
      </c>
      <c r="B92" s="4">
        <v>89</v>
      </c>
      <c r="C92" s="5" t="s">
        <v>352</v>
      </c>
      <c r="D92" s="5" t="s">
        <v>353</v>
      </c>
      <c r="E92" s="5" t="s">
        <v>354</v>
      </c>
      <c r="F92" s="5" t="s">
        <v>355</v>
      </c>
      <c r="G92" s="7"/>
      <c r="H92" s="7"/>
      <c r="I92" s="7"/>
    </row>
    <row r="93" spans="1:9" x14ac:dyDescent="0.3">
      <c r="A93" s="7">
        <f>IF(B93&lt;&gt;"",SUBTOTAL(3,$C$4:C93))</f>
        <v>90</v>
      </c>
      <c r="B93" s="4">
        <v>90</v>
      </c>
      <c r="C93" s="5" t="s">
        <v>356</v>
      </c>
      <c r="D93" s="5" t="s">
        <v>357</v>
      </c>
      <c r="E93" s="5" t="s">
        <v>358</v>
      </c>
      <c r="F93" s="5" t="s">
        <v>359</v>
      </c>
      <c r="G93" s="7"/>
      <c r="H93" s="7"/>
      <c r="I93" s="7"/>
    </row>
    <row r="94" spans="1:9" x14ac:dyDescent="0.3">
      <c r="A94" s="7">
        <f>IF(B94&lt;&gt;"",SUBTOTAL(3,$C$4:C94))</f>
        <v>91</v>
      </c>
      <c r="B94" s="4">
        <v>91</v>
      </c>
      <c r="C94" s="5" t="s">
        <v>360</v>
      </c>
      <c r="D94" s="5" t="s">
        <v>361</v>
      </c>
      <c r="E94" s="5" t="s">
        <v>362</v>
      </c>
      <c r="F94" s="5" t="s">
        <v>363</v>
      </c>
      <c r="G94" s="7"/>
      <c r="H94" s="7"/>
      <c r="I94" s="7"/>
    </row>
    <row r="95" spans="1:9" x14ac:dyDescent="0.3">
      <c r="A95" s="7">
        <f>IF(B95&lt;&gt;"",SUBTOTAL(3,$C$4:C95))</f>
        <v>92</v>
      </c>
      <c r="B95" s="4">
        <v>92</v>
      </c>
      <c r="C95" s="5" t="s">
        <v>364</v>
      </c>
      <c r="D95" s="5" t="s">
        <v>365</v>
      </c>
      <c r="E95" s="5" t="s">
        <v>366</v>
      </c>
      <c r="F95" s="5" t="s">
        <v>367</v>
      </c>
      <c r="G95" s="8">
        <v>44358</v>
      </c>
      <c r="H95" s="7" t="str">
        <f>VLOOKUP(D95,[1]Sheet1!$H$245:$J$470,3,0)</f>
        <v xml:space="preserve">ĐL a Tĩnh </v>
      </c>
      <c r="I95" s="7"/>
    </row>
    <row r="96" spans="1:9" x14ac:dyDescent="0.3">
      <c r="A96" s="7">
        <f>IF(B96&lt;&gt;"",SUBTOTAL(3,$C$4:C96))</f>
        <v>93</v>
      </c>
      <c r="B96" s="4">
        <v>93</v>
      </c>
      <c r="C96" s="5" t="s">
        <v>368</v>
      </c>
      <c r="D96" s="5" t="s">
        <v>369</v>
      </c>
      <c r="E96" s="5" t="s">
        <v>370</v>
      </c>
      <c r="F96" s="5" t="s">
        <v>371</v>
      </c>
      <c r="G96" s="7"/>
      <c r="H96" s="7"/>
      <c r="I96" s="7"/>
    </row>
    <row r="97" spans="1:9" x14ac:dyDescent="0.3">
      <c r="A97" s="7">
        <f>IF(B97&lt;&gt;"",SUBTOTAL(3,$C$4:C97))</f>
        <v>94</v>
      </c>
      <c r="B97" s="4">
        <v>94</v>
      </c>
      <c r="C97" s="5" t="s">
        <v>372</v>
      </c>
      <c r="D97" s="5" t="s">
        <v>373</v>
      </c>
      <c r="E97" s="5" t="s">
        <v>374</v>
      </c>
      <c r="F97" s="5" t="s">
        <v>375</v>
      </c>
      <c r="G97" s="11">
        <v>44358</v>
      </c>
      <c r="H97" s="7" t="s">
        <v>1209</v>
      </c>
      <c r="I97" s="7"/>
    </row>
    <row r="98" spans="1:9" x14ac:dyDescent="0.3">
      <c r="A98" s="7">
        <f>IF(B98&lt;&gt;"",SUBTOTAL(3,$C$4:C98))</f>
        <v>95</v>
      </c>
      <c r="B98" s="4">
        <v>95</v>
      </c>
      <c r="C98" s="5" t="s">
        <v>376</v>
      </c>
      <c r="D98" s="5" t="s">
        <v>377</v>
      </c>
      <c r="E98" s="5" t="s">
        <v>378</v>
      </c>
      <c r="F98" s="5" t="s">
        <v>379</v>
      </c>
      <c r="G98" s="7"/>
      <c r="H98" s="7"/>
      <c r="I98" s="7"/>
    </row>
    <row r="99" spans="1:9" x14ac:dyDescent="0.3">
      <c r="A99" s="7">
        <f>IF(B99&lt;&gt;"",SUBTOTAL(3,$C$4:C99))</f>
        <v>96</v>
      </c>
      <c r="B99" s="4">
        <v>96</v>
      </c>
      <c r="C99" s="5" t="s">
        <v>380</v>
      </c>
      <c r="D99" s="5" t="s">
        <v>381</v>
      </c>
      <c r="E99" s="5" t="s">
        <v>382</v>
      </c>
      <c r="F99" s="5" t="s">
        <v>383</v>
      </c>
      <c r="G99" s="7"/>
      <c r="H99" s="7"/>
      <c r="I99" s="7"/>
    </row>
    <row r="100" spans="1:9" x14ac:dyDescent="0.3">
      <c r="A100" s="7">
        <f>IF(B100&lt;&gt;"",SUBTOTAL(3,$C$4:C100))</f>
        <v>97</v>
      </c>
      <c r="B100" s="4">
        <v>97</v>
      </c>
      <c r="C100" s="5" t="s">
        <v>384</v>
      </c>
      <c r="D100" s="5" t="s">
        <v>385</v>
      </c>
      <c r="E100" s="5" t="s">
        <v>386</v>
      </c>
      <c r="F100" s="5" t="s">
        <v>387</v>
      </c>
      <c r="G100" s="7"/>
      <c r="H100" s="7"/>
      <c r="I100" s="7"/>
    </row>
    <row r="101" spans="1:9" x14ac:dyDescent="0.3">
      <c r="A101" s="7">
        <f>IF(B101&lt;&gt;"",SUBTOTAL(3,$C$4:C101))</f>
        <v>98</v>
      </c>
      <c r="B101" s="4">
        <v>98</v>
      </c>
      <c r="C101" s="5" t="s">
        <v>388</v>
      </c>
      <c r="D101" s="5" t="s">
        <v>389</v>
      </c>
      <c r="E101" s="5" t="s">
        <v>390</v>
      </c>
      <c r="F101" s="5" t="s">
        <v>391</v>
      </c>
      <c r="G101" s="7"/>
      <c r="H101" s="7"/>
      <c r="I101" s="7"/>
    </row>
    <row r="102" spans="1:9" x14ac:dyDescent="0.3">
      <c r="A102" s="7">
        <f>IF(B102&lt;&gt;"",SUBTOTAL(3,$C$4:C102))</f>
        <v>99</v>
      </c>
      <c r="B102" s="4">
        <v>99</v>
      </c>
      <c r="C102" s="5" t="s">
        <v>392</v>
      </c>
      <c r="D102" s="5" t="s">
        <v>393</v>
      </c>
      <c r="E102" s="5" t="s">
        <v>394</v>
      </c>
      <c r="F102" s="5" t="s">
        <v>395</v>
      </c>
      <c r="G102" s="8">
        <v>44357</v>
      </c>
      <c r="H102" s="7" t="str">
        <f>VLOOKUP(D102,[1]Sheet1!$H$245:$J$470,3,0)</f>
        <v xml:space="preserve">ĐL a Tuấn Ninh Bình </v>
      </c>
      <c r="I102" s="7"/>
    </row>
    <row r="103" spans="1:9" x14ac:dyDescent="0.3">
      <c r="A103" s="7">
        <f>IF(B103&lt;&gt;"",SUBTOTAL(3,$C$4:C103))</f>
        <v>100</v>
      </c>
      <c r="B103" s="4">
        <v>100</v>
      </c>
      <c r="C103" s="5" t="s">
        <v>396</v>
      </c>
      <c r="D103" s="5" t="s">
        <v>397</v>
      </c>
      <c r="E103" s="5" t="s">
        <v>398</v>
      </c>
      <c r="F103" s="5" t="s">
        <v>399</v>
      </c>
      <c r="G103" s="7"/>
      <c r="H103" s="7"/>
      <c r="I103" s="7"/>
    </row>
    <row r="104" spans="1:9" x14ac:dyDescent="0.3">
      <c r="A104" s="7">
        <f>IF(B104&lt;&gt;"",SUBTOTAL(3,$C$4:C104))</f>
        <v>101</v>
      </c>
      <c r="B104" s="4">
        <v>101</v>
      </c>
      <c r="C104" s="5" t="s">
        <v>400</v>
      </c>
      <c r="D104" s="5" t="s">
        <v>401</v>
      </c>
      <c r="E104" s="5" t="s">
        <v>402</v>
      </c>
      <c r="F104" s="5" t="s">
        <v>403</v>
      </c>
      <c r="G104" s="7"/>
      <c r="H104" s="7"/>
      <c r="I104" s="7"/>
    </row>
    <row r="105" spans="1:9" x14ac:dyDescent="0.3">
      <c r="A105" s="7">
        <f>IF(B105&lt;&gt;"",SUBTOTAL(3,$C$4:C105))</f>
        <v>102</v>
      </c>
      <c r="B105" s="4">
        <v>102</v>
      </c>
      <c r="C105" s="5" t="s">
        <v>404</v>
      </c>
      <c r="D105" s="5" t="s">
        <v>405</v>
      </c>
      <c r="E105" s="5" t="s">
        <v>406</v>
      </c>
      <c r="F105" s="5" t="s">
        <v>407</v>
      </c>
      <c r="G105" s="8">
        <v>44368</v>
      </c>
      <c r="H105" s="7" t="s">
        <v>1212</v>
      </c>
      <c r="I105" s="7"/>
    </row>
    <row r="106" spans="1:9" x14ac:dyDescent="0.3">
      <c r="A106" s="7">
        <f>IF(B106&lt;&gt;"",SUBTOTAL(3,$C$4:C106))</f>
        <v>103</v>
      </c>
      <c r="B106" s="4">
        <v>103</v>
      </c>
      <c r="C106" s="5" t="s">
        <v>408</v>
      </c>
      <c r="D106" s="5" t="s">
        <v>409</v>
      </c>
      <c r="E106" s="5" t="s">
        <v>410</v>
      </c>
      <c r="F106" s="5" t="s">
        <v>411</v>
      </c>
      <c r="G106" s="7"/>
      <c r="H106" s="7"/>
      <c r="I106" s="7"/>
    </row>
    <row r="107" spans="1:9" x14ac:dyDescent="0.3">
      <c r="A107" s="7">
        <f>IF(B107&lt;&gt;"",SUBTOTAL(3,$C$4:C107))</f>
        <v>104</v>
      </c>
      <c r="B107" s="4">
        <v>104</v>
      </c>
      <c r="C107" s="5" t="s">
        <v>412</v>
      </c>
      <c r="D107" s="5" t="s">
        <v>413</v>
      </c>
      <c r="E107" s="5" t="s">
        <v>414</v>
      </c>
      <c r="F107" s="5" t="s">
        <v>415</v>
      </c>
      <c r="G107" s="7"/>
      <c r="H107" s="7"/>
      <c r="I107" s="7"/>
    </row>
    <row r="108" spans="1:9" x14ac:dyDescent="0.3">
      <c r="A108" s="7">
        <f>IF(B108&lt;&gt;"",SUBTOTAL(3,$C$4:C108))</f>
        <v>105</v>
      </c>
      <c r="B108" s="4">
        <v>105</v>
      </c>
      <c r="C108" s="5" t="s">
        <v>416</v>
      </c>
      <c r="D108" s="5" t="s">
        <v>417</v>
      </c>
      <c r="E108" s="5" t="s">
        <v>418</v>
      </c>
      <c r="F108" s="5" t="s">
        <v>419</v>
      </c>
      <c r="G108" s="7"/>
      <c r="H108" s="7"/>
      <c r="I108" s="7"/>
    </row>
    <row r="109" spans="1:9" x14ac:dyDescent="0.3">
      <c r="A109" s="7">
        <f>IF(B109&lt;&gt;"",SUBTOTAL(3,$C$4:C109))</f>
        <v>106</v>
      </c>
      <c r="B109" s="4">
        <v>106</v>
      </c>
      <c r="C109" s="5" t="s">
        <v>420</v>
      </c>
      <c r="D109" s="5" t="s">
        <v>421</v>
      </c>
      <c r="E109" s="5" t="s">
        <v>422</v>
      </c>
      <c r="F109" s="5" t="s">
        <v>423</v>
      </c>
      <c r="G109" s="7"/>
      <c r="H109" s="7"/>
      <c r="I109" s="7"/>
    </row>
    <row r="110" spans="1:9" x14ac:dyDescent="0.3">
      <c r="A110" s="7">
        <f>IF(B110&lt;&gt;"",SUBTOTAL(3,$C$4:C110))</f>
        <v>107</v>
      </c>
      <c r="B110" s="4">
        <v>107</v>
      </c>
      <c r="C110" s="5" t="s">
        <v>424</v>
      </c>
      <c r="D110" s="5" t="s">
        <v>425</v>
      </c>
      <c r="E110" s="5" t="s">
        <v>426</v>
      </c>
      <c r="F110" s="5" t="s">
        <v>427</v>
      </c>
      <c r="G110" s="7"/>
      <c r="H110" s="7"/>
      <c r="I110" s="7"/>
    </row>
    <row r="111" spans="1:9" x14ac:dyDescent="0.3">
      <c r="A111" s="7">
        <f>IF(B111&lt;&gt;"",SUBTOTAL(3,$C$4:C111))</f>
        <v>108</v>
      </c>
      <c r="B111" s="4">
        <v>108</v>
      </c>
      <c r="C111" s="5" t="s">
        <v>428</v>
      </c>
      <c r="D111" s="5" t="s">
        <v>429</v>
      </c>
      <c r="E111" s="5" t="s">
        <v>430</v>
      </c>
      <c r="F111" s="5" t="s">
        <v>431</v>
      </c>
      <c r="G111" s="7"/>
      <c r="H111" s="7"/>
      <c r="I111" s="7"/>
    </row>
    <row r="112" spans="1:9" x14ac:dyDescent="0.3">
      <c r="A112" s="7">
        <f>IF(B112&lt;&gt;"",SUBTOTAL(3,$C$4:C112))</f>
        <v>109</v>
      </c>
      <c r="B112" s="4">
        <v>109</v>
      </c>
      <c r="C112" s="5" t="s">
        <v>432</v>
      </c>
      <c r="D112" s="5" t="s">
        <v>433</v>
      </c>
      <c r="E112" s="5" t="s">
        <v>434</v>
      </c>
      <c r="F112" s="5" t="s">
        <v>435</v>
      </c>
      <c r="G112" s="7"/>
      <c r="H112" s="7"/>
      <c r="I112" s="7"/>
    </row>
    <row r="113" spans="1:9" x14ac:dyDescent="0.3">
      <c r="A113" s="7">
        <f>IF(B113&lt;&gt;"",SUBTOTAL(3,$C$4:C113))</f>
        <v>110</v>
      </c>
      <c r="B113" s="4">
        <v>110</v>
      </c>
      <c r="C113" s="5" t="s">
        <v>436</v>
      </c>
      <c r="D113" s="5" t="s">
        <v>437</v>
      </c>
      <c r="E113" s="5" t="s">
        <v>438</v>
      </c>
      <c r="F113" s="5" t="s">
        <v>439</v>
      </c>
      <c r="G113" s="7"/>
      <c r="H113" s="7"/>
      <c r="I113" s="7"/>
    </row>
    <row r="114" spans="1:9" x14ac:dyDescent="0.3">
      <c r="A114" s="7">
        <f>IF(B114&lt;&gt;"",SUBTOTAL(3,$C$4:C114))</f>
        <v>111</v>
      </c>
      <c r="B114" s="4">
        <v>111</v>
      </c>
      <c r="C114" s="5" t="s">
        <v>440</v>
      </c>
      <c r="D114" s="5" t="s">
        <v>441</v>
      </c>
      <c r="E114" s="5" t="s">
        <v>442</v>
      </c>
      <c r="F114" s="5" t="s">
        <v>443</v>
      </c>
      <c r="G114" s="8">
        <v>44358</v>
      </c>
      <c r="H114" s="7" t="str">
        <f>VLOOKUP(D114,[1]Sheet1!$H$245:$J$470,3,0)</f>
        <v xml:space="preserve">ĐL a Tĩnh </v>
      </c>
      <c r="I114" s="7"/>
    </row>
    <row r="115" spans="1:9" x14ac:dyDescent="0.3">
      <c r="A115" s="7">
        <f>IF(B115&lt;&gt;"",SUBTOTAL(3,$C$4:C115))</f>
        <v>112</v>
      </c>
      <c r="B115" s="4">
        <v>112</v>
      </c>
      <c r="C115" s="5" t="s">
        <v>444</v>
      </c>
      <c r="D115" s="5" t="s">
        <v>445</v>
      </c>
      <c r="E115" s="5" t="s">
        <v>446</v>
      </c>
      <c r="F115" s="5" t="s">
        <v>447</v>
      </c>
      <c r="G115" s="7"/>
      <c r="H115" s="7"/>
      <c r="I115" s="7"/>
    </row>
    <row r="116" spans="1:9" x14ac:dyDescent="0.3">
      <c r="A116" s="7">
        <f>IF(B116&lt;&gt;"",SUBTOTAL(3,$C$4:C116))</f>
        <v>113</v>
      </c>
      <c r="B116" s="4">
        <v>113</v>
      </c>
      <c r="C116" s="5" t="s">
        <v>448</v>
      </c>
      <c r="D116" s="5" t="s">
        <v>449</v>
      </c>
      <c r="E116" s="5" t="s">
        <v>450</v>
      </c>
      <c r="F116" s="5" t="s">
        <v>451</v>
      </c>
      <c r="G116" s="7"/>
      <c r="H116" s="7"/>
      <c r="I116" s="7"/>
    </row>
    <row r="117" spans="1:9" x14ac:dyDescent="0.3">
      <c r="A117" s="7">
        <f>IF(B117&lt;&gt;"",SUBTOTAL(3,$C$4:C117))</f>
        <v>114</v>
      </c>
      <c r="B117" s="4">
        <v>114</v>
      </c>
      <c r="C117" s="5" t="s">
        <v>452</v>
      </c>
      <c r="D117" s="5" t="s">
        <v>453</v>
      </c>
      <c r="E117" s="5" t="s">
        <v>454</v>
      </c>
      <c r="F117" s="5" t="s">
        <v>455</v>
      </c>
      <c r="G117" s="7"/>
      <c r="H117" s="7"/>
      <c r="I117" s="7"/>
    </row>
    <row r="118" spans="1:9" x14ac:dyDescent="0.3">
      <c r="A118" s="7">
        <f>IF(B118&lt;&gt;"",SUBTOTAL(3,$C$4:C118))</f>
        <v>115</v>
      </c>
      <c r="B118" s="4">
        <v>115</v>
      </c>
      <c r="C118" s="5" t="s">
        <v>456</v>
      </c>
      <c r="D118" s="5" t="s">
        <v>457</v>
      </c>
      <c r="E118" s="5" t="s">
        <v>458</v>
      </c>
      <c r="F118" s="5" t="s">
        <v>459</v>
      </c>
      <c r="G118" s="7"/>
      <c r="H118" s="7"/>
      <c r="I118" s="7"/>
    </row>
    <row r="119" spans="1:9" x14ac:dyDescent="0.3">
      <c r="A119" s="7">
        <f>IF(B119&lt;&gt;"",SUBTOTAL(3,$C$4:C119))</f>
        <v>116</v>
      </c>
      <c r="B119" s="4">
        <v>116</v>
      </c>
      <c r="C119" s="5" t="s">
        <v>460</v>
      </c>
      <c r="D119" s="5" t="s">
        <v>461</v>
      </c>
      <c r="E119" s="5" t="s">
        <v>462</v>
      </c>
      <c r="F119" s="5" t="s">
        <v>463</v>
      </c>
      <c r="G119" s="7"/>
      <c r="H119" s="7"/>
      <c r="I119" s="7"/>
    </row>
    <row r="120" spans="1:9" x14ac:dyDescent="0.3">
      <c r="A120" s="7">
        <f>IF(B120&lt;&gt;"",SUBTOTAL(3,$C$4:C120))</f>
        <v>117</v>
      </c>
      <c r="B120" s="4">
        <v>117</v>
      </c>
      <c r="C120" s="5" t="s">
        <v>464</v>
      </c>
      <c r="D120" s="5" t="s">
        <v>465</v>
      </c>
      <c r="E120" s="5" t="s">
        <v>466</v>
      </c>
      <c r="F120" s="5" t="s">
        <v>467</v>
      </c>
      <c r="G120" s="7"/>
      <c r="H120" s="7"/>
      <c r="I120" s="7"/>
    </row>
    <row r="121" spans="1:9" x14ac:dyDescent="0.3">
      <c r="A121" s="7">
        <f>IF(B121&lt;&gt;"",SUBTOTAL(3,$C$4:C121))</f>
        <v>118</v>
      </c>
      <c r="B121" s="4">
        <v>118</v>
      </c>
      <c r="C121" s="5" t="s">
        <v>468</v>
      </c>
      <c r="D121" s="5" t="s">
        <v>469</v>
      </c>
      <c r="E121" s="5" t="s">
        <v>470</v>
      </c>
      <c r="F121" s="5" t="s">
        <v>471</v>
      </c>
      <c r="G121" s="7"/>
      <c r="H121" s="7"/>
      <c r="I121" s="7"/>
    </row>
    <row r="122" spans="1:9" x14ac:dyDescent="0.3">
      <c r="A122" s="7">
        <f>IF(B122&lt;&gt;"",SUBTOTAL(3,$C$4:C122))</f>
        <v>119</v>
      </c>
      <c r="B122" s="4">
        <v>119</v>
      </c>
      <c r="C122" s="5" t="s">
        <v>472</v>
      </c>
      <c r="D122" s="5" t="s">
        <v>473</v>
      </c>
      <c r="E122" s="5" t="s">
        <v>474</v>
      </c>
      <c r="F122" s="5" t="s">
        <v>475</v>
      </c>
      <c r="G122" s="7"/>
      <c r="H122" s="7"/>
      <c r="I122" s="7"/>
    </row>
    <row r="123" spans="1:9" x14ac:dyDescent="0.3">
      <c r="A123" s="7">
        <f>IF(B123&lt;&gt;"",SUBTOTAL(3,$C$4:C123))</f>
        <v>120</v>
      </c>
      <c r="B123" s="4">
        <v>120</v>
      </c>
      <c r="C123" s="5" t="s">
        <v>476</v>
      </c>
      <c r="D123" s="5" t="s">
        <v>477</v>
      </c>
      <c r="E123" s="5" t="s">
        <v>478</v>
      </c>
      <c r="F123" s="5" t="s">
        <v>479</v>
      </c>
      <c r="G123" s="7"/>
      <c r="H123" s="7"/>
      <c r="I123" s="7"/>
    </row>
    <row r="124" spans="1:9" x14ac:dyDescent="0.3">
      <c r="A124" s="7">
        <f>IF(B124&lt;&gt;"",SUBTOTAL(3,$C$4:C124))</f>
        <v>121</v>
      </c>
      <c r="B124" s="4">
        <v>121</v>
      </c>
      <c r="C124" s="5" t="s">
        <v>480</v>
      </c>
      <c r="D124" s="5" t="s">
        <v>481</v>
      </c>
      <c r="E124" s="5" t="s">
        <v>482</v>
      </c>
      <c r="F124" s="5" t="s">
        <v>483</v>
      </c>
      <c r="G124" s="8">
        <v>44361</v>
      </c>
      <c r="H124" s="9" t="s">
        <v>1207</v>
      </c>
      <c r="I124" s="7"/>
    </row>
    <row r="125" spans="1:9" x14ac:dyDescent="0.3">
      <c r="A125" s="7">
        <f>IF(B125&lt;&gt;"",SUBTOTAL(3,$C$4:C125))</f>
        <v>122</v>
      </c>
      <c r="B125" s="4">
        <v>122</v>
      </c>
      <c r="C125" s="5" t="s">
        <v>484</v>
      </c>
      <c r="D125" s="5" t="s">
        <v>485</v>
      </c>
      <c r="E125" s="5" t="s">
        <v>486</v>
      </c>
      <c r="F125" s="5" t="s">
        <v>487</v>
      </c>
      <c r="G125" s="7"/>
      <c r="H125" s="7"/>
      <c r="I125" s="7"/>
    </row>
    <row r="126" spans="1:9" x14ac:dyDescent="0.3">
      <c r="A126" s="7">
        <f>IF(B126&lt;&gt;"",SUBTOTAL(3,$C$4:C126))</f>
        <v>123</v>
      </c>
      <c r="B126" s="4">
        <v>123</v>
      </c>
      <c r="C126" s="5" t="s">
        <v>488</v>
      </c>
      <c r="D126" s="5" t="s">
        <v>489</v>
      </c>
      <c r="E126" s="5" t="s">
        <v>490</v>
      </c>
      <c r="F126" s="5" t="s">
        <v>491</v>
      </c>
      <c r="G126" s="7"/>
      <c r="H126" s="7"/>
      <c r="I126" s="7"/>
    </row>
    <row r="127" spans="1:9" x14ac:dyDescent="0.3">
      <c r="A127" s="7">
        <f>IF(B127&lt;&gt;"",SUBTOTAL(3,$C$4:C127))</f>
        <v>124</v>
      </c>
      <c r="B127" s="4">
        <v>124</v>
      </c>
      <c r="C127" s="5" t="s">
        <v>492</v>
      </c>
      <c r="D127" s="5" t="s">
        <v>493</v>
      </c>
      <c r="E127" s="5" t="s">
        <v>494</v>
      </c>
      <c r="F127" s="5" t="s">
        <v>495</v>
      </c>
      <c r="G127" s="7"/>
      <c r="H127" s="7"/>
      <c r="I127" s="7"/>
    </row>
    <row r="128" spans="1:9" x14ac:dyDescent="0.3">
      <c r="A128" s="7">
        <f>IF(B128&lt;&gt;"",SUBTOTAL(3,$C$4:C128))</f>
        <v>125</v>
      </c>
      <c r="B128" s="4">
        <v>125</v>
      </c>
      <c r="C128" s="5" t="s">
        <v>496</v>
      </c>
      <c r="D128" s="5" t="s">
        <v>497</v>
      </c>
      <c r="E128" s="5" t="s">
        <v>498</v>
      </c>
      <c r="F128" s="5" t="s">
        <v>499</v>
      </c>
      <c r="G128" s="8">
        <v>44358</v>
      </c>
      <c r="H128" s="7" t="str">
        <f>VLOOKUP(D128,[1]Sheet1!$H$245:$J$470,3,0)</f>
        <v xml:space="preserve">ĐL a Tĩnh </v>
      </c>
      <c r="I128" s="7"/>
    </row>
    <row r="129" spans="1:9" x14ac:dyDescent="0.3">
      <c r="A129" s="7">
        <f>IF(B129&lt;&gt;"",SUBTOTAL(3,$C$4:C129))</f>
        <v>126</v>
      </c>
      <c r="B129" s="4">
        <v>126</v>
      </c>
      <c r="C129" s="5" t="s">
        <v>500</v>
      </c>
      <c r="D129" s="5" t="s">
        <v>501</v>
      </c>
      <c r="E129" s="5" t="s">
        <v>502</v>
      </c>
      <c r="F129" s="5" t="s">
        <v>503</v>
      </c>
      <c r="G129" s="8">
        <v>44358</v>
      </c>
      <c r="H129" s="7" t="str">
        <f>VLOOKUP(D129,[1]Sheet1!$H$245:$J$470,3,0)</f>
        <v xml:space="preserve">ĐL a Tĩnh </v>
      </c>
      <c r="I129" s="7"/>
    </row>
    <row r="130" spans="1:9" x14ac:dyDescent="0.3">
      <c r="A130" s="7">
        <f>IF(B130&lt;&gt;"",SUBTOTAL(3,$C$4:C130))</f>
        <v>127</v>
      </c>
      <c r="B130" s="4">
        <v>127</v>
      </c>
      <c r="C130" s="5" t="s">
        <v>504</v>
      </c>
      <c r="D130" s="5" t="s">
        <v>505</v>
      </c>
      <c r="E130" s="5" t="s">
        <v>506</v>
      </c>
      <c r="F130" s="5" t="s">
        <v>507</v>
      </c>
      <c r="G130" s="7"/>
      <c r="H130" s="7"/>
      <c r="I130" s="7"/>
    </row>
    <row r="131" spans="1:9" x14ac:dyDescent="0.3">
      <c r="A131" s="7">
        <f>IF(B131&lt;&gt;"",SUBTOTAL(3,$C$4:C131))</f>
        <v>128</v>
      </c>
      <c r="B131" s="4">
        <v>128</v>
      </c>
      <c r="C131" s="5" t="s">
        <v>508</v>
      </c>
      <c r="D131" s="5" t="s">
        <v>509</v>
      </c>
      <c r="E131" s="5" t="s">
        <v>510</v>
      </c>
      <c r="F131" s="5" t="s">
        <v>511</v>
      </c>
      <c r="G131" s="8">
        <v>44357</v>
      </c>
      <c r="H131" s="7" t="str">
        <f>VLOOKUP(D131,[1]Sheet1!$H$245:$J$470,3,0)</f>
        <v xml:space="preserve">ĐL a Tuấn Ninh Bình </v>
      </c>
      <c r="I131" s="7"/>
    </row>
    <row r="132" spans="1:9" x14ac:dyDescent="0.3">
      <c r="A132" s="7">
        <f>IF(B132&lt;&gt;"",SUBTOTAL(3,$C$4:C132))</f>
        <v>129</v>
      </c>
      <c r="B132" s="4">
        <v>129</v>
      </c>
      <c r="C132" s="5" t="s">
        <v>512</v>
      </c>
      <c r="D132" s="5" t="s">
        <v>513</v>
      </c>
      <c r="E132" s="5" t="s">
        <v>514</v>
      </c>
      <c r="F132" s="5" t="s">
        <v>515</v>
      </c>
      <c r="G132" s="7"/>
      <c r="H132" s="7"/>
      <c r="I132" s="7"/>
    </row>
    <row r="133" spans="1:9" x14ac:dyDescent="0.3">
      <c r="A133" s="7">
        <f>IF(B133&lt;&gt;"",SUBTOTAL(3,$C$4:C133))</f>
        <v>130</v>
      </c>
      <c r="B133" s="4">
        <v>130</v>
      </c>
      <c r="C133" s="5" t="s">
        <v>516</v>
      </c>
      <c r="D133" s="5" t="s">
        <v>517</v>
      </c>
      <c r="E133" s="5" t="s">
        <v>518</v>
      </c>
      <c r="F133" s="5" t="s">
        <v>519</v>
      </c>
      <c r="G133" s="7"/>
      <c r="H133" s="7"/>
      <c r="I133" s="7"/>
    </row>
    <row r="134" spans="1:9" x14ac:dyDescent="0.3">
      <c r="A134" s="7">
        <f>IF(B134&lt;&gt;"",SUBTOTAL(3,$C$4:C134))</f>
        <v>131</v>
      </c>
      <c r="B134" s="4">
        <v>131</v>
      </c>
      <c r="C134" s="5" t="s">
        <v>520</v>
      </c>
      <c r="D134" s="5" t="s">
        <v>521</v>
      </c>
      <c r="E134" s="5" t="s">
        <v>522</v>
      </c>
      <c r="F134" s="5" t="s">
        <v>523</v>
      </c>
      <c r="G134" s="7"/>
      <c r="H134" s="7"/>
      <c r="I134" s="7"/>
    </row>
    <row r="135" spans="1:9" x14ac:dyDescent="0.3">
      <c r="A135" s="7">
        <f>IF(B135&lt;&gt;"",SUBTOTAL(3,$C$4:C135))</f>
        <v>132</v>
      </c>
      <c r="B135" s="4">
        <v>132</v>
      </c>
      <c r="C135" s="5" t="s">
        <v>524</v>
      </c>
      <c r="D135" s="5" t="s">
        <v>525</v>
      </c>
      <c r="E135" s="5" t="s">
        <v>526</v>
      </c>
      <c r="F135" s="5" t="s">
        <v>527</v>
      </c>
      <c r="G135" s="7"/>
      <c r="H135" s="7"/>
      <c r="I135" s="7"/>
    </row>
    <row r="136" spans="1:9" x14ac:dyDescent="0.3">
      <c r="A136" s="7">
        <f>IF(B136&lt;&gt;"",SUBTOTAL(3,$C$4:C136))</f>
        <v>133</v>
      </c>
      <c r="B136" s="4">
        <v>133</v>
      </c>
      <c r="C136" s="5" t="s">
        <v>528</v>
      </c>
      <c r="D136" s="5" t="s">
        <v>529</v>
      </c>
      <c r="E136" s="5" t="s">
        <v>530</v>
      </c>
      <c r="F136" s="5" t="s">
        <v>531</v>
      </c>
      <c r="G136" s="7"/>
      <c r="H136" s="7"/>
      <c r="I136" s="7"/>
    </row>
    <row r="137" spans="1:9" x14ac:dyDescent="0.3">
      <c r="A137" s="7">
        <f>IF(B137&lt;&gt;"",SUBTOTAL(3,$C$4:C137))</f>
        <v>134</v>
      </c>
      <c r="B137" s="4">
        <v>134</v>
      </c>
      <c r="C137" s="5" t="s">
        <v>532</v>
      </c>
      <c r="D137" s="5" t="s">
        <v>533</v>
      </c>
      <c r="E137" s="5" t="s">
        <v>534</v>
      </c>
      <c r="F137" s="5" t="s">
        <v>535</v>
      </c>
      <c r="G137" s="7"/>
      <c r="H137" s="7"/>
      <c r="I137" s="7"/>
    </row>
    <row r="138" spans="1:9" x14ac:dyDescent="0.3">
      <c r="A138" s="7">
        <f>IF(B138&lt;&gt;"",SUBTOTAL(3,$C$4:C138))</f>
        <v>135</v>
      </c>
      <c r="B138" s="4">
        <v>135</v>
      </c>
      <c r="C138" s="5" t="s">
        <v>536</v>
      </c>
      <c r="D138" s="5" t="s">
        <v>537</v>
      </c>
      <c r="E138" s="5" t="s">
        <v>538</v>
      </c>
      <c r="F138" s="5" t="s">
        <v>539</v>
      </c>
      <c r="G138" s="7"/>
      <c r="H138" s="7"/>
      <c r="I138" s="7"/>
    </row>
    <row r="139" spans="1:9" x14ac:dyDescent="0.3">
      <c r="A139" s="7">
        <f>IF(B139&lt;&gt;"",SUBTOTAL(3,$C$4:C139))</f>
        <v>136</v>
      </c>
      <c r="B139" s="4">
        <v>136</v>
      </c>
      <c r="C139" s="5" t="s">
        <v>540</v>
      </c>
      <c r="D139" s="5" t="s">
        <v>541</v>
      </c>
      <c r="E139" s="5" t="s">
        <v>542</v>
      </c>
      <c r="F139" s="5" t="s">
        <v>543</v>
      </c>
      <c r="G139" s="7"/>
      <c r="H139" s="7"/>
      <c r="I139" s="7"/>
    </row>
    <row r="140" spans="1:9" x14ac:dyDescent="0.3">
      <c r="A140" s="7">
        <f>IF(B140&lt;&gt;"",SUBTOTAL(3,$C$4:C140))</f>
        <v>137</v>
      </c>
      <c r="B140" s="4">
        <v>137</v>
      </c>
      <c r="C140" s="5" t="s">
        <v>544</v>
      </c>
      <c r="D140" s="5" t="s">
        <v>545</v>
      </c>
      <c r="E140" s="5" t="s">
        <v>546</v>
      </c>
      <c r="F140" s="5" t="s">
        <v>547</v>
      </c>
      <c r="G140" s="7"/>
      <c r="H140" s="7"/>
      <c r="I140" s="7"/>
    </row>
    <row r="141" spans="1:9" x14ac:dyDescent="0.3">
      <c r="A141" s="7">
        <f>IF(B141&lt;&gt;"",SUBTOTAL(3,$C$4:C141))</f>
        <v>138</v>
      </c>
      <c r="B141" s="4">
        <v>138</v>
      </c>
      <c r="C141" s="5" t="s">
        <v>548</v>
      </c>
      <c r="D141" s="5" t="s">
        <v>549</v>
      </c>
      <c r="E141" s="5" t="s">
        <v>550</v>
      </c>
      <c r="F141" s="5" t="s">
        <v>551</v>
      </c>
      <c r="G141" s="8">
        <v>44358</v>
      </c>
      <c r="H141" s="7" t="str">
        <f>VLOOKUP(D141,[1]Sheet1!$H$245:$J$470,3,0)</f>
        <v xml:space="preserve">ĐL a Tĩnh </v>
      </c>
      <c r="I141" s="7"/>
    </row>
    <row r="142" spans="1:9" x14ac:dyDescent="0.3">
      <c r="A142" s="7">
        <f>IF(B142&lt;&gt;"",SUBTOTAL(3,$C$4:C142))</f>
        <v>139</v>
      </c>
      <c r="B142" s="4">
        <v>139</v>
      </c>
      <c r="C142" s="5" t="s">
        <v>552</v>
      </c>
      <c r="D142" s="12" t="s">
        <v>553</v>
      </c>
      <c r="E142" s="5" t="s">
        <v>554</v>
      </c>
      <c r="F142" s="5" t="s">
        <v>555</v>
      </c>
      <c r="G142" s="8">
        <v>44587</v>
      </c>
      <c r="H142" s="7" t="s">
        <v>1213</v>
      </c>
      <c r="I142" s="7"/>
    </row>
    <row r="143" spans="1:9" x14ac:dyDescent="0.3">
      <c r="A143" s="7">
        <f>IF(B143&lt;&gt;"",SUBTOTAL(3,$C$4:C143))</f>
        <v>140</v>
      </c>
      <c r="B143" s="4">
        <v>140</v>
      </c>
      <c r="C143" s="5" t="s">
        <v>556</v>
      </c>
      <c r="D143" s="5" t="s">
        <v>557</v>
      </c>
      <c r="E143" s="5" t="s">
        <v>558</v>
      </c>
      <c r="F143" s="5" t="s">
        <v>559</v>
      </c>
      <c r="G143" s="7"/>
      <c r="H143" s="7"/>
      <c r="I143" s="7"/>
    </row>
    <row r="144" spans="1:9" x14ac:dyDescent="0.3">
      <c r="A144" s="7">
        <f>IF(B144&lt;&gt;"",SUBTOTAL(3,$C$4:C144))</f>
        <v>141</v>
      </c>
      <c r="B144" s="4">
        <v>141</v>
      </c>
      <c r="C144" s="5" t="s">
        <v>560</v>
      </c>
      <c r="D144" s="5" t="s">
        <v>561</v>
      </c>
      <c r="E144" s="5" t="s">
        <v>562</v>
      </c>
      <c r="F144" s="5" t="s">
        <v>563</v>
      </c>
      <c r="G144" s="7"/>
      <c r="H144" s="7"/>
      <c r="I144" s="7"/>
    </row>
    <row r="145" spans="1:9" x14ac:dyDescent="0.3">
      <c r="A145" s="7">
        <f>IF(B145&lt;&gt;"",SUBTOTAL(3,$C$4:C145))</f>
        <v>142</v>
      </c>
      <c r="B145" s="4">
        <v>142</v>
      </c>
      <c r="C145" s="5" t="s">
        <v>564</v>
      </c>
      <c r="D145" s="5" t="s">
        <v>565</v>
      </c>
      <c r="E145" s="5" t="s">
        <v>566</v>
      </c>
      <c r="F145" s="5" t="s">
        <v>567</v>
      </c>
      <c r="G145" s="8">
        <v>44358</v>
      </c>
      <c r="H145" s="7" t="str">
        <f>VLOOKUP(D145,[1]Sheet1!$H$245:$J$470,3,0)</f>
        <v xml:space="preserve">ĐL a Tĩnh </v>
      </c>
      <c r="I145" s="7"/>
    </row>
    <row r="146" spans="1:9" x14ac:dyDescent="0.3">
      <c r="A146" s="7">
        <f>IF(B146&lt;&gt;"",SUBTOTAL(3,$C$4:C146))</f>
        <v>143</v>
      </c>
      <c r="B146" s="4">
        <v>143</v>
      </c>
      <c r="C146" s="5" t="s">
        <v>568</v>
      </c>
      <c r="D146" s="5" t="s">
        <v>569</v>
      </c>
      <c r="E146" s="5" t="s">
        <v>570</v>
      </c>
      <c r="F146" s="5" t="s">
        <v>571</v>
      </c>
      <c r="G146" s="7"/>
      <c r="H146" s="7"/>
      <c r="I146" s="7"/>
    </row>
    <row r="147" spans="1:9" x14ac:dyDescent="0.3">
      <c r="A147" s="7">
        <f>IF(B147&lt;&gt;"",SUBTOTAL(3,$C$4:C147))</f>
        <v>144</v>
      </c>
      <c r="B147" s="4">
        <v>144</v>
      </c>
      <c r="C147" s="5" t="s">
        <v>572</v>
      </c>
      <c r="D147" s="5" t="s">
        <v>573</v>
      </c>
      <c r="E147" s="5" t="s">
        <v>574</v>
      </c>
      <c r="F147" s="5" t="s">
        <v>575</v>
      </c>
      <c r="G147" s="7"/>
      <c r="H147" s="7"/>
      <c r="I147" s="7"/>
    </row>
    <row r="148" spans="1:9" x14ac:dyDescent="0.3">
      <c r="A148" s="7">
        <f>IF(B148&lt;&gt;"",SUBTOTAL(3,$C$4:C148))</f>
        <v>145</v>
      </c>
      <c r="B148" s="4">
        <v>145</v>
      </c>
      <c r="C148" s="5" t="s">
        <v>576</v>
      </c>
      <c r="D148" s="5" t="s">
        <v>577</v>
      </c>
      <c r="E148" s="5" t="s">
        <v>578</v>
      </c>
      <c r="F148" s="5" t="s">
        <v>579</v>
      </c>
      <c r="G148" s="7"/>
      <c r="H148" s="7"/>
      <c r="I148" s="7"/>
    </row>
    <row r="149" spans="1:9" x14ac:dyDescent="0.3">
      <c r="A149" s="7">
        <f>IF(B149&lt;&gt;"",SUBTOTAL(3,$C$4:C149))</f>
        <v>146</v>
      </c>
      <c r="B149" s="4">
        <v>146</v>
      </c>
      <c r="C149" s="5" t="s">
        <v>580</v>
      </c>
      <c r="D149" s="5" t="s">
        <v>581</v>
      </c>
      <c r="E149" s="5" t="s">
        <v>582</v>
      </c>
      <c r="F149" s="5" t="s">
        <v>583</v>
      </c>
      <c r="G149" s="7"/>
      <c r="H149" s="7"/>
      <c r="I149" s="7"/>
    </row>
    <row r="150" spans="1:9" x14ac:dyDescent="0.3">
      <c r="A150" s="7">
        <f>IF(B150&lt;&gt;"",SUBTOTAL(3,$C$4:C150))</f>
        <v>147</v>
      </c>
      <c r="B150" s="4">
        <v>147</v>
      </c>
      <c r="C150" s="5" t="s">
        <v>584</v>
      </c>
      <c r="D150" s="5" t="s">
        <v>585</v>
      </c>
      <c r="E150" s="5" t="s">
        <v>586</v>
      </c>
      <c r="F150" s="5" t="s">
        <v>587</v>
      </c>
      <c r="G150" s="7"/>
      <c r="H150" s="7"/>
      <c r="I150" s="7"/>
    </row>
    <row r="151" spans="1:9" x14ac:dyDescent="0.3">
      <c r="A151" s="7">
        <f>IF(B151&lt;&gt;"",SUBTOTAL(3,$C$4:C151))</f>
        <v>148</v>
      </c>
      <c r="B151" s="4">
        <v>148</v>
      </c>
      <c r="C151" s="5" t="s">
        <v>588</v>
      </c>
      <c r="D151" s="5" t="s">
        <v>589</v>
      </c>
      <c r="E151" s="5" t="s">
        <v>590</v>
      </c>
      <c r="F151" s="5" t="s">
        <v>591</v>
      </c>
      <c r="G151" s="7"/>
      <c r="H151" s="7"/>
      <c r="I151" s="7"/>
    </row>
    <row r="152" spans="1:9" x14ac:dyDescent="0.3">
      <c r="A152" s="7">
        <f>IF(B152&lt;&gt;"",SUBTOTAL(3,$C$4:C152))</f>
        <v>149</v>
      </c>
      <c r="B152" s="4">
        <v>149</v>
      </c>
      <c r="C152" s="5" t="s">
        <v>592</v>
      </c>
      <c r="D152" s="5" t="s">
        <v>593</v>
      </c>
      <c r="E152" s="5" t="s">
        <v>594</v>
      </c>
      <c r="F152" s="5" t="s">
        <v>595</v>
      </c>
      <c r="G152" s="8">
        <v>44368</v>
      </c>
      <c r="H152" s="7" t="s">
        <v>1212</v>
      </c>
      <c r="I152" s="7"/>
    </row>
    <row r="153" spans="1:9" x14ac:dyDescent="0.3">
      <c r="A153" s="7">
        <f>IF(B153&lt;&gt;"",SUBTOTAL(3,$C$4:C153))</f>
        <v>150</v>
      </c>
      <c r="B153" s="4">
        <v>150</v>
      </c>
      <c r="C153" s="5" t="s">
        <v>596</v>
      </c>
      <c r="D153" s="5" t="s">
        <v>597</v>
      </c>
      <c r="E153" s="5" t="s">
        <v>598</v>
      </c>
      <c r="F153" s="5" t="s">
        <v>599</v>
      </c>
      <c r="G153" s="8">
        <v>44361</v>
      </c>
      <c r="H153" s="7" t="s">
        <v>1210</v>
      </c>
      <c r="I153" s="7"/>
    </row>
    <row r="154" spans="1:9" x14ac:dyDescent="0.3">
      <c r="A154" s="7">
        <f>IF(B154&lt;&gt;"",SUBTOTAL(3,$C$4:C154))</f>
        <v>151</v>
      </c>
      <c r="B154" s="4">
        <v>151</v>
      </c>
      <c r="C154" s="5" t="s">
        <v>600</v>
      </c>
      <c r="D154" s="5" t="s">
        <v>601</v>
      </c>
      <c r="E154" s="5" t="s">
        <v>602</v>
      </c>
      <c r="F154" s="5" t="s">
        <v>603</v>
      </c>
      <c r="G154" s="7"/>
      <c r="H154" s="7"/>
      <c r="I154" s="7"/>
    </row>
    <row r="155" spans="1:9" x14ac:dyDescent="0.3">
      <c r="A155" s="7">
        <f>IF(B155&lt;&gt;"",SUBTOTAL(3,$C$4:C155))</f>
        <v>152</v>
      </c>
      <c r="B155" s="4">
        <v>152</v>
      </c>
      <c r="C155" s="5" t="s">
        <v>604</v>
      </c>
      <c r="D155" s="5" t="s">
        <v>605</v>
      </c>
      <c r="E155" s="5" t="s">
        <v>606</v>
      </c>
      <c r="F155" s="5" t="s">
        <v>607</v>
      </c>
      <c r="G155" s="8">
        <v>44358</v>
      </c>
      <c r="H155" s="7" t="str">
        <f>VLOOKUP(D155,[1]Sheet1!$H$245:$J$470,3,0)</f>
        <v xml:space="preserve">ĐL a Tĩnh </v>
      </c>
      <c r="I155" s="7"/>
    </row>
    <row r="156" spans="1:9" x14ac:dyDescent="0.3">
      <c r="A156" s="7">
        <f>IF(B156&lt;&gt;"",SUBTOTAL(3,$C$4:C156))</f>
        <v>153</v>
      </c>
      <c r="B156" s="4">
        <v>153</v>
      </c>
      <c r="C156" s="5" t="s">
        <v>608</v>
      </c>
      <c r="D156" s="5" t="s">
        <v>609</v>
      </c>
      <c r="E156" s="5" t="s">
        <v>610</v>
      </c>
      <c r="F156" s="5" t="s">
        <v>611</v>
      </c>
      <c r="G156" s="7"/>
      <c r="H156" s="7"/>
      <c r="I156" s="7"/>
    </row>
    <row r="157" spans="1:9" x14ac:dyDescent="0.3">
      <c r="A157" s="7">
        <f>IF(B157&lt;&gt;"",SUBTOTAL(3,$C$4:C157))</f>
        <v>154</v>
      </c>
      <c r="B157" s="4">
        <v>154</v>
      </c>
      <c r="C157" s="5" t="s">
        <v>612</v>
      </c>
      <c r="D157" s="5" t="s">
        <v>613</v>
      </c>
      <c r="E157" s="5" t="s">
        <v>614</v>
      </c>
      <c r="F157" s="5" t="s">
        <v>615</v>
      </c>
      <c r="G157" s="8">
        <v>44358</v>
      </c>
      <c r="H157" s="7" t="str">
        <f>VLOOKUP(D157,[1]Sheet1!$H$245:$J$470,3,0)</f>
        <v xml:space="preserve">ĐL a Tĩnh </v>
      </c>
      <c r="I157" s="7"/>
    </row>
    <row r="158" spans="1:9" x14ac:dyDescent="0.3">
      <c r="A158" s="7">
        <f>IF(B158&lt;&gt;"",SUBTOTAL(3,$C$4:C158))</f>
        <v>155</v>
      </c>
      <c r="B158" s="4">
        <v>155</v>
      </c>
      <c r="C158" s="5" t="s">
        <v>616</v>
      </c>
      <c r="D158" s="5" t="s">
        <v>617</v>
      </c>
      <c r="E158" s="5" t="s">
        <v>618</v>
      </c>
      <c r="F158" s="5" t="s">
        <v>619</v>
      </c>
      <c r="G158" s="8">
        <v>44358</v>
      </c>
      <c r="H158" s="7" t="str">
        <f>VLOOKUP(D158,[1]Sheet1!$H$245:$J$470,3,0)</f>
        <v xml:space="preserve">ĐL a Tĩnh </v>
      </c>
      <c r="I158" s="7"/>
    </row>
    <row r="159" spans="1:9" x14ac:dyDescent="0.3">
      <c r="A159" s="7">
        <f>IF(B159&lt;&gt;"",SUBTOTAL(3,$C$4:C159))</f>
        <v>156</v>
      </c>
      <c r="B159" s="4">
        <v>156</v>
      </c>
      <c r="C159" s="5" t="s">
        <v>620</v>
      </c>
      <c r="D159" s="5" t="s">
        <v>621</v>
      </c>
      <c r="E159" s="5" t="s">
        <v>622</v>
      </c>
      <c r="F159" s="5" t="s">
        <v>623</v>
      </c>
      <c r="G159" s="8">
        <v>44358</v>
      </c>
      <c r="H159" s="7" t="str">
        <f>VLOOKUP(D159,[1]Sheet1!$H$245:$J$470,3,0)</f>
        <v xml:space="preserve">ĐL a Tĩnh </v>
      </c>
      <c r="I159" s="7"/>
    </row>
    <row r="160" spans="1:9" x14ac:dyDescent="0.3">
      <c r="A160" s="7">
        <f>IF(B160&lt;&gt;"",SUBTOTAL(3,$C$4:C160))</f>
        <v>157</v>
      </c>
      <c r="B160" s="4">
        <v>157</v>
      </c>
      <c r="C160" s="5" t="s">
        <v>624</v>
      </c>
      <c r="D160" s="5" t="s">
        <v>625</v>
      </c>
      <c r="E160" s="5" t="s">
        <v>626</v>
      </c>
      <c r="F160" s="5" t="s">
        <v>627</v>
      </c>
      <c r="G160" s="8">
        <v>44358</v>
      </c>
      <c r="H160" s="7" t="str">
        <f>VLOOKUP(D160,[1]Sheet1!$H$245:$J$470,3,0)</f>
        <v xml:space="preserve">ĐL a Tĩnh </v>
      </c>
      <c r="I160" s="7"/>
    </row>
    <row r="161" spans="1:9" x14ac:dyDescent="0.3">
      <c r="A161" s="7">
        <f>IF(B161&lt;&gt;"",SUBTOTAL(3,$C$4:C161))</f>
        <v>158</v>
      </c>
      <c r="B161" s="4">
        <v>158</v>
      </c>
      <c r="C161" s="5" t="s">
        <v>628</v>
      </c>
      <c r="D161" s="5" t="s">
        <v>629</v>
      </c>
      <c r="E161" s="5" t="s">
        <v>630</v>
      </c>
      <c r="F161" s="5" t="s">
        <v>631</v>
      </c>
      <c r="G161" s="7"/>
      <c r="H161" s="7"/>
      <c r="I161" s="7"/>
    </row>
    <row r="162" spans="1:9" x14ac:dyDescent="0.3">
      <c r="A162" s="7">
        <f>IF(B162&lt;&gt;"",SUBTOTAL(3,$C$4:C162))</f>
        <v>159</v>
      </c>
      <c r="B162" s="4">
        <v>159</v>
      </c>
      <c r="C162" s="5" t="s">
        <v>632</v>
      </c>
      <c r="D162" s="5" t="s">
        <v>633</v>
      </c>
      <c r="E162" s="5" t="s">
        <v>634</v>
      </c>
      <c r="F162" s="5" t="s">
        <v>635</v>
      </c>
      <c r="G162" s="8">
        <v>44358</v>
      </c>
      <c r="H162" s="7" t="str">
        <f>VLOOKUP(D162,[1]Sheet1!$H$245:$J$470,3,0)</f>
        <v xml:space="preserve">ĐL a Tĩnh </v>
      </c>
      <c r="I162" s="7"/>
    </row>
    <row r="163" spans="1:9" x14ac:dyDescent="0.3">
      <c r="A163" s="7">
        <f>IF(B163&lt;&gt;"",SUBTOTAL(3,$C$4:C163))</f>
        <v>160</v>
      </c>
      <c r="B163" s="4">
        <v>160</v>
      </c>
      <c r="C163" s="5" t="s">
        <v>636</v>
      </c>
      <c r="D163" s="5" t="s">
        <v>637</v>
      </c>
      <c r="E163" s="5" t="s">
        <v>638</v>
      </c>
      <c r="F163" s="5" t="s">
        <v>639</v>
      </c>
      <c r="G163" s="7"/>
      <c r="H163" s="7"/>
      <c r="I163" s="7"/>
    </row>
    <row r="164" spans="1:9" x14ac:dyDescent="0.3">
      <c r="A164" s="7">
        <f>IF(B164&lt;&gt;"",SUBTOTAL(3,$C$4:C164))</f>
        <v>161</v>
      </c>
      <c r="B164" s="4">
        <v>161</v>
      </c>
      <c r="C164" s="5" t="s">
        <v>640</v>
      </c>
      <c r="D164" s="5" t="s">
        <v>641</v>
      </c>
      <c r="E164" s="5" t="s">
        <v>642</v>
      </c>
      <c r="F164" s="5" t="s">
        <v>643</v>
      </c>
      <c r="G164" s="7"/>
      <c r="H164" s="7"/>
      <c r="I164" s="7"/>
    </row>
    <row r="165" spans="1:9" x14ac:dyDescent="0.3">
      <c r="A165" s="7">
        <f>IF(B165&lt;&gt;"",SUBTOTAL(3,$C$4:C165))</f>
        <v>162</v>
      </c>
      <c r="B165" s="4">
        <v>162</v>
      </c>
      <c r="C165" s="5" t="s">
        <v>644</v>
      </c>
      <c r="D165" s="5" t="s">
        <v>645</v>
      </c>
      <c r="E165" s="5" t="s">
        <v>646</v>
      </c>
      <c r="F165" s="5" t="s">
        <v>647</v>
      </c>
      <c r="G165" s="7"/>
      <c r="H165" s="7"/>
      <c r="I165" s="7"/>
    </row>
    <row r="166" spans="1:9" x14ac:dyDescent="0.3">
      <c r="A166" s="7">
        <f>IF(B166&lt;&gt;"",SUBTOTAL(3,$C$4:C166))</f>
        <v>163</v>
      </c>
      <c r="B166" s="4">
        <v>163</v>
      </c>
      <c r="C166" s="5" t="s">
        <v>648</v>
      </c>
      <c r="D166" s="5" t="s">
        <v>649</v>
      </c>
      <c r="E166" s="5" t="s">
        <v>650</v>
      </c>
      <c r="F166" s="5" t="s">
        <v>651</v>
      </c>
      <c r="G166" s="7"/>
      <c r="H166" s="7"/>
      <c r="I166" s="7"/>
    </row>
    <row r="167" spans="1:9" x14ac:dyDescent="0.3">
      <c r="A167" s="7">
        <f>IF(B167&lt;&gt;"",SUBTOTAL(3,$C$4:C167))</f>
        <v>164</v>
      </c>
      <c r="B167" s="4">
        <v>164</v>
      </c>
      <c r="C167" s="5" t="s">
        <v>652</v>
      </c>
      <c r="D167" s="5" t="s">
        <v>653</v>
      </c>
      <c r="E167" s="5" t="s">
        <v>654</v>
      </c>
      <c r="F167" s="5" t="s">
        <v>655</v>
      </c>
      <c r="G167" s="8">
        <v>44357</v>
      </c>
      <c r="H167" s="7" t="str">
        <f>VLOOKUP(D167,[1]Sheet1!$H$245:$J$470,3,0)</f>
        <v xml:space="preserve">ĐL a Tuấn Ninh Bình </v>
      </c>
      <c r="I167" s="7"/>
    </row>
    <row r="168" spans="1:9" x14ac:dyDescent="0.3">
      <c r="A168" s="7">
        <f>IF(B168&lt;&gt;"",SUBTOTAL(3,$C$4:C168))</f>
        <v>165</v>
      </c>
      <c r="B168" s="4">
        <v>165</v>
      </c>
      <c r="C168" s="5" t="s">
        <v>656</v>
      </c>
      <c r="D168" s="5" t="s">
        <v>657</v>
      </c>
      <c r="E168" s="5" t="s">
        <v>658</v>
      </c>
      <c r="F168" s="5" t="s">
        <v>659</v>
      </c>
      <c r="G168" s="7"/>
      <c r="H168" s="7"/>
      <c r="I168" s="7"/>
    </row>
    <row r="169" spans="1:9" x14ac:dyDescent="0.3">
      <c r="A169" s="7">
        <f>IF(B169&lt;&gt;"",SUBTOTAL(3,$C$4:C169))</f>
        <v>166</v>
      </c>
      <c r="B169" s="4">
        <v>166</v>
      </c>
      <c r="C169" s="5" t="s">
        <v>660</v>
      </c>
      <c r="D169" s="5" t="s">
        <v>661</v>
      </c>
      <c r="E169" s="5" t="s">
        <v>662</v>
      </c>
      <c r="F169" s="5" t="s">
        <v>663</v>
      </c>
      <c r="G169" s="8">
        <v>44358</v>
      </c>
      <c r="H169" s="7" t="str">
        <f>VLOOKUP(D169,[1]Sheet1!$H$245:$J$470,3,0)</f>
        <v xml:space="preserve">ĐL a Tĩnh </v>
      </c>
      <c r="I169" s="7"/>
    </row>
    <row r="170" spans="1:9" x14ac:dyDescent="0.3">
      <c r="A170" s="7">
        <f>IF(B170&lt;&gt;"",SUBTOTAL(3,$C$4:C170))</f>
        <v>167</v>
      </c>
      <c r="B170" s="4">
        <v>167</v>
      </c>
      <c r="C170" s="5" t="s">
        <v>664</v>
      </c>
      <c r="D170" s="5" t="s">
        <v>665</v>
      </c>
      <c r="E170" s="5" t="s">
        <v>666</v>
      </c>
      <c r="F170" s="5" t="s">
        <v>667</v>
      </c>
      <c r="G170" s="8">
        <v>44358</v>
      </c>
      <c r="H170" s="7" t="str">
        <f>VLOOKUP(D170,[1]Sheet1!$H$245:$J$470,3,0)</f>
        <v xml:space="preserve">ĐL a Tĩnh </v>
      </c>
      <c r="I170" s="7"/>
    </row>
    <row r="171" spans="1:9" x14ac:dyDescent="0.3">
      <c r="A171" s="7">
        <f>IF(B171&lt;&gt;"",SUBTOTAL(3,$C$4:C171))</f>
        <v>168</v>
      </c>
      <c r="B171" s="4">
        <v>168</v>
      </c>
      <c r="C171" s="5" t="s">
        <v>668</v>
      </c>
      <c r="D171" s="5" t="s">
        <v>669</v>
      </c>
      <c r="E171" s="5" t="s">
        <v>670</v>
      </c>
      <c r="F171" s="5" t="s">
        <v>671</v>
      </c>
      <c r="G171" s="8">
        <v>44357</v>
      </c>
      <c r="H171" s="7" t="str">
        <f>VLOOKUP(D171,[1]Sheet1!$H$245:$J$470,3,0)</f>
        <v xml:space="preserve">ĐL a Tuấn Ninh Bình </v>
      </c>
      <c r="I171" s="7"/>
    </row>
    <row r="172" spans="1:9" x14ac:dyDescent="0.3">
      <c r="A172" s="7">
        <f>IF(B172&lt;&gt;"",SUBTOTAL(3,$C$4:C172))</f>
        <v>169</v>
      </c>
      <c r="B172" s="4">
        <v>169</v>
      </c>
      <c r="C172" s="5" t="s">
        <v>672</v>
      </c>
      <c r="D172" s="5" t="s">
        <v>673</v>
      </c>
      <c r="E172" s="5" t="s">
        <v>674</v>
      </c>
      <c r="F172" s="5" t="s">
        <v>675</v>
      </c>
      <c r="G172" s="7"/>
      <c r="H172" s="7"/>
      <c r="I172" s="7"/>
    </row>
    <row r="173" spans="1:9" x14ac:dyDescent="0.3">
      <c r="A173" s="7">
        <f>IF(B173&lt;&gt;"",SUBTOTAL(3,$C$4:C173))</f>
        <v>170</v>
      </c>
      <c r="B173" s="4">
        <v>170</v>
      </c>
      <c r="C173" s="5" t="s">
        <v>676</v>
      </c>
      <c r="D173" s="5" t="s">
        <v>677</v>
      </c>
      <c r="E173" s="5" t="s">
        <v>678</v>
      </c>
      <c r="F173" s="5" t="s">
        <v>679</v>
      </c>
      <c r="G173" s="8">
        <v>44358</v>
      </c>
      <c r="H173" s="7" t="str">
        <f>VLOOKUP(D173,[1]Sheet1!$H$245:$J$470,3,0)</f>
        <v xml:space="preserve">ĐL a Tĩnh </v>
      </c>
      <c r="I173" s="7"/>
    </row>
    <row r="174" spans="1:9" x14ac:dyDescent="0.3">
      <c r="A174" s="7">
        <f>IF(B174&lt;&gt;"",SUBTOTAL(3,$C$4:C174))</f>
        <v>171</v>
      </c>
      <c r="B174" s="4">
        <v>171</v>
      </c>
      <c r="C174" s="5" t="s">
        <v>680</v>
      </c>
      <c r="D174" s="5" t="s">
        <v>681</v>
      </c>
      <c r="E174" s="5" t="s">
        <v>682</v>
      </c>
      <c r="F174" s="5" t="s">
        <v>683</v>
      </c>
      <c r="G174" s="7"/>
      <c r="H174" s="7"/>
      <c r="I174" s="7"/>
    </row>
    <row r="175" spans="1:9" x14ac:dyDescent="0.3">
      <c r="A175" s="7">
        <f>IF(B175&lt;&gt;"",SUBTOTAL(3,$C$4:C175))</f>
        <v>172</v>
      </c>
      <c r="B175" s="4">
        <v>172</v>
      </c>
      <c r="C175" s="5" t="s">
        <v>684</v>
      </c>
      <c r="D175" s="5" t="s">
        <v>685</v>
      </c>
      <c r="E175" s="5" t="s">
        <v>686</v>
      </c>
      <c r="F175" s="5" t="s">
        <v>687</v>
      </c>
      <c r="G175" s="8">
        <v>44358</v>
      </c>
      <c r="H175" s="7" t="str">
        <f>VLOOKUP(D175,[1]Sheet1!$H$245:$J$470,3,0)</f>
        <v xml:space="preserve">ĐL a Tĩnh </v>
      </c>
      <c r="I175" s="7"/>
    </row>
    <row r="176" spans="1:9" x14ac:dyDescent="0.3">
      <c r="A176" s="7">
        <f>IF(B176&lt;&gt;"",SUBTOTAL(3,$C$4:C176))</f>
        <v>173</v>
      </c>
      <c r="B176" s="4">
        <v>173</v>
      </c>
      <c r="C176" s="5" t="s">
        <v>688</v>
      </c>
      <c r="D176" s="5" t="s">
        <v>689</v>
      </c>
      <c r="E176" s="5" t="s">
        <v>690</v>
      </c>
      <c r="F176" s="5" t="s">
        <v>691</v>
      </c>
      <c r="G176" s="7"/>
      <c r="H176" s="7"/>
      <c r="I176" s="7"/>
    </row>
    <row r="177" spans="1:9" x14ac:dyDescent="0.3">
      <c r="A177" s="7">
        <f>IF(B177&lt;&gt;"",SUBTOTAL(3,$C$4:C177))</f>
        <v>174</v>
      </c>
      <c r="B177" s="4">
        <v>174</v>
      </c>
      <c r="C177" s="5" t="s">
        <v>692</v>
      </c>
      <c r="D177" s="5" t="s">
        <v>693</v>
      </c>
      <c r="E177" s="5" t="s">
        <v>694</v>
      </c>
      <c r="F177" s="5" t="s">
        <v>695</v>
      </c>
      <c r="G177" s="7"/>
      <c r="H177" s="7"/>
      <c r="I177" s="7"/>
    </row>
    <row r="178" spans="1:9" x14ac:dyDescent="0.3">
      <c r="A178" s="7">
        <f>IF(B178&lt;&gt;"",SUBTOTAL(3,$C$4:C178))</f>
        <v>175</v>
      </c>
      <c r="B178" s="4">
        <v>175</v>
      </c>
      <c r="C178" s="5" t="s">
        <v>696</v>
      </c>
      <c r="D178" s="5" t="s">
        <v>697</v>
      </c>
      <c r="E178" s="5" t="s">
        <v>698</v>
      </c>
      <c r="F178" s="5" t="s">
        <v>699</v>
      </c>
      <c r="G178" s="7"/>
      <c r="H178" s="7"/>
      <c r="I178" s="7"/>
    </row>
    <row r="179" spans="1:9" x14ac:dyDescent="0.3">
      <c r="A179" s="7">
        <f>IF(B179&lt;&gt;"",SUBTOTAL(3,$C$4:C179))</f>
        <v>176</v>
      </c>
      <c r="B179" s="4">
        <v>176</v>
      </c>
      <c r="C179" s="5" t="s">
        <v>700</v>
      </c>
      <c r="D179" s="5" t="s">
        <v>701</v>
      </c>
      <c r="E179" s="5" t="s">
        <v>702</v>
      </c>
      <c r="F179" s="5" t="s">
        <v>703</v>
      </c>
      <c r="G179" s="7"/>
      <c r="H179" s="7"/>
      <c r="I179" s="7"/>
    </row>
    <row r="180" spans="1:9" x14ac:dyDescent="0.3">
      <c r="A180" s="7">
        <f>IF(B180&lt;&gt;"",SUBTOTAL(3,$C$4:C180))</f>
        <v>177</v>
      </c>
      <c r="B180" s="4">
        <v>177</v>
      </c>
      <c r="C180" s="5" t="s">
        <v>704</v>
      </c>
      <c r="D180" s="5" t="s">
        <v>705</v>
      </c>
      <c r="E180" s="5" t="s">
        <v>706</v>
      </c>
      <c r="F180" s="5" t="s">
        <v>707</v>
      </c>
      <c r="G180" s="7"/>
      <c r="H180" s="7"/>
      <c r="I180" s="7"/>
    </row>
    <row r="181" spans="1:9" x14ac:dyDescent="0.3">
      <c r="A181" s="7">
        <f>IF(B181&lt;&gt;"",SUBTOTAL(3,$C$4:C181))</f>
        <v>178</v>
      </c>
      <c r="B181" s="4">
        <v>178</v>
      </c>
      <c r="C181" s="5" t="s">
        <v>708</v>
      </c>
      <c r="D181" s="5" t="s">
        <v>709</v>
      </c>
      <c r="E181" s="5" t="s">
        <v>710</v>
      </c>
      <c r="F181" s="5" t="s">
        <v>711</v>
      </c>
      <c r="G181" s="7"/>
      <c r="H181" s="7"/>
      <c r="I181" s="7"/>
    </row>
    <row r="182" spans="1:9" x14ac:dyDescent="0.3">
      <c r="A182" s="7">
        <f>IF(B182&lt;&gt;"",SUBTOTAL(3,$C$4:C182))</f>
        <v>179</v>
      </c>
      <c r="B182" s="4">
        <v>179</v>
      </c>
      <c r="C182" s="5" t="s">
        <v>712</v>
      </c>
      <c r="D182" s="5" t="s">
        <v>713</v>
      </c>
      <c r="E182" s="5" t="s">
        <v>714</v>
      </c>
      <c r="F182" s="5" t="s">
        <v>715</v>
      </c>
      <c r="G182" s="7"/>
      <c r="H182" s="7"/>
      <c r="I182" s="7"/>
    </row>
    <row r="183" spans="1:9" x14ac:dyDescent="0.3">
      <c r="A183" s="7">
        <f>IF(B183&lt;&gt;"",SUBTOTAL(3,$C$4:C183))</f>
        <v>180</v>
      </c>
      <c r="B183" s="4">
        <v>180</v>
      </c>
      <c r="C183" s="5" t="s">
        <v>716</v>
      </c>
      <c r="D183" s="5" t="s">
        <v>717</v>
      </c>
      <c r="E183" s="5" t="s">
        <v>718</v>
      </c>
      <c r="F183" s="5" t="s">
        <v>719</v>
      </c>
      <c r="G183" s="7"/>
      <c r="H183" s="7"/>
      <c r="I183" s="7"/>
    </row>
    <row r="184" spans="1:9" x14ac:dyDescent="0.3">
      <c r="A184" s="7">
        <f>IF(B184&lt;&gt;"",SUBTOTAL(3,$C$4:C184))</f>
        <v>181</v>
      </c>
      <c r="B184" s="4">
        <v>181</v>
      </c>
      <c r="C184" s="5" t="s">
        <v>720</v>
      </c>
      <c r="D184" s="5" t="s">
        <v>721</v>
      </c>
      <c r="E184" s="5" t="s">
        <v>722</v>
      </c>
      <c r="F184" s="5" t="s">
        <v>723</v>
      </c>
      <c r="G184" s="7"/>
      <c r="H184" s="7"/>
      <c r="I184" s="7"/>
    </row>
    <row r="185" spans="1:9" x14ac:dyDescent="0.3">
      <c r="A185" s="7">
        <f>IF(B185&lt;&gt;"",SUBTOTAL(3,$C$4:C185))</f>
        <v>182</v>
      </c>
      <c r="B185" s="4">
        <v>182</v>
      </c>
      <c r="C185" s="5" t="s">
        <v>724</v>
      </c>
      <c r="D185" s="5" t="s">
        <v>725</v>
      </c>
      <c r="E185" s="5" t="s">
        <v>726</v>
      </c>
      <c r="F185" s="5" t="s">
        <v>727</v>
      </c>
      <c r="G185" s="7"/>
      <c r="H185" s="7"/>
      <c r="I185" s="7"/>
    </row>
    <row r="186" spans="1:9" x14ac:dyDescent="0.3">
      <c r="A186" s="7">
        <f>IF(B186&lt;&gt;"",SUBTOTAL(3,$C$4:C186))</f>
        <v>183</v>
      </c>
      <c r="B186" s="4">
        <v>183</v>
      </c>
      <c r="C186" s="5" t="s">
        <v>728</v>
      </c>
      <c r="D186" s="5" t="s">
        <v>729</v>
      </c>
      <c r="E186" s="5" t="s">
        <v>730</v>
      </c>
      <c r="F186" s="5" t="s">
        <v>731</v>
      </c>
      <c r="G186" s="7"/>
      <c r="H186" s="7"/>
      <c r="I186" s="7"/>
    </row>
    <row r="187" spans="1:9" x14ac:dyDescent="0.3">
      <c r="A187" s="7">
        <f>IF(B187&lt;&gt;"",SUBTOTAL(3,$C$4:C187))</f>
        <v>184</v>
      </c>
      <c r="B187" s="4">
        <v>184</v>
      </c>
      <c r="C187" s="5" t="s">
        <v>732</v>
      </c>
      <c r="D187" s="5" t="s">
        <v>733</v>
      </c>
      <c r="E187" s="5" t="s">
        <v>734</v>
      </c>
      <c r="F187" s="5" t="s">
        <v>735</v>
      </c>
      <c r="G187" s="8">
        <v>44368</v>
      </c>
      <c r="H187" s="7" t="s">
        <v>1212</v>
      </c>
      <c r="I187" s="7"/>
    </row>
    <row r="188" spans="1:9" x14ac:dyDescent="0.3">
      <c r="A188" s="7">
        <f>IF(B188&lt;&gt;"",SUBTOTAL(3,$C$4:C188))</f>
        <v>185</v>
      </c>
      <c r="B188" s="4">
        <v>185</v>
      </c>
      <c r="C188" s="5" t="s">
        <v>736</v>
      </c>
      <c r="D188" s="5" t="s">
        <v>737</v>
      </c>
      <c r="E188" s="5" t="s">
        <v>738</v>
      </c>
      <c r="F188" s="5" t="s">
        <v>739</v>
      </c>
      <c r="G188" s="7"/>
      <c r="H188" s="7"/>
      <c r="I188" s="7"/>
    </row>
    <row r="189" spans="1:9" x14ac:dyDescent="0.3">
      <c r="A189" s="7">
        <f>IF(B189&lt;&gt;"",SUBTOTAL(3,$C$4:C189))</f>
        <v>186</v>
      </c>
      <c r="B189" s="4">
        <v>186</v>
      </c>
      <c r="C189" s="5" t="s">
        <v>740</v>
      </c>
      <c r="D189" s="5" t="s">
        <v>741</v>
      </c>
      <c r="E189" s="5" t="s">
        <v>742</v>
      </c>
      <c r="F189" s="5" t="s">
        <v>743</v>
      </c>
      <c r="G189" s="7"/>
      <c r="H189" s="7"/>
      <c r="I189" s="7"/>
    </row>
    <row r="190" spans="1:9" x14ac:dyDescent="0.3">
      <c r="A190" s="7">
        <f>IF(B190&lt;&gt;"",SUBTOTAL(3,$C$4:C190))</f>
        <v>187</v>
      </c>
      <c r="B190" s="4">
        <v>187</v>
      </c>
      <c r="C190" s="5" t="s">
        <v>744</v>
      </c>
      <c r="D190" s="5" t="s">
        <v>745</v>
      </c>
      <c r="E190" s="5" t="s">
        <v>746</v>
      </c>
      <c r="F190" s="5" t="s">
        <v>747</v>
      </c>
      <c r="G190" s="8">
        <v>44358</v>
      </c>
      <c r="H190" s="7" t="str">
        <f>VLOOKUP(D190,[1]Sheet1!$H$245:$J$470,3,0)</f>
        <v xml:space="preserve">ĐL a Tĩnh </v>
      </c>
      <c r="I190" s="7"/>
    </row>
    <row r="191" spans="1:9" x14ac:dyDescent="0.3">
      <c r="A191" s="7">
        <f>IF(B191&lt;&gt;"",SUBTOTAL(3,$C$4:C191))</f>
        <v>188</v>
      </c>
      <c r="B191" s="4">
        <v>188</v>
      </c>
      <c r="C191" s="5" t="s">
        <v>748</v>
      </c>
      <c r="D191" s="5" t="s">
        <v>749</v>
      </c>
      <c r="E191" s="5" t="s">
        <v>750</v>
      </c>
      <c r="F191" s="5" t="s">
        <v>751</v>
      </c>
      <c r="G191" s="7"/>
      <c r="H191" s="7"/>
      <c r="I191" s="7"/>
    </row>
    <row r="192" spans="1:9" x14ac:dyDescent="0.3">
      <c r="A192" s="7">
        <f>IF(B192&lt;&gt;"",SUBTOTAL(3,$C$4:C192))</f>
        <v>189</v>
      </c>
      <c r="B192" s="4">
        <v>189</v>
      </c>
      <c r="C192" s="5" t="s">
        <v>752</v>
      </c>
      <c r="D192" s="5" t="s">
        <v>753</v>
      </c>
      <c r="E192" s="5" t="s">
        <v>754</v>
      </c>
      <c r="F192" s="5" t="s">
        <v>755</v>
      </c>
      <c r="G192" s="7"/>
      <c r="H192" s="7"/>
      <c r="I192" s="7"/>
    </row>
    <row r="193" spans="1:9" x14ac:dyDescent="0.3">
      <c r="A193" s="7">
        <f>IF(B193&lt;&gt;"",SUBTOTAL(3,$C$4:C193))</f>
        <v>190</v>
      </c>
      <c r="B193" s="4">
        <v>190</v>
      </c>
      <c r="C193" s="5" t="s">
        <v>756</v>
      </c>
      <c r="D193" s="5" t="s">
        <v>757</v>
      </c>
      <c r="E193" s="5" t="s">
        <v>758</v>
      </c>
      <c r="F193" s="5" t="s">
        <v>759</v>
      </c>
      <c r="G193" s="7"/>
      <c r="H193" s="7"/>
      <c r="I193" s="7"/>
    </row>
    <row r="194" spans="1:9" x14ac:dyDescent="0.3">
      <c r="A194" s="7">
        <f>IF(B194&lt;&gt;"",SUBTOTAL(3,$C$4:C194))</f>
        <v>191</v>
      </c>
      <c r="B194" s="4">
        <v>191</v>
      </c>
      <c r="C194" s="5" t="s">
        <v>760</v>
      </c>
      <c r="D194" s="5" t="s">
        <v>761</v>
      </c>
      <c r="E194" s="5" t="s">
        <v>762</v>
      </c>
      <c r="F194" s="5" t="s">
        <v>763</v>
      </c>
      <c r="G194" s="7"/>
      <c r="H194" s="7"/>
      <c r="I194" s="7"/>
    </row>
    <row r="195" spans="1:9" x14ac:dyDescent="0.3">
      <c r="A195" s="7">
        <f>IF(B195&lt;&gt;"",SUBTOTAL(3,$C$4:C195))</f>
        <v>192</v>
      </c>
      <c r="B195" s="4">
        <v>192</v>
      </c>
      <c r="C195" s="5" t="s">
        <v>764</v>
      </c>
      <c r="D195" s="5" t="s">
        <v>765</v>
      </c>
      <c r="E195" s="5" t="s">
        <v>766</v>
      </c>
      <c r="F195" s="5" t="s">
        <v>767</v>
      </c>
      <c r="G195" s="7"/>
      <c r="H195" s="7"/>
      <c r="I195" s="7"/>
    </row>
    <row r="196" spans="1:9" x14ac:dyDescent="0.3">
      <c r="A196" s="7">
        <f>IF(B196&lt;&gt;"",SUBTOTAL(3,$C$4:C196))</f>
        <v>193</v>
      </c>
      <c r="B196" s="4">
        <v>193</v>
      </c>
      <c r="C196" s="5" t="s">
        <v>768</v>
      </c>
      <c r="D196" s="5" t="s">
        <v>769</v>
      </c>
      <c r="E196" s="5" t="s">
        <v>770</v>
      </c>
      <c r="F196" s="5" t="s">
        <v>771</v>
      </c>
      <c r="G196" s="7"/>
      <c r="H196" s="7"/>
      <c r="I196" s="7"/>
    </row>
    <row r="197" spans="1:9" x14ac:dyDescent="0.3">
      <c r="A197" s="7">
        <f>IF(B197&lt;&gt;"",SUBTOTAL(3,$C$4:C197))</f>
        <v>194</v>
      </c>
      <c r="B197" s="4">
        <v>194</v>
      </c>
      <c r="C197" s="5" t="s">
        <v>772</v>
      </c>
      <c r="D197" s="5" t="s">
        <v>773</v>
      </c>
      <c r="E197" s="5" t="s">
        <v>774</v>
      </c>
      <c r="F197" s="5" t="s">
        <v>775</v>
      </c>
      <c r="G197" s="7"/>
      <c r="H197" s="7"/>
      <c r="I197" s="7"/>
    </row>
    <row r="198" spans="1:9" x14ac:dyDescent="0.3">
      <c r="A198" s="7">
        <f>IF(B198&lt;&gt;"",SUBTOTAL(3,$C$4:C198))</f>
        <v>195</v>
      </c>
      <c r="B198" s="4">
        <v>195</v>
      </c>
      <c r="C198" s="5" t="s">
        <v>776</v>
      </c>
      <c r="D198" s="5" t="s">
        <v>777</v>
      </c>
      <c r="E198" s="5" t="s">
        <v>778</v>
      </c>
      <c r="F198" s="5" t="s">
        <v>779</v>
      </c>
      <c r="G198" s="7"/>
      <c r="H198" s="7"/>
      <c r="I198" s="7"/>
    </row>
    <row r="199" spans="1:9" x14ac:dyDescent="0.3">
      <c r="A199" s="7">
        <f>IF(B199&lt;&gt;"",SUBTOTAL(3,$C$4:C199))</f>
        <v>196</v>
      </c>
      <c r="B199" s="4">
        <v>196</v>
      </c>
      <c r="C199" s="5" t="s">
        <v>780</v>
      </c>
      <c r="D199" s="5" t="s">
        <v>781</v>
      </c>
      <c r="E199" s="5" t="s">
        <v>782</v>
      </c>
      <c r="F199" s="5" t="s">
        <v>783</v>
      </c>
      <c r="G199" s="7"/>
      <c r="H199" s="7"/>
      <c r="I199" s="7"/>
    </row>
    <row r="200" spans="1:9" x14ac:dyDescent="0.3">
      <c r="A200" s="7">
        <f>IF(B200&lt;&gt;"",SUBTOTAL(3,$C$4:C200))</f>
        <v>197</v>
      </c>
      <c r="B200" s="4">
        <v>197</v>
      </c>
      <c r="C200" s="5" t="s">
        <v>784</v>
      </c>
      <c r="D200" s="5" t="s">
        <v>785</v>
      </c>
      <c r="E200" s="5" t="s">
        <v>786</v>
      </c>
      <c r="F200" s="5" t="s">
        <v>787</v>
      </c>
      <c r="G200" s="7"/>
      <c r="H200" s="7"/>
      <c r="I200" s="7"/>
    </row>
    <row r="201" spans="1:9" x14ac:dyDescent="0.3">
      <c r="A201" s="7">
        <f>IF(B201&lt;&gt;"",SUBTOTAL(3,$C$4:C201))</f>
        <v>198</v>
      </c>
      <c r="B201" s="4">
        <v>198</v>
      </c>
      <c r="C201" s="5" t="s">
        <v>788</v>
      </c>
      <c r="D201" s="5" t="s">
        <v>789</v>
      </c>
      <c r="E201" s="5" t="s">
        <v>790</v>
      </c>
      <c r="F201" s="5" t="s">
        <v>791</v>
      </c>
      <c r="G201" s="7"/>
      <c r="H201" s="7"/>
      <c r="I201" s="7"/>
    </row>
    <row r="202" spans="1:9" x14ac:dyDescent="0.3">
      <c r="A202" s="7">
        <f>IF(B202&lt;&gt;"",SUBTOTAL(3,$C$4:C202))</f>
        <v>199</v>
      </c>
      <c r="B202" s="4">
        <v>199</v>
      </c>
      <c r="C202" s="5" t="s">
        <v>792</v>
      </c>
      <c r="D202" s="5" t="s">
        <v>793</v>
      </c>
      <c r="E202" s="5" t="s">
        <v>794</v>
      </c>
      <c r="F202" s="5" t="s">
        <v>795</v>
      </c>
      <c r="G202" s="7"/>
      <c r="H202" s="7"/>
      <c r="I202" s="7"/>
    </row>
    <row r="203" spans="1:9" x14ac:dyDescent="0.3">
      <c r="A203" s="7">
        <f>IF(B203&lt;&gt;"",SUBTOTAL(3,$C$4:C203))</f>
        <v>200</v>
      </c>
      <c r="B203" s="4">
        <v>200</v>
      </c>
      <c r="C203" s="5" t="s">
        <v>796</v>
      </c>
      <c r="D203" s="5" t="s">
        <v>797</v>
      </c>
      <c r="E203" s="5" t="s">
        <v>798</v>
      </c>
      <c r="F203" s="5" t="s">
        <v>799</v>
      </c>
      <c r="G203" s="7"/>
      <c r="H203" s="7"/>
      <c r="I203" s="7"/>
    </row>
    <row r="204" spans="1:9" x14ac:dyDescent="0.3">
      <c r="A204" s="7">
        <f>IF(B204&lt;&gt;"",SUBTOTAL(3,$C$4:C204))</f>
        <v>201</v>
      </c>
      <c r="B204" s="4">
        <v>201</v>
      </c>
      <c r="C204" s="5" t="s">
        <v>800</v>
      </c>
      <c r="D204" s="5" t="s">
        <v>801</v>
      </c>
      <c r="E204" s="5" t="s">
        <v>802</v>
      </c>
      <c r="F204" s="5" t="s">
        <v>803</v>
      </c>
      <c r="G204" s="7"/>
      <c r="H204" s="7"/>
      <c r="I204" s="7"/>
    </row>
    <row r="205" spans="1:9" x14ac:dyDescent="0.3">
      <c r="A205" s="7">
        <f>IF(B205&lt;&gt;"",SUBTOTAL(3,$C$4:C205))</f>
        <v>202</v>
      </c>
      <c r="B205" s="4">
        <v>202</v>
      </c>
      <c r="C205" s="5" t="s">
        <v>804</v>
      </c>
      <c r="D205" s="5" t="s">
        <v>805</v>
      </c>
      <c r="E205" s="5" t="s">
        <v>806</v>
      </c>
      <c r="F205" s="5" t="s">
        <v>807</v>
      </c>
      <c r="G205" s="8">
        <v>44357</v>
      </c>
      <c r="H205" s="7" t="str">
        <f>VLOOKUP(D205,[1]Sheet1!$H$245:$J$470,3,0)</f>
        <v xml:space="preserve">ĐL a Tuấn Ninh Bình </v>
      </c>
      <c r="I205" s="7"/>
    </row>
    <row r="206" spans="1:9" x14ac:dyDescent="0.3">
      <c r="A206" s="7">
        <f>IF(B206&lt;&gt;"",SUBTOTAL(3,$C$4:C206))</f>
        <v>203</v>
      </c>
      <c r="B206" s="4">
        <v>203</v>
      </c>
      <c r="C206" s="5" t="s">
        <v>808</v>
      </c>
      <c r="D206" s="5" t="s">
        <v>809</v>
      </c>
      <c r="E206" s="5" t="s">
        <v>810</v>
      </c>
      <c r="F206" s="5" t="s">
        <v>811</v>
      </c>
      <c r="G206" s="7"/>
      <c r="H206" s="7"/>
      <c r="I206" s="7"/>
    </row>
    <row r="207" spans="1:9" x14ac:dyDescent="0.3">
      <c r="A207" s="7">
        <f>IF(B207&lt;&gt;"",SUBTOTAL(3,$C$4:C207))</f>
        <v>204</v>
      </c>
      <c r="B207" s="4">
        <v>204</v>
      </c>
      <c r="C207" s="5" t="s">
        <v>812</v>
      </c>
      <c r="D207" s="5" t="s">
        <v>813</v>
      </c>
      <c r="E207" s="5" t="s">
        <v>814</v>
      </c>
      <c r="F207" s="5" t="s">
        <v>815</v>
      </c>
      <c r="G207" s="7"/>
      <c r="H207" s="7"/>
      <c r="I207" s="7"/>
    </row>
    <row r="208" spans="1:9" x14ac:dyDescent="0.3">
      <c r="A208" s="7">
        <f>IF(B208&lt;&gt;"",SUBTOTAL(3,$C$4:C208))</f>
        <v>205</v>
      </c>
      <c r="B208" s="4">
        <v>205</v>
      </c>
      <c r="C208" s="5" t="s">
        <v>816</v>
      </c>
      <c r="D208" s="5" t="s">
        <v>817</v>
      </c>
      <c r="E208" s="5" t="s">
        <v>818</v>
      </c>
      <c r="F208" s="5" t="s">
        <v>819</v>
      </c>
      <c r="G208" s="8">
        <v>44358</v>
      </c>
      <c r="H208" s="7" t="str">
        <f>VLOOKUP(D208,[1]Sheet1!$H$245:$J$470,3,0)</f>
        <v xml:space="preserve">ĐL a Tĩnh </v>
      </c>
      <c r="I208" s="7"/>
    </row>
    <row r="209" spans="1:9" x14ac:dyDescent="0.3">
      <c r="A209" s="7">
        <f>IF(B209&lt;&gt;"",SUBTOTAL(3,$C$4:C209))</f>
        <v>206</v>
      </c>
      <c r="B209" s="4">
        <v>206</v>
      </c>
      <c r="C209" s="5" t="s">
        <v>820</v>
      </c>
      <c r="D209" s="5" t="s">
        <v>821</v>
      </c>
      <c r="E209" s="5" t="s">
        <v>822</v>
      </c>
      <c r="F209" s="5" t="s">
        <v>823</v>
      </c>
      <c r="G209" s="7"/>
      <c r="H209" s="7"/>
      <c r="I209" s="7"/>
    </row>
    <row r="210" spans="1:9" x14ac:dyDescent="0.3">
      <c r="A210" s="7">
        <f>IF(B210&lt;&gt;"",SUBTOTAL(3,$C$4:C210))</f>
        <v>207</v>
      </c>
      <c r="B210" s="4">
        <v>207</v>
      </c>
      <c r="C210" s="5" t="s">
        <v>824</v>
      </c>
      <c r="D210" s="5" t="s">
        <v>825</v>
      </c>
      <c r="E210" s="5" t="s">
        <v>826</v>
      </c>
      <c r="F210" s="5" t="s">
        <v>827</v>
      </c>
      <c r="G210" s="7"/>
      <c r="H210" s="7"/>
      <c r="I210" s="7"/>
    </row>
    <row r="211" spans="1:9" x14ac:dyDescent="0.3">
      <c r="A211" s="7">
        <f>IF(B211&lt;&gt;"",SUBTOTAL(3,$C$4:C211))</f>
        <v>208</v>
      </c>
      <c r="B211" s="4">
        <v>208</v>
      </c>
      <c r="C211" s="5" t="s">
        <v>828</v>
      </c>
      <c r="D211" s="5" t="s">
        <v>829</v>
      </c>
      <c r="E211" s="5" t="s">
        <v>830</v>
      </c>
      <c r="F211" s="5" t="s">
        <v>831</v>
      </c>
      <c r="G211" s="7"/>
      <c r="H211" s="7"/>
      <c r="I211" s="7"/>
    </row>
    <row r="212" spans="1:9" x14ac:dyDescent="0.3">
      <c r="A212" s="7">
        <f>IF(B212&lt;&gt;"",SUBTOTAL(3,$C$4:C212))</f>
        <v>209</v>
      </c>
      <c r="B212" s="4">
        <v>209</v>
      </c>
      <c r="C212" s="5" t="s">
        <v>832</v>
      </c>
      <c r="D212" s="5" t="s">
        <v>833</v>
      </c>
      <c r="E212" s="5" t="s">
        <v>834</v>
      </c>
      <c r="F212" s="5" t="s">
        <v>835</v>
      </c>
      <c r="G212" s="7"/>
      <c r="H212" s="7"/>
      <c r="I212" s="7"/>
    </row>
    <row r="213" spans="1:9" x14ac:dyDescent="0.3">
      <c r="A213" s="7">
        <f>IF(B213&lt;&gt;"",SUBTOTAL(3,$C$4:C213))</f>
        <v>210</v>
      </c>
      <c r="B213" s="4">
        <v>210</v>
      </c>
      <c r="C213" s="5" t="s">
        <v>836</v>
      </c>
      <c r="D213" s="5" t="s">
        <v>837</v>
      </c>
      <c r="E213" s="5" t="s">
        <v>838</v>
      </c>
      <c r="F213" s="5" t="s">
        <v>839</v>
      </c>
      <c r="G213" s="7"/>
      <c r="H213" s="7"/>
      <c r="I213" s="7"/>
    </row>
    <row r="214" spans="1:9" x14ac:dyDescent="0.3">
      <c r="A214" s="7">
        <f>IF(B214&lt;&gt;"",SUBTOTAL(3,$C$4:C214))</f>
        <v>211</v>
      </c>
      <c r="B214" s="4">
        <v>211</v>
      </c>
      <c r="C214" s="5" t="s">
        <v>840</v>
      </c>
      <c r="D214" s="5" t="s">
        <v>841</v>
      </c>
      <c r="E214" s="5" t="s">
        <v>842</v>
      </c>
      <c r="F214" s="5" t="s">
        <v>843</v>
      </c>
      <c r="G214" s="8">
        <v>44358</v>
      </c>
      <c r="H214" s="7" t="str">
        <f>VLOOKUP(D214,[1]Sheet1!$H$245:$J$470,3,0)</f>
        <v xml:space="preserve">ĐL a Tĩnh </v>
      </c>
      <c r="I214" s="7"/>
    </row>
    <row r="215" spans="1:9" x14ac:dyDescent="0.3">
      <c r="A215" s="7">
        <f>IF(B215&lt;&gt;"",SUBTOTAL(3,$C$4:C215))</f>
        <v>212</v>
      </c>
      <c r="B215" s="4">
        <v>212</v>
      </c>
      <c r="C215" s="5" t="s">
        <v>844</v>
      </c>
      <c r="D215" s="5" t="s">
        <v>845</v>
      </c>
      <c r="E215" s="5" t="s">
        <v>846</v>
      </c>
      <c r="F215" s="5" t="s">
        <v>847</v>
      </c>
      <c r="G215" s="8">
        <v>44358</v>
      </c>
      <c r="H215" s="7" t="str">
        <f>VLOOKUP(D215,[1]Sheet1!$H$245:$J$470,3,0)</f>
        <v xml:space="preserve">ĐL a Tĩnh </v>
      </c>
      <c r="I215" s="7"/>
    </row>
    <row r="216" spans="1:9" x14ac:dyDescent="0.3">
      <c r="A216" s="7">
        <f>IF(B216&lt;&gt;"",SUBTOTAL(3,$C$4:C216))</f>
        <v>213</v>
      </c>
      <c r="B216" s="4">
        <v>213</v>
      </c>
      <c r="C216" s="5" t="s">
        <v>848</v>
      </c>
      <c r="D216" s="5" t="s">
        <v>849</v>
      </c>
      <c r="E216" s="5" t="s">
        <v>850</v>
      </c>
      <c r="F216" s="5" t="s">
        <v>851</v>
      </c>
      <c r="G216" s="7"/>
      <c r="H216" s="7"/>
      <c r="I216" s="7"/>
    </row>
    <row r="217" spans="1:9" x14ac:dyDescent="0.3">
      <c r="A217" s="7">
        <f>IF(B217&lt;&gt;"",SUBTOTAL(3,$C$4:C217))</f>
        <v>214</v>
      </c>
      <c r="B217" s="4">
        <v>214</v>
      </c>
      <c r="C217" s="5" t="s">
        <v>852</v>
      </c>
      <c r="D217" s="5" t="s">
        <v>853</v>
      </c>
      <c r="E217" s="5" t="s">
        <v>854</v>
      </c>
      <c r="F217" s="5" t="s">
        <v>855</v>
      </c>
      <c r="G217" s="7"/>
      <c r="H217" s="7"/>
      <c r="I217" s="7"/>
    </row>
    <row r="218" spans="1:9" x14ac:dyDescent="0.3">
      <c r="A218" s="7">
        <f>IF(B218&lt;&gt;"",SUBTOTAL(3,$C$4:C218))</f>
        <v>215</v>
      </c>
      <c r="B218" s="4">
        <v>215</v>
      </c>
      <c r="C218" s="5" t="s">
        <v>856</v>
      </c>
      <c r="D218" s="5" t="s">
        <v>857</v>
      </c>
      <c r="E218" s="5" t="s">
        <v>858</v>
      </c>
      <c r="F218" s="5" t="s">
        <v>859</v>
      </c>
      <c r="G218" s="7"/>
      <c r="H218" s="7"/>
      <c r="I218" s="7"/>
    </row>
    <row r="219" spans="1:9" x14ac:dyDescent="0.3">
      <c r="A219" s="7">
        <f>IF(B219&lt;&gt;"",SUBTOTAL(3,$C$4:C219))</f>
        <v>216</v>
      </c>
      <c r="B219" s="4">
        <v>216</v>
      </c>
      <c r="C219" s="5" t="s">
        <v>860</v>
      </c>
      <c r="D219" s="5" t="s">
        <v>861</v>
      </c>
      <c r="E219" s="5" t="s">
        <v>862</v>
      </c>
      <c r="F219" s="5" t="s">
        <v>863</v>
      </c>
      <c r="G219" s="7"/>
      <c r="H219" s="7"/>
      <c r="I219" s="7"/>
    </row>
    <row r="220" spans="1:9" x14ac:dyDescent="0.3">
      <c r="A220" s="7">
        <f>IF(B220&lt;&gt;"",SUBTOTAL(3,$C$4:C220))</f>
        <v>217</v>
      </c>
      <c r="B220" s="4">
        <v>217</v>
      </c>
      <c r="C220" s="5" t="s">
        <v>864</v>
      </c>
      <c r="D220" s="5" t="s">
        <v>865</v>
      </c>
      <c r="E220" s="5" t="s">
        <v>866</v>
      </c>
      <c r="F220" s="5" t="s">
        <v>867</v>
      </c>
      <c r="G220" s="7"/>
      <c r="H220" s="7"/>
      <c r="I220" s="7"/>
    </row>
    <row r="221" spans="1:9" x14ac:dyDescent="0.3">
      <c r="A221" s="7">
        <f>IF(B221&lt;&gt;"",SUBTOTAL(3,$C$4:C221))</f>
        <v>218</v>
      </c>
      <c r="B221" s="4">
        <v>218</v>
      </c>
      <c r="C221" s="5" t="s">
        <v>868</v>
      </c>
      <c r="D221" s="5" t="s">
        <v>869</v>
      </c>
      <c r="E221" s="5" t="s">
        <v>870</v>
      </c>
      <c r="F221" s="5" t="s">
        <v>871</v>
      </c>
      <c r="G221" s="8">
        <v>44358</v>
      </c>
      <c r="H221" s="7" t="str">
        <f>VLOOKUP(D221,[1]Sheet1!$H$245:$J$470,3,0)</f>
        <v xml:space="preserve">ĐL a Tĩnh </v>
      </c>
      <c r="I221" s="7"/>
    </row>
    <row r="222" spans="1:9" x14ac:dyDescent="0.3">
      <c r="A222" s="7">
        <f>IF(B222&lt;&gt;"",SUBTOTAL(3,$C$4:C222))</f>
        <v>219</v>
      </c>
      <c r="B222" s="4">
        <v>219</v>
      </c>
      <c r="C222" s="5" t="s">
        <v>872</v>
      </c>
      <c r="D222" s="5" t="s">
        <v>873</v>
      </c>
      <c r="E222" s="5" t="s">
        <v>874</v>
      </c>
      <c r="F222" s="5" t="s">
        <v>875</v>
      </c>
      <c r="G222" s="8">
        <v>44358</v>
      </c>
      <c r="H222" s="7" t="str">
        <f>VLOOKUP(D222,[1]Sheet1!$H$245:$J$470,3,0)</f>
        <v xml:space="preserve">ĐL a Tĩnh </v>
      </c>
      <c r="I222" s="7"/>
    </row>
    <row r="223" spans="1:9" x14ac:dyDescent="0.3">
      <c r="A223" s="7">
        <f>IF(B223&lt;&gt;"",SUBTOTAL(3,$C$4:C223))</f>
        <v>220</v>
      </c>
      <c r="B223" s="4">
        <v>220</v>
      </c>
      <c r="C223" s="5" t="s">
        <v>876</v>
      </c>
      <c r="D223" s="5" t="s">
        <v>877</v>
      </c>
      <c r="E223" s="5" t="s">
        <v>878</v>
      </c>
      <c r="F223" s="5" t="s">
        <v>879</v>
      </c>
      <c r="G223" s="7"/>
      <c r="H223" s="7"/>
      <c r="I223" s="7"/>
    </row>
    <row r="224" spans="1:9" x14ac:dyDescent="0.3">
      <c r="A224" s="7">
        <f>IF(B224&lt;&gt;"",SUBTOTAL(3,$C$4:C224))</f>
        <v>221</v>
      </c>
      <c r="B224" s="4">
        <v>221</v>
      </c>
      <c r="C224" s="5" t="s">
        <v>880</v>
      </c>
      <c r="D224" s="5" t="s">
        <v>881</v>
      </c>
      <c r="E224" s="5" t="s">
        <v>882</v>
      </c>
      <c r="F224" s="5" t="s">
        <v>883</v>
      </c>
      <c r="G224" s="7"/>
      <c r="H224" s="7"/>
      <c r="I224" s="7"/>
    </row>
    <row r="225" spans="1:9" x14ac:dyDescent="0.3">
      <c r="A225" s="7">
        <f>IF(B225&lt;&gt;"",SUBTOTAL(3,$C$4:C225))</f>
        <v>222</v>
      </c>
      <c r="B225" s="4">
        <v>222</v>
      </c>
      <c r="C225" s="5" t="s">
        <v>884</v>
      </c>
      <c r="D225" s="5" t="s">
        <v>885</v>
      </c>
      <c r="E225" s="5" t="s">
        <v>886</v>
      </c>
      <c r="F225" s="5" t="s">
        <v>887</v>
      </c>
      <c r="G225" s="7"/>
      <c r="H225" s="7"/>
      <c r="I225" s="7"/>
    </row>
    <row r="226" spans="1:9" x14ac:dyDescent="0.3">
      <c r="A226" s="7">
        <f>IF(B226&lt;&gt;"",SUBTOTAL(3,$C$4:C226))</f>
        <v>223</v>
      </c>
      <c r="B226" s="4">
        <v>223</v>
      </c>
      <c r="C226" s="5" t="s">
        <v>888</v>
      </c>
      <c r="D226" s="5" t="s">
        <v>889</v>
      </c>
      <c r="E226" s="5" t="s">
        <v>890</v>
      </c>
      <c r="F226" s="5" t="s">
        <v>891</v>
      </c>
      <c r="G226" s="7"/>
      <c r="H226" s="7"/>
      <c r="I226" s="7"/>
    </row>
    <row r="227" spans="1:9" x14ac:dyDescent="0.3">
      <c r="A227" s="7">
        <f>IF(B227&lt;&gt;"",SUBTOTAL(3,$C$4:C227))</f>
        <v>224</v>
      </c>
      <c r="B227" s="4">
        <v>224</v>
      </c>
      <c r="C227" s="5" t="s">
        <v>892</v>
      </c>
      <c r="D227" s="5" t="s">
        <v>893</v>
      </c>
      <c r="E227" s="5" t="s">
        <v>894</v>
      </c>
      <c r="F227" s="5" t="s">
        <v>895</v>
      </c>
      <c r="G227" s="8">
        <v>44358</v>
      </c>
      <c r="H227" s="7" t="str">
        <f>VLOOKUP(D227,[1]Sheet1!$H$245:$J$470,3,0)</f>
        <v xml:space="preserve">ĐL a Tĩnh </v>
      </c>
      <c r="I227" s="7"/>
    </row>
    <row r="228" spans="1:9" x14ac:dyDescent="0.3">
      <c r="A228" s="7">
        <f>IF(B228&lt;&gt;"",SUBTOTAL(3,$C$4:C228))</f>
        <v>225</v>
      </c>
      <c r="B228" s="4">
        <v>225</v>
      </c>
      <c r="C228" s="5" t="s">
        <v>896</v>
      </c>
      <c r="D228" s="5" t="s">
        <v>897</v>
      </c>
      <c r="E228" s="5" t="s">
        <v>898</v>
      </c>
      <c r="F228" s="5" t="s">
        <v>899</v>
      </c>
      <c r="G228" s="7"/>
      <c r="H228" s="7"/>
      <c r="I228" s="7"/>
    </row>
    <row r="229" spans="1:9" x14ac:dyDescent="0.3">
      <c r="A229" s="7">
        <f>IF(B229&lt;&gt;"",SUBTOTAL(3,$C$4:C229))</f>
        <v>226</v>
      </c>
      <c r="B229" s="4">
        <v>226</v>
      </c>
      <c r="C229" s="5" t="s">
        <v>900</v>
      </c>
      <c r="D229" s="5" t="s">
        <v>901</v>
      </c>
      <c r="E229" s="5" t="s">
        <v>902</v>
      </c>
      <c r="F229" s="5" t="s">
        <v>903</v>
      </c>
      <c r="G229" s="7"/>
      <c r="H229" s="7"/>
      <c r="I229" s="7"/>
    </row>
    <row r="230" spans="1:9" x14ac:dyDescent="0.3">
      <c r="A230" s="7">
        <f>IF(B230&lt;&gt;"",SUBTOTAL(3,$C$4:C230))</f>
        <v>227</v>
      </c>
      <c r="B230" s="4">
        <v>227</v>
      </c>
      <c r="C230" s="5" t="s">
        <v>904</v>
      </c>
      <c r="D230" s="5" t="s">
        <v>905</v>
      </c>
      <c r="E230" s="5" t="s">
        <v>906</v>
      </c>
      <c r="F230" s="5" t="s">
        <v>907</v>
      </c>
      <c r="G230" s="7"/>
      <c r="H230" s="7"/>
      <c r="I230" s="7"/>
    </row>
    <row r="231" spans="1:9" x14ac:dyDescent="0.3">
      <c r="A231" s="7">
        <f>IF(B231&lt;&gt;"",SUBTOTAL(3,$C$4:C231))</f>
        <v>228</v>
      </c>
      <c r="B231" s="4">
        <v>228</v>
      </c>
      <c r="C231" s="5" t="s">
        <v>908</v>
      </c>
      <c r="D231" s="5" t="s">
        <v>909</v>
      </c>
      <c r="E231" s="5" t="s">
        <v>910</v>
      </c>
      <c r="F231" s="5" t="s">
        <v>911</v>
      </c>
      <c r="G231" s="8">
        <v>44358</v>
      </c>
      <c r="H231" s="7" t="str">
        <f>VLOOKUP(D231,[1]Sheet1!$H$245:$J$470,3,0)</f>
        <v>Định vị 5s</v>
      </c>
      <c r="I231" s="7"/>
    </row>
    <row r="232" spans="1:9" x14ac:dyDescent="0.3">
      <c r="A232" s="7">
        <f>IF(B232&lt;&gt;"",SUBTOTAL(3,$C$4:C232))</f>
        <v>229</v>
      </c>
      <c r="B232" s="4">
        <v>229</v>
      </c>
      <c r="C232" s="5" t="s">
        <v>912</v>
      </c>
      <c r="D232" s="5" t="s">
        <v>913</v>
      </c>
      <c r="E232" s="5" t="s">
        <v>914</v>
      </c>
      <c r="F232" s="5" t="s">
        <v>915</v>
      </c>
      <c r="G232" s="7"/>
      <c r="H232" s="7"/>
      <c r="I232" s="7"/>
    </row>
    <row r="233" spans="1:9" x14ac:dyDescent="0.3">
      <c r="A233" s="7">
        <f>IF(B233&lt;&gt;"",SUBTOTAL(3,$C$4:C233))</f>
        <v>230</v>
      </c>
      <c r="B233" s="4">
        <v>230</v>
      </c>
      <c r="C233" s="5" t="s">
        <v>916</v>
      </c>
      <c r="D233" s="5" t="s">
        <v>917</v>
      </c>
      <c r="E233" s="5" t="s">
        <v>918</v>
      </c>
      <c r="F233" s="5" t="s">
        <v>919</v>
      </c>
      <c r="G233" s="7"/>
      <c r="H233" s="7"/>
      <c r="I233" s="7"/>
    </row>
    <row r="234" spans="1:9" x14ac:dyDescent="0.3">
      <c r="A234" s="7">
        <f>IF(B234&lt;&gt;"",SUBTOTAL(3,$C$4:C234))</f>
        <v>231</v>
      </c>
      <c r="B234" s="4">
        <v>231</v>
      </c>
      <c r="C234" s="5" t="s">
        <v>920</v>
      </c>
      <c r="D234" s="5" t="s">
        <v>921</v>
      </c>
      <c r="E234" s="5" t="s">
        <v>922</v>
      </c>
      <c r="F234" s="5" t="s">
        <v>923</v>
      </c>
      <c r="G234" s="7"/>
      <c r="H234" s="7"/>
      <c r="I234" s="7"/>
    </row>
    <row r="235" spans="1:9" x14ac:dyDescent="0.3">
      <c r="A235" s="7">
        <f>IF(B235&lt;&gt;"",SUBTOTAL(3,$C$4:C235))</f>
        <v>232</v>
      </c>
      <c r="B235" s="4">
        <v>232</v>
      </c>
      <c r="C235" s="5" t="s">
        <v>924</v>
      </c>
      <c r="D235" s="5" t="s">
        <v>925</v>
      </c>
      <c r="E235" s="5" t="s">
        <v>926</v>
      </c>
      <c r="F235" s="5" t="s">
        <v>927</v>
      </c>
      <c r="G235" s="8">
        <v>44358</v>
      </c>
      <c r="H235" s="7" t="str">
        <f>VLOOKUP(D235,[1]Sheet1!$H$245:$J$470,3,0)</f>
        <v xml:space="preserve">ĐL a Tĩnh </v>
      </c>
      <c r="I235" s="7"/>
    </row>
    <row r="236" spans="1:9" x14ac:dyDescent="0.3">
      <c r="A236" s="7">
        <f>IF(B236&lt;&gt;"",SUBTOTAL(3,$C$4:C236))</f>
        <v>233</v>
      </c>
      <c r="B236" s="4">
        <v>233</v>
      </c>
      <c r="C236" s="5" t="s">
        <v>928</v>
      </c>
      <c r="D236" s="5" t="s">
        <v>929</v>
      </c>
      <c r="E236" s="5" t="s">
        <v>930</v>
      </c>
      <c r="F236" s="5" t="s">
        <v>931</v>
      </c>
      <c r="G236" s="7"/>
      <c r="H236" s="7"/>
      <c r="I236" s="7"/>
    </row>
    <row r="237" spans="1:9" x14ac:dyDescent="0.3">
      <c r="A237" s="7">
        <f>IF(B237&lt;&gt;"",SUBTOTAL(3,$C$4:C237))</f>
        <v>234</v>
      </c>
      <c r="B237" s="4">
        <v>234</v>
      </c>
      <c r="C237" s="5" t="s">
        <v>932</v>
      </c>
      <c r="D237" s="5" t="s">
        <v>933</v>
      </c>
      <c r="E237" s="5" t="s">
        <v>934</v>
      </c>
      <c r="F237" s="5" t="s">
        <v>935</v>
      </c>
      <c r="G237" s="7"/>
      <c r="H237" s="7"/>
      <c r="I237" s="7"/>
    </row>
    <row r="238" spans="1:9" x14ac:dyDescent="0.3">
      <c r="A238" s="7">
        <f>IF(B238&lt;&gt;"",SUBTOTAL(3,$C$4:C238))</f>
        <v>235</v>
      </c>
      <c r="B238" s="4">
        <v>235</v>
      </c>
      <c r="C238" s="5" t="s">
        <v>936</v>
      </c>
      <c r="D238" s="5" t="s">
        <v>937</v>
      </c>
      <c r="E238" s="5" t="s">
        <v>938</v>
      </c>
      <c r="F238" s="5" t="s">
        <v>939</v>
      </c>
      <c r="G238" s="7"/>
      <c r="H238" s="7"/>
      <c r="I238" s="7"/>
    </row>
    <row r="239" spans="1:9" x14ac:dyDescent="0.3">
      <c r="A239" s="7">
        <f>IF(B239&lt;&gt;"",SUBTOTAL(3,$C$4:C239))</f>
        <v>236</v>
      </c>
      <c r="B239" s="4">
        <v>236</v>
      </c>
      <c r="C239" s="5" t="s">
        <v>940</v>
      </c>
      <c r="D239" s="5" t="s">
        <v>941</v>
      </c>
      <c r="E239" s="5" t="s">
        <v>942</v>
      </c>
      <c r="F239" s="5" t="s">
        <v>943</v>
      </c>
      <c r="G239" s="7"/>
      <c r="H239" s="7"/>
      <c r="I239" s="7"/>
    </row>
    <row r="240" spans="1:9" x14ac:dyDescent="0.3">
      <c r="A240" s="7">
        <f>IF(B240&lt;&gt;"",SUBTOTAL(3,$C$4:C240))</f>
        <v>237</v>
      </c>
      <c r="B240" s="4">
        <v>237</v>
      </c>
      <c r="C240" s="5" t="s">
        <v>944</v>
      </c>
      <c r="D240" s="5" t="s">
        <v>945</v>
      </c>
      <c r="E240" s="5" t="s">
        <v>946</v>
      </c>
      <c r="F240" s="5" t="s">
        <v>947</v>
      </c>
      <c r="G240" s="7"/>
      <c r="H240" s="7"/>
      <c r="I240" s="7"/>
    </row>
    <row r="241" spans="1:9" x14ac:dyDescent="0.3">
      <c r="A241" s="7">
        <f>IF(B241&lt;&gt;"",SUBTOTAL(3,$C$4:C241))</f>
        <v>238</v>
      </c>
      <c r="B241" s="4">
        <v>238</v>
      </c>
      <c r="C241" s="5" t="s">
        <v>948</v>
      </c>
      <c r="D241" s="5" t="s">
        <v>949</v>
      </c>
      <c r="E241" s="5" t="s">
        <v>950</v>
      </c>
      <c r="F241" s="5" t="s">
        <v>951</v>
      </c>
      <c r="G241" s="8">
        <v>44358</v>
      </c>
      <c r="H241" s="7" t="str">
        <f>VLOOKUP(D241,[1]Sheet1!$H$245:$J$470,3,0)</f>
        <v xml:space="preserve">ĐL a Tĩnh </v>
      </c>
      <c r="I241" s="7"/>
    </row>
    <row r="242" spans="1:9" x14ac:dyDescent="0.3">
      <c r="A242" s="7">
        <f>IF(B242&lt;&gt;"",SUBTOTAL(3,$C$4:C242))</f>
        <v>239</v>
      </c>
      <c r="B242" s="4">
        <v>239</v>
      </c>
      <c r="C242" s="5" t="s">
        <v>952</v>
      </c>
      <c r="D242" s="5" t="s">
        <v>953</v>
      </c>
      <c r="E242" s="5" t="s">
        <v>954</v>
      </c>
      <c r="F242" s="5" t="s">
        <v>955</v>
      </c>
      <c r="G242" s="8">
        <v>44358</v>
      </c>
      <c r="H242" s="7" t="str">
        <f>VLOOKUP(D242,[1]Sheet1!$H$245:$J$470,3,0)</f>
        <v xml:space="preserve">ĐL a Tĩnh </v>
      </c>
      <c r="I242" s="7"/>
    </row>
    <row r="243" spans="1:9" x14ac:dyDescent="0.3">
      <c r="A243" s="7">
        <f>IF(B243&lt;&gt;"",SUBTOTAL(3,$C$4:C243))</f>
        <v>240</v>
      </c>
      <c r="B243" s="4">
        <v>240</v>
      </c>
      <c r="C243" s="5" t="s">
        <v>956</v>
      </c>
      <c r="D243" s="5" t="s">
        <v>957</v>
      </c>
      <c r="E243" s="5" t="s">
        <v>958</v>
      </c>
      <c r="F243" s="5" t="s">
        <v>959</v>
      </c>
      <c r="G243" s="7"/>
      <c r="H243" s="7"/>
      <c r="I243" s="7"/>
    </row>
    <row r="244" spans="1:9" x14ac:dyDescent="0.3">
      <c r="A244" s="7">
        <f>IF(B244&lt;&gt;"",SUBTOTAL(3,$C$4:C244))</f>
        <v>241</v>
      </c>
      <c r="B244" s="4">
        <v>241</v>
      </c>
      <c r="C244" s="5" t="s">
        <v>960</v>
      </c>
      <c r="D244" s="5" t="s">
        <v>961</v>
      </c>
      <c r="E244" s="5" t="s">
        <v>962</v>
      </c>
      <c r="F244" s="5" t="s">
        <v>963</v>
      </c>
      <c r="G244" s="8">
        <v>44358</v>
      </c>
      <c r="H244" s="7" t="str">
        <f>VLOOKUP(D244,[1]Sheet1!$H$245:$J$470,3,0)</f>
        <v xml:space="preserve">ĐL a Tĩnh </v>
      </c>
      <c r="I244" s="7"/>
    </row>
    <row r="245" spans="1:9" x14ac:dyDescent="0.3">
      <c r="A245" s="7">
        <f>IF(B245&lt;&gt;"",SUBTOTAL(3,$C$4:C245))</f>
        <v>242</v>
      </c>
      <c r="B245" s="4">
        <v>242</v>
      </c>
      <c r="C245" s="5" t="s">
        <v>964</v>
      </c>
      <c r="D245" s="5" t="s">
        <v>965</v>
      </c>
      <c r="E245" s="5" t="s">
        <v>966</v>
      </c>
      <c r="F245" s="5" t="s">
        <v>967</v>
      </c>
      <c r="G245" s="7"/>
      <c r="H245" s="7"/>
      <c r="I245" s="7"/>
    </row>
    <row r="246" spans="1:9" x14ac:dyDescent="0.3">
      <c r="A246" s="7">
        <f>IF(B246&lt;&gt;"",SUBTOTAL(3,$C$4:C246))</f>
        <v>243</v>
      </c>
      <c r="B246" s="4">
        <v>243</v>
      </c>
      <c r="C246" s="5" t="s">
        <v>968</v>
      </c>
      <c r="D246" s="5" t="s">
        <v>969</v>
      </c>
      <c r="E246" s="5" t="s">
        <v>970</v>
      </c>
      <c r="F246" s="5" t="s">
        <v>971</v>
      </c>
      <c r="G246" s="8">
        <v>44358</v>
      </c>
      <c r="H246" s="7" t="str">
        <f>VLOOKUP(D246,[1]Sheet1!$H$245:$J$470,3,0)</f>
        <v xml:space="preserve">ĐL a Tĩnh </v>
      </c>
      <c r="I246" s="7"/>
    </row>
    <row r="247" spans="1:9" x14ac:dyDescent="0.3">
      <c r="A247" s="7">
        <f>IF(B247&lt;&gt;"",SUBTOTAL(3,$C$4:C247))</f>
        <v>244</v>
      </c>
      <c r="B247" s="4">
        <v>244</v>
      </c>
      <c r="C247" s="5" t="s">
        <v>972</v>
      </c>
      <c r="D247" s="5" t="s">
        <v>973</v>
      </c>
      <c r="E247" s="5" t="s">
        <v>974</v>
      </c>
      <c r="F247" s="5" t="s">
        <v>975</v>
      </c>
      <c r="G247" s="8">
        <v>44358</v>
      </c>
      <c r="H247" s="7" t="str">
        <f>VLOOKUP(D247,[1]Sheet1!$H$245:$J$470,3,0)</f>
        <v xml:space="preserve">ĐL a Tĩnh </v>
      </c>
      <c r="I247" s="7"/>
    </row>
    <row r="248" spans="1:9" x14ac:dyDescent="0.3">
      <c r="A248" s="7">
        <f>IF(B248&lt;&gt;"",SUBTOTAL(3,$C$4:C248))</f>
        <v>245</v>
      </c>
      <c r="B248" s="4">
        <v>245</v>
      </c>
      <c r="C248" s="5" t="s">
        <v>976</v>
      </c>
      <c r="D248" s="5" t="s">
        <v>977</v>
      </c>
      <c r="E248" s="5" t="s">
        <v>978</v>
      </c>
      <c r="F248" s="5" t="s">
        <v>979</v>
      </c>
      <c r="G248" s="7"/>
      <c r="H248" s="7"/>
      <c r="I248" s="7"/>
    </row>
    <row r="249" spans="1:9" x14ac:dyDescent="0.3">
      <c r="A249" s="7">
        <f>IF(B249&lt;&gt;"",SUBTOTAL(3,$C$4:C249))</f>
        <v>246</v>
      </c>
      <c r="B249" s="4">
        <v>246</v>
      </c>
      <c r="C249" s="5" t="s">
        <v>980</v>
      </c>
      <c r="D249" s="5" t="s">
        <v>981</v>
      </c>
      <c r="E249" s="5" t="s">
        <v>982</v>
      </c>
      <c r="F249" s="5" t="s">
        <v>983</v>
      </c>
      <c r="G249" s="8">
        <v>44358</v>
      </c>
      <c r="H249" s="7" t="str">
        <f>VLOOKUP(D249,[1]Sheet1!$H$245:$J$470,3,0)</f>
        <v xml:space="preserve">ĐL a Tĩnh </v>
      </c>
      <c r="I249" s="7"/>
    </row>
    <row r="250" spans="1:9" x14ac:dyDescent="0.3">
      <c r="A250" s="7">
        <f>IF(B250&lt;&gt;"",SUBTOTAL(3,$C$4:C250))</f>
        <v>247</v>
      </c>
      <c r="B250" s="4">
        <v>247</v>
      </c>
      <c r="C250" s="5" t="s">
        <v>984</v>
      </c>
      <c r="D250" s="5" t="s">
        <v>985</v>
      </c>
      <c r="E250" s="5" t="s">
        <v>986</v>
      </c>
      <c r="F250" s="5" t="s">
        <v>987</v>
      </c>
      <c r="G250" s="7"/>
      <c r="H250" s="7"/>
      <c r="I250" s="7"/>
    </row>
    <row r="251" spans="1:9" x14ac:dyDescent="0.3">
      <c r="A251" s="7">
        <f>IF(B251&lt;&gt;"",SUBTOTAL(3,$C$4:C251))</f>
        <v>248</v>
      </c>
      <c r="B251" s="4">
        <v>248</v>
      </c>
      <c r="C251" s="5" t="s">
        <v>988</v>
      </c>
      <c r="D251" s="5" t="s">
        <v>989</v>
      </c>
      <c r="E251" s="5" t="s">
        <v>990</v>
      </c>
      <c r="F251" s="5" t="s">
        <v>991</v>
      </c>
      <c r="G251" s="7"/>
      <c r="H251" s="7"/>
      <c r="I251" s="7"/>
    </row>
    <row r="252" spans="1:9" x14ac:dyDescent="0.3">
      <c r="A252" s="7">
        <f>IF(B252&lt;&gt;"",SUBTOTAL(3,$C$4:C252))</f>
        <v>249</v>
      </c>
      <c r="B252" s="4">
        <v>249</v>
      </c>
      <c r="C252" s="5" t="s">
        <v>992</v>
      </c>
      <c r="D252" s="5" t="s">
        <v>993</v>
      </c>
      <c r="E252" s="5" t="s">
        <v>994</v>
      </c>
      <c r="F252" s="5" t="s">
        <v>995</v>
      </c>
      <c r="G252" s="7"/>
      <c r="H252" s="7"/>
      <c r="I252" s="7"/>
    </row>
    <row r="253" spans="1:9" x14ac:dyDescent="0.3">
      <c r="A253" s="7">
        <f>IF(B253&lt;&gt;"",SUBTOTAL(3,$C$4:C253))</f>
        <v>250</v>
      </c>
      <c r="B253" s="4">
        <v>250</v>
      </c>
      <c r="C253" s="5" t="s">
        <v>996</v>
      </c>
      <c r="D253" s="5" t="s">
        <v>997</v>
      </c>
      <c r="E253" s="5" t="s">
        <v>998</v>
      </c>
      <c r="F253" s="5" t="s">
        <v>999</v>
      </c>
      <c r="G253" s="7"/>
      <c r="H253" s="7"/>
      <c r="I253" s="7"/>
    </row>
    <row r="254" spans="1:9" x14ac:dyDescent="0.3">
      <c r="A254" s="7">
        <f>IF(B254&lt;&gt;"",SUBTOTAL(3,$C$4:C254))</f>
        <v>251</v>
      </c>
      <c r="B254" s="4">
        <v>251</v>
      </c>
      <c r="C254" s="5" t="s">
        <v>1000</v>
      </c>
      <c r="D254" s="5" t="s">
        <v>1001</v>
      </c>
      <c r="E254" s="5" t="s">
        <v>1002</v>
      </c>
      <c r="F254" s="5" t="s">
        <v>1003</v>
      </c>
      <c r="G254" s="7"/>
      <c r="H254" s="7"/>
      <c r="I254" s="7"/>
    </row>
    <row r="255" spans="1:9" x14ac:dyDescent="0.3">
      <c r="A255" s="7">
        <f>IF(B255&lt;&gt;"",SUBTOTAL(3,$C$4:C255))</f>
        <v>252</v>
      </c>
      <c r="B255" s="4">
        <v>252</v>
      </c>
      <c r="C255" s="5" t="s">
        <v>1004</v>
      </c>
      <c r="D255" s="5" t="s">
        <v>1005</v>
      </c>
      <c r="E255" s="5" t="s">
        <v>1006</v>
      </c>
      <c r="F255" s="5" t="s">
        <v>1007</v>
      </c>
      <c r="G255" s="7"/>
      <c r="H255" s="7"/>
      <c r="I255" s="7"/>
    </row>
    <row r="256" spans="1:9" x14ac:dyDescent="0.3">
      <c r="A256" s="7">
        <f>IF(B256&lt;&gt;"",SUBTOTAL(3,$C$4:C256))</f>
        <v>253</v>
      </c>
      <c r="B256" s="4">
        <v>253</v>
      </c>
      <c r="C256" s="5" t="s">
        <v>1008</v>
      </c>
      <c r="D256" s="5" t="s">
        <v>1009</v>
      </c>
      <c r="E256" s="5" t="s">
        <v>1010</v>
      </c>
      <c r="F256" s="5" t="s">
        <v>1011</v>
      </c>
      <c r="G256" s="7"/>
      <c r="H256" s="7"/>
      <c r="I256" s="7"/>
    </row>
    <row r="257" spans="1:9" x14ac:dyDescent="0.3">
      <c r="A257" s="7">
        <f>IF(B257&lt;&gt;"",SUBTOTAL(3,$C$4:C257))</f>
        <v>254</v>
      </c>
      <c r="B257" s="4">
        <v>254</v>
      </c>
      <c r="C257" s="5" t="s">
        <v>1012</v>
      </c>
      <c r="D257" s="5" t="s">
        <v>1013</v>
      </c>
      <c r="E257" s="5" t="s">
        <v>1014</v>
      </c>
      <c r="F257" s="5" t="s">
        <v>1015</v>
      </c>
      <c r="G257" s="7"/>
      <c r="H257" s="7"/>
      <c r="I257" s="7"/>
    </row>
    <row r="258" spans="1:9" x14ac:dyDescent="0.3">
      <c r="A258" s="7">
        <f>IF(B258&lt;&gt;"",SUBTOTAL(3,$C$4:C258))</f>
        <v>255</v>
      </c>
      <c r="B258" s="4">
        <v>255</v>
      </c>
      <c r="C258" s="5" t="s">
        <v>1016</v>
      </c>
      <c r="D258" s="5" t="s">
        <v>1017</v>
      </c>
      <c r="E258" s="5" t="s">
        <v>1018</v>
      </c>
      <c r="F258" s="5" t="s">
        <v>1019</v>
      </c>
      <c r="G258" s="8">
        <v>44358</v>
      </c>
      <c r="H258" s="7" t="str">
        <f>VLOOKUP(D258,[1]Sheet1!$H$245:$J$470,3,0)</f>
        <v xml:space="preserve">ĐL a Tĩnh </v>
      </c>
      <c r="I258" s="7"/>
    </row>
    <row r="259" spans="1:9" x14ac:dyDescent="0.3">
      <c r="A259" s="7">
        <f>IF(B259&lt;&gt;"",SUBTOTAL(3,$C$4:C259))</f>
        <v>256</v>
      </c>
      <c r="B259" s="4">
        <v>256</v>
      </c>
      <c r="C259" s="5" t="s">
        <v>1020</v>
      </c>
      <c r="D259" s="5" t="s">
        <v>1021</v>
      </c>
      <c r="E259" s="5" t="s">
        <v>1022</v>
      </c>
      <c r="F259" s="5" t="s">
        <v>1023</v>
      </c>
      <c r="G259" s="7"/>
      <c r="H259" s="7"/>
      <c r="I259" s="7"/>
    </row>
    <row r="260" spans="1:9" x14ac:dyDescent="0.3">
      <c r="A260" s="7">
        <f>IF(B260&lt;&gt;"",SUBTOTAL(3,$C$4:C260))</f>
        <v>257</v>
      </c>
      <c r="B260" s="4">
        <v>257</v>
      </c>
      <c r="C260" s="5" t="s">
        <v>1024</v>
      </c>
      <c r="D260" s="5" t="s">
        <v>1025</v>
      </c>
      <c r="E260" s="5" t="s">
        <v>1026</v>
      </c>
      <c r="F260" s="5" t="s">
        <v>1027</v>
      </c>
      <c r="G260" s="8">
        <v>44368</v>
      </c>
      <c r="H260" s="7" t="s">
        <v>1212</v>
      </c>
      <c r="I260" s="7"/>
    </row>
    <row r="261" spans="1:9" x14ac:dyDescent="0.3">
      <c r="A261" s="7">
        <f>IF(B261&lt;&gt;"",SUBTOTAL(3,$C$4:C261))</f>
        <v>258</v>
      </c>
      <c r="B261" s="4">
        <v>258</v>
      </c>
      <c r="C261" s="5" t="s">
        <v>1028</v>
      </c>
      <c r="D261" s="5" t="s">
        <v>1029</v>
      </c>
      <c r="E261" s="5" t="s">
        <v>1030</v>
      </c>
      <c r="F261" s="5" t="s">
        <v>1031</v>
      </c>
      <c r="G261" s="7"/>
      <c r="H261" s="7"/>
      <c r="I261" s="7"/>
    </row>
    <row r="262" spans="1:9" x14ac:dyDescent="0.3">
      <c r="A262" s="7">
        <f>IF(B262&lt;&gt;"",SUBTOTAL(3,$C$4:C262))</f>
        <v>259</v>
      </c>
      <c r="B262" s="4">
        <v>259</v>
      </c>
      <c r="C262" s="5" t="s">
        <v>1032</v>
      </c>
      <c r="D262" s="5" t="s">
        <v>1033</v>
      </c>
      <c r="E262" s="5" t="s">
        <v>1034</v>
      </c>
      <c r="F262" s="5" t="s">
        <v>1035</v>
      </c>
      <c r="G262" s="7"/>
      <c r="H262" s="7"/>
      <c r="I262" s="7"/>
    </row>
    <row r="263" spans="1:9" x14ac:dyDescent="0.3">
      <c r="A263" s="7">
        <f>IF(B263&lt;&gt;"",SUBTOTAL(3,$C$4:C263))</f>
        <v>260</v>
      </c>
      <c r="B263" s="4">
        <v>260</v>
      </c>
      <c r="C263" s="5" t="s">
        <v>1036</v>
      </c>
      <c r="D263" s="5" t="s">
        <v>1037</v>
      </c>
      <c r="E263" s="5" t="s">
        <v>1038</v>
      </c>
      <c r="F263" s="5" t="s">
        <v>1039</v>
      </c>
      <c r="G263" s="7"/>
      <c r="H263" s="7"/>
      <c r="I263" s="7"/>
    </row>
    <row r="264" spans="1:9" x14ac:dyDescent="0.3">
      <c r="A264" s="7">
        <f>IF(B264&lt;&gt;"",SUBTOTAL(3,$C$4:C264))</f>
        <v>261</v>
      </c>
      <c r="B264" s="4">
        <v>261</v>
      </c>
      <c r="C264" s="5" t="s">
        <v>1040</v>
      </c>
      <c r="D264" s="5" t="s">
        <v>1041</v>
      </c>
      <c r="E264" s="5" t="s">
        <v>1042</v>
      </c>
      <c r="F264" s="5" t="s">
        <v>1043</v>
      </c>
      <c r="G264" s="7"/>
      <c r="H264" s="7"/>
      <c r="I264" s="7"/>
    </row>
    <row r="265" spans="1:9" x14ac:dyDescent="0.3">
      <c r="A265" s="7">
        <f>IF(B265&lt;&gt;"",SUBTOTAL(3,$C$4:C265))</f>
        <v>262</v>
      </c>
      <c r="B265" s="4">
        <v>262</v>
      </c>
      <c r="C265" s="5" t="s">
        <v>1044</v>
      </c>
      <c r="D265" s="5" t="s">
        <v>1045</v>
      </c>
      <c r="E265" s="5" t="s">
        <v>1046</v>
      </c>
      <c r="F265" s="5" t="s">
        <v>1047</v>
      </c>
      <c r="G265" s="7"/>
      <c r="H265" s="7"/>
      <c r="I265" s="7"/>
    </row>
    <row r="266" spans="1:9" x14ac:dyDescent="0.3">
      <c r="A266" s="7">
        <f>IF(B266&lt;&gt;"",SUBTOTAL(3,$C$4:C266))</f>
        <v>263</v>
      </c>
      <c r="B266" s="4">
        <v>263</v>
      </c>
      <c r="C266" s="5" t="s">
        <v>1048</v>
      </c>
      <c r="D266" s="5" t="s">
        <v>1049</v>
      </c>
      <c r="E266" s="5" t="s">
        <v>1050</v>
      </c>
      <c r="F266" s="5" t="s">
        <v>1051</v>
      </c>
      <c r="G266" s="8">
        <v>44358</v>
      </c>
      <c r="H266" s="7" t="str">
        <f>VLOOKUP(D266,[1]Sheet1!$H$245:$J$470,3,0)</f>
        <v xml:space="preserve">ĐL a Tĩnh </v>
      </c>
      <c r="I266" s="7"/>
    </row>
    <row r="267" spans="1:9" x14ac:dyDescent="0.3">
      <c r="A267" s="7">
        <f>IF(B267&lt;&gt;"",SUBTOTAL(3,$C$4:C267))</f>
        <v>264</v>
      </c>
      <c r="B267" s="4">
        <v>264</v>
      </c>
      <c r="C267" s="5" t="s">
        <v>1052</v>
      </c>
      <c r="D267" s="5" t="s">
        <v>1053</v>
      </c>
      <c r="E267" s="5" t="s">
        <v>1054</v>
      </c>
      <c r="F267" s="5" t="s">
        <v>1055</v>
      </c>
      <c r="G267" s="7"/>
      <c r="H267" s="7"/>
      <c r="I267" s="7"/>
    </row>
    <row r="268" spans="1:9" x14ac:dyDescent="0.3">
      <c r="A268" s="7">
        <f>IF(B268&lt;&gt;"",SUBTOTAL(3,$C$4:C268))</f>
        <v>265</v>
      </c>
      <c r="B268" s="4">
        <v>265</v>
      </c>
      <c r="C268" s="5" t="s">
        <v>1056</v>
      </c>
      <c r="D268" s="5" t="s">
        <v>1057</v>
      </c>
      <c r="E268" s="5" t="s">
        <v>1058</v>
      </c>
      <c r="F268" s="5" t="s">
        <v>1059</v>
      </c>
      <c r="G268" s="7"/>
      <c r="H268" s="7"/>
      <c r="I268" s="7"/>
    </row>
    <row r="269" spans="1:9" x14ac:dyDescent="0.3">
      <c r="A269" s="7">
        <f>IF(B269&lt;&gt;"",SUBTOTAL(3,$C$4:C269))</f>
        <v>266</v>
      </c>
      <c r="B269" s="4">
        <v>266</v>
      </c>
      <c r="C269" s="5" t="s">
        <v>1060</v>
      </c>
      <c r="D269" s="5" t="s">
        <v>1061</v>
      </c>
      <c r="E269" s="5" t="s">
        <v>1062</v>
      </c>
      <c r="F269" s="5" t="s">
        <v>1063</v>
      </c>
      <c r="G269" s="7"/>
      <c r="H269" s="7"/>
      <c r="I269" s="7"/>
    </row>
    <row r="270" spans="1:9" x14ac:dyDescent="0.3">
      <c r="A270" s="7">
        <f>IF(B270&lt;&gt;"",SUBTOTAL(3,$C$4:C270))</f>
        <v>267</v>
      </c>
      <c r="B270" s="4">
        <v>267</v>
      </c>
      <c r="C270" s="5" t="s">
        <v>1064</v>
      </c>
      <c r="D270" s="5" t="s">
        <v>1065</v>
      </c>
      <c r="E270" s="5" t="s">
        <v>1066</v>
      </c>
      <c r="F270" s="5" t="s">
        <v>1067</v>
      </c>
      <c r="G270" s="8">
        <v>44358</v>
      </c>
      <c r="H270" s="7" t="str">
        <f>VLOOKUP(D270,[1]Sheet1!$H$245:$J$470,3,0)</f>
        <v xml:space="preserve">ĐL a Tĩnh </v>
      </c>
      <c r="I270" s="7"/>
    </row>
    <row r="271" spans="1:9" x14ac:dyDescent="0.3">
      <c r="A271" s="7">
        <f>IF(B271&lt;&gt;"",SUBTOTAL(3,$C$4:C271))</f>
        <v>268</v>
      </c>
      <c r="B271" s="4">
        <v>268</v>
      </c>
      <c r="C271" s="5" t="s">
        <v>1068</v>
      </c>
      <c r="D271" s="5" t="s">
        <v>1069</v>
      </c>
      <c r="E271" s="5" t="s">
        <v>1070</v>
      </c>
      <c r="F271" s="5" t="s">
        <v>1071</v>
      </c>
      <c r="G271" s="7"/>
      <c r="H271" s="7"/>
      <c r="I271" s="7"/>
    </row>
    <row r="272" spans="1:9" x14ac:dyDescent="0.3">
      <c r="A272" s="7">
        <f>IF(B272&lt;&gt;"",SUBTOTAL(3,$C$4:C272))</f>
        <v>269</v>
      </c>
      <c r="B272" s="4">
        <v>269</v>
      </c>
      <c r="C272" s="5" t="s">
        <v>1072</v>
      </c>
      <c r="D272" s="5" t="s">
        <v>1073</v>
      </c>
      <c r="E272" s="5" t="s">
        <v>1074</v>
      </c>
      <c r="F272" s="5" t="s">
        <v>1075</v>
      </c>
      <c r="G272" s="7"/>
      <c r="H272" s="7"/>
      <c r="I272" s="7"/>
    </row>
    <row r="273" spans="1:9" x14ac:dyDescent="0.3">
      <c r="A273" s="7">
        <f>IF(B273&lt;&gt;"",SUBTOTAL(3,$C$4:C273))</f>
        <v>270</v>
      </c>
      <c r="B273" s="4">
        <v>270</v>
      </c>
      <c r="C273" s="5" t="s">
        <v>1076</v>
      </c>
      <c r="D273" s="5" t="s">
        <v>1077</v>
      </c>
      <c r="E273" s="5" t="s">
        <v>1078</v>
      </c>
      <c r="F273" s="5" t="s">
        <v>1079</v>
      </c>
      <c r="G273" s="7"/>
      <c r="H273" s="7"/>
      <c r="I273" s="7"/>
    </row>
    <row r="274" spans="1:9" x14ac:dyDescent="0.3">
      <c r="A274" s="7">
        <f>IF(B274&lt;&gt;"",SUBTOTAL(3,$C$4:C274))</f>
        <v>271</v>
      </c>
      <c r="B274" s="4">
        <v>271</v>
      </c>
      <c r="C274" s="5" t="s">
        <v>1080</v>
      </c>
      <c r="D274" s="5" t="s">
        <v>1081</v>
      </c>
      <c r="E274" s="5" t="s">
        <v>1082</v>
      </c>
      <c r="F274" s="5" t="s">
        <v>1083</v>
      </c>
      <c r="G274" s="7"/>
      <c r="H274" s="7"/>
      <c r="I274" s="7"/>
    </row>
    <row r="275" spans="1:9" x14ac:dyDescent="0.3">
      <c r="A275" s="7">
        <f>IF(B275&lt;&gt;"",SUBTOTAL(3,$C$4:C275))</f>
        <v>272</v>
      </c>
      <c r="B275" s="4">
        <v>272</v>
      </c>
      <c r="C275" s="5" t="s">
        <v>1084</v>
      </c>
      <c r="D275" s="5" t="s">
        <v>1085</v>
      </c>
      <c r="E275" s="5" t="s">
        <v>1086</v>
      </c>
      <c r="F275" s="5" t="s">
        <v>1087</v>
      </c>
      <c r="G275" s="8">
        <v>44358</v>
      </c>
      <c r="H275" s="7" t="str">
        <f>VLOOKUP(D275,[1]Sheet1!$H$245:$J$470,3,0)</f>
        <v xml:space="preserve">ĐL a Tĩnh </v>
      </c>
      <c r="I275" s="7"/>
    </row>
    <row r="276" spans="1:9" x14ac:dyDescent="0.3">
      <c r="A276" s="7">
        <f>IF(B276&lt;&gt;"",SUBTOTAL(3,$C$4:C276))</f>
        <v>273</v>
      </c>
      <c r="B276" s="4">
        <v>273</v>
      </c>
      <c r="C276" s="5" t="s">
        <v>1088</v>
      </c>
      <c r="D276" s="5" t="s">
        <v>1089</v>
      </c>
      <c r="E276" s="5" t="s">
        <v>1090</v>
      </c>
      <c r="F276" s="5" t="s">
        <v>1091</v>
      </c>
      <c r="G276" s="7"/>
      <c r="H276" s="7"/>
      <c r="I276" s="7"/>
    </row>
    <row r="277" spans="1:9" x14ac:dyDescent="0.3">
      <c r="A277" s="7">
        <f>IF(B277&lt;&gt;"",SUBTOTAL(3,$C$4:C277))</f>
        <v>274</v>
      </c>
      <c r="B277" s="4">
        <v>274</v>
      </c>
      <c r="C277" s="5" t="s">
        <v>1092</v>
      </c>
      <c r="D277" s="5" t="s">
        <v>1093</v>
      </c>
      <c r="E277" s="5" t="s">
        <v>1094</v>
      </c>
      <c r="F277" s="5" t="s">
        <v>1095</v>
      </c>
      <c r="G277" s="7"/>
      <c r="H277" s="7"/>
      <c r="I277" s="7"/>
    </row>
    <row r="278" spans="1:9" x14ac:dyDescent="0.3">
      <c r="A278" s="7">
        <f>IF(B278&lt;&gt;"",SUBTOTAL(3,$C$4:C278))</f>
        <v>275</v>
      </c>
      <c r="B278" s="4">
        <v>275</v>
      </c>
      <c r="C278" s="5" t="s">
        <v>1096</v>
      </c>
      <c r="D278" s="5" t="s">
        <v>1097</v>
      </c>
      <c r="E278" s="5" t="s">
        <v>1098</v>
      </c>
      <c r="F278" s="5" t="s">
        <v>1099</v>
      </c>
      <c r="G278" s="7"/>
      <c r="H278" s="7"/>
      <c r="I278" s="7"/>
    </row>
    <row r="279" spans="1:9" x14ac:dyDescent="0.3">
      <c r="A279" s="7">
        <f>IF(B279&lt;&gt;"",SUBTOTAL(3,$C$4:C279))</f>
        <v>276</v>
      </c>
      <c r="B279" s="4">
        <v>276</v>
      </c>
      <c r="C279" s="5" t="s">
        <v>1100</v>
      </c>
      <c r="D279" s="5" t="s">
        <v>1101</v>
      </c>
      <c r="E279" s="5" t="s">
        <v>1102</v>
      </c>
      <c r="F279" s="5" t="s">
        <v>1103</v>
      </c>
      <c r="G279" s="8">
        <v>44358</v>
      </c>
      <c r="H279" s="7" t="str">
        <f>VLOOKUP(D279,[1]Sheet1!$H$245:$J$470,3,0)</f>
        <v xml:space="preserve">ĐL a Tĩnh </v>
      </c>
      <c r="I279" s="7"/>
    </row>
    <row r="280" spans="1:9" x14ac:dyDescent="0.3">
      <c r="A280" s="7">
        <f>IF(B280&lt;&gt;"",SUBTOTAL(3,$C$4:C280))</f>
        <v>277</v>
      </c>
      <c r="B280" s="4">
        <v>277</v>
      </c>
      <c r="C280" s="5" t="s">
        <v>1104</v>
      </c>
      <c r="D280" s="5" t="s">
        <v>1105</v>
      </c>
      <c r="E280" s="5" t="s">
        <v>1106</v>
      </c>
      <c r="F280" s="5" t="s">
        <v>1107</v>
      </c>
      <c r="G280" s="7"/>
      <c r="H280" s="7"/>
      <c r="I280" s="7"/>
    </row>
    <row r="281" spans="1:9" x14ac:dyDescent="0.3">
      <c r="A281" s="7">
        <f>IF(B281&lt;&gt;"",SUBTOTAL(3,$C$4:C281))</f>
        <v>278</v>
      </c>
      <c r="B281" s="4">
        <v>278</v>
      </c>
      <c r="C281" s="5" t="s">
        <v>1108</v>
      </c>
      <c r="D281" s="5" t="s">
        <v>1109</v>
      </c>
      <c r="E281" s="5" t="s">
        <v>1110</v>
      </c>
      <c r="F281" s="5" t="s">
        <v>1111</v>
      </c>
      <c r="G281" s="7"/>
      <c r="H281" s="7"/>
      <c r="I281" s="7"/>
    </row>
    <row r="282" spans="1:9" x14ac:dyDescent="0.3">
      <c r="A282" s="7">
        <f>IF(B282&lt;&gt;"",SUBTOTAL(3,$C$4:C282))</f>
        <v>279</v>
      </c>
      <c r="B282" s="4">
        <v>279</v>
      </c>
      <c r="C282" s="5" t="s">
        <v>1112</v>
      </c>
      <c r="D282" s="5" t="s">
        <v>1113</v>
      </c>
      <c r="E282" s="5" t="s">
        <v>1114</v>
      </c>
      <c r="F282" s="5" t="s">
        <v>1115</v>
      </c>
      <c r="G282" s="7"/>
      <c r="H282" s="7"/>
      <c r="I282" s="7"/>
    </row>
    <row r="283" spans="1:9" x14ac:dyDescent="0.3">
      <c r="A283" s="7">
        <f>IF(B283&lt;&gt;"",SUBTOTAL(3,$C$4:C283))</f>
        <v>280</v>
      </c>
      <c r="B283" s="4">
        <v>280</v>
      </c>
      <c r="C283" s="5" t="s">
        <v>1116</v>
      </c>
      <c r="D283" s="5" t="s">
        <v>1117</v>
      </c>
      <c r="E283" s="5" t="s">
        <v>1118</v>
      </c>
      <c r="F283" s="5" t="s">
        <v>1119</v>
      </c>
      <c r="G283" s="7"/>
      <c r="H283" s="7"/>
      <c r="I283" s="7"/>
    </row>
    <row r="284" spans="1:9" x14ac:dyDescent="0.3">
      <c r="A284" s="7">
        <f>IF(B284&lt;&gt;"",SUBTOTAL(3,$C$4:C284))</f>
        <v>281</v>
      </c>
      <c r="B284" s="4">
        <v>281</v>
      </c>
      <c r="C284" s="5" t="s">
        <v>1120</v>
      </c>
      <c r="D284" s="5" t="s">
        <v>1121</v>
      </c>
      <c r="E284" s="5" t="s">
        <v>1122</v>
      </c>
      <c r="F284" s="5" t="s">
        <v>1123</v>
      </c>
      <c r="G284" s="7"/>
      <c r="H284" s="7"/>
      <c r="I284" s="7"/>
    </row>
    <row r="285" spans="1:9" x14ac:dyDescent="0.3">
      <c r="A285" s="7">
        <f>IF(B285&lt;&gt;"",SUBTOTAL(3,$C$4:C285))</f>
        <v>282</v>
      </c>
      <c r="B285" s="4">
        <v>282</v>
      </c>
      <c r="C285" s="5" t="s">
        <v>1124</v>
      </c>
      <c r="D285" s="5" t="s">
        <v>1125</v>
      </c>
      <c r="E285" s="5" t="s">
        <v>1126</v>
      </c>
      <c r="F285" s="5" t="s">
        <v>1127</v>
      </c>
      <c r="G285" s="7"/>
      <c r="H285" s="7"/>
      <c r="I285" s="7"/>
    </row>
    <row r="286" spans="1:9" x14ac:dyDescent="0.3">
      <c r="A286" s="7">
        <f>IF(B286&lt;&gt;"",SUBTOTAL(3,$C$4:C286))</f>
        <v>283</v>
      </c>
      <c r="B286" s="4">
        <v>283</v>
      </c>
      <c r="C286" s="5" t="s">
        <v>1128</v>
      </c>
      <c r="D286" s="5" t="s">
        <v>1129</v>
      </c>
      <c r="E286" s="5" t="s">
        <v>1130</v>
      </c>
      <c r="F286" s="5" t="s">
        <v>1131</v>
      </c>
      <c r="G286" s="7"/>
      <c r="H286" s="7"/>
      <c r="I286" s="7"/>
    </row>
    <row r="287" spans="1:9" x14ac:dyDescent="0.3">
      <c r="A287" s="7">
        <f>IF(B287&lt;&gt;"",SUBTOTAL(3,$C$4:C287))</f>
        <v>284</v>
      </c>
      <c r="B287" s="4">
        <v>284</v>
      </c>
      <c r="C287" s="5" t="s">
        <v>1132</v>
      </c>
      <c r="D287" s="5" t="s">
        <v>1133</v>
      </c>
      <c r="E287" s="5" t="s">
        <v>1134</v>
      </c>
      <c r="F287" s="5" t="s">
        <v>1135</v>
      </c>
      <c r="G287" s="7"/>
      <c r="H287" s="7"/>
      <c r="I287" s="7"/>
    </row>
    <row r="288" spans="1:9" x14ac:dyDescent="0.3">
      <c r="A288" s="7">
        <f>IF(B288&lt;&gt;"",SUBTOTAL(3,$C$4:C288))</f>
        <v>285</v>
      </c>
      <c r="B288" s="4">
        <v>285</v>
      </c>
      <c r="C288" s="5" t="s">
        <v>1136</v>
      </c>
      <c r="D288" s="5" t="s">
        <v>1137</v>
      </c>
      <c r="E288" s="5" t="s">
        <v>1138</v>
      </c>
      <c r="F288" s="5" t="s">
        <v>1139</v>
      </c>
      <c r="G288" s="7"/>
      <c r="H288" s="7"/>
      <c r="I288" s="7"/>
    </row>
    <row r="289" spans="1:9" x14ac:dyDescent="0.3">
      <c r="A289" s="7">
        <f>IF(B289&lt;&gt;"",SUBTOTAL(3,$C$4:C289))</f>
        <v>286</v>
      </c>
      <c r="B289" s="4">
        <v>286</v>
      </c>
      <c r="C289" s="5" t="s">
        <v>1140</v>
      </c>
      <c r="D289" s="5" t="s">
        <v>1141</v>
      </c>
      <c r="E289" s="5" t="s">
        <v>1142</v>
      </c>
      <c r="F289" s="5" t="s">
        <v>1143</v>
      </c>
      <c r="G289" s="7"/>
      <c r="H289" s="7"/>
      <c r="I289" s="7"/>
    </row>
    <row r="290" spans="1:9" x14ac:dyDescent="0.3">
      <c r="A290" s="7">
        <f>IF(B290&lt;&gt;"",SUBTOTAL(3,$C$4:C290))</f>
        <v>287</v>
      </c>
      <c r="B290" s="4">
        <v>287</v>
      </c>
      <c r="C290" s="5" t="s">
        <v>1144</v>
      </c>
      <c r="D290" s="5" t="s">
        <v>1145</v>
      </c>
      <c r="E290" s="5" t="s">
        <v>1146</v>
      </c>
      <c r="F290" s="5" t="s">
        <v>1147</v>
      </c>
      <c r="G290" s="7"/>
      <c r="H290" s="7"/>
      <c r="I290" s="7"/>
    </row>
    <row r="291" spans="1:9" x14ac:dyDescent="0.3">
      <c r="A291" s="7">
        <f>IF(B291&lt;&gt;"",SUBTOTAL(3,$C$4:C291))</f>
        <v>288</v>
      </c>
      <c r="B291" s="4">
        <v>288</v>
      </c>
      <c r="C291" s="5" t="s">
        <v>1148</v>
      </c>
      <c r="D291" s="5" t="s">
        <v>1149</v>
      </c>
      <c r="E291" s="5" t="s">
        <v>1150</v>
      </c>
      <c r="F291" s="5" t="s">
        <v>1151</v>
      </c>
      <c r="G291" s="7"/>
      <c r="H291" s="7"/>
      <c r="I291" s="7"/>
    </row>
    <row r="292" spans="1:9" x14ac:dyDescent="0.3">
      <c r="A292" s="7">
        <f>IF(B292&lt;&gt;"",SUBTOTAL(3,$C$4:C292))</f>
        <v>289</v>
      </c>
      <c r="B292" s="4">
        <v>289</v>
      </c>
      <c r="C292" s="5" t="s">
        <v>1152</v>
      </c>
      <c r="D292" s="5" t="s">
        <v>1153</v>
      </c>
      <c r="E292" s="5" t="s">
        <v>1154</v>
      </c>
      <c r="F292" s="5" t="s">
        <v>1155</v>
      </c>
      <c r="G292" s="8">
        <v>44358</v>
      </c>
      <c r="H292" s="7" t="str">
        <f>VLOOKUP(D292,[1]Sheet1!$H$245:$J$470,3,0)</f>
        <v xml:space="preserve">ĐL a Tĩnh </v>
      </c>
      <c r="I292" s="7"/>
    </row>
    <row r="293" spans="1:9" x14ac:dyDescent="0.3">
      <c r="A293" s="7">
        <f>IF(B293&lt;&gt;"",SUBTOTAL(3,$C$4:C293))</f>
        <v>290</v>
      </c>
      <c r="B293" s="4">
        <v>290</v>
      </c>
      <c r="C293" s="5" t="s">
        <v>1156</v>
      </c>
      <c r="D293" s="5" t="s">
        <v>1157</v>
      </c>
      <c r="E293" s="5" t="s">
        <v>1158</v>
      </c>
      <c r="F293" s="5" t="s">
        <v>1159</v>
      </c>
      <c r="G293" s="7"/>
      <c r="H293" s="7"/>
      <c r="I293" s="7"/>
    </row>
    <row r="294" spans="1:9" x14ac:dyDescent="0.3">
      <c r="A294" s="7">
        <f>IF(B294&lt;&gt;"",SUBTOTAL(3,$C$4:C294))</f>
        <v>291</v>
      </c>
      <c r="B294" s="4">
        <v>291</v>
      </c>
      <c r="C294" s="5" t="s">
        <v>1160</v>
      </c>
      <c r="D294" s="5" t="s">
        <v>1161</v>
      </c>
      <c r="E294" s="5" t="s">
        <v>1162</v>
      </c>
      <c r="F294" s="5" t="s">
        <v>1163</v>
      </c>
      <c r="G294" s="7"/>
      <c r="H294" s="7"/>
      <c r="I294" s="7"/>
    </row>
    <row r="295" spans="1:9" x14ac:dyDescent="0.3">
      <c r="A295" s="7">
        <f>IF(B295&lt;&gt;"",SUBTOTAL(3,$C$4:C295))</f>
        <v>292</v>
      </c>
      <c r="B295" s="4">
        <v>292</v>
      </c>
      <c r="C295" s="5" t="s">
        <v>1164</v>
      </c>
      <c r="D295" s="5" t="s">
        <v>1165</v>
      </c>
      <c r="E295" s="5" t="s">
        <v>1166</v>
      </c>
      <c r="F295" s="5" t="s">
        <v>1167</v>
      </c>
      <c r="G295" s="7"/>
      <c r="H295" s="7"/>
      <c r="I295" s="7"/>
    </row>
    <row r="296" spans="1:9" x14ac:dyDescent="0.3">
      <c r="A296" s="7">
        <f>IF(B296&lt;&gt;"",SUBTOTAL(3,$C$4:C296))</f>
        <v>293</v>
      </c>
      <c r="B296" s="4">
        <v>293</v>
      </c>
      <c r="C296" s="5" t="s">
        <v>1168</v>
      </c>
      <c r="D296" s="5" t="s">
        <v>1169</v>
      </c>
      <c r="E296" s="5" t="s">
        <v>1170</v>
      </c>
      <c r="F296" s="5" t="s">
        <v>1171</v>
      </c>
      <c r="G296" s="8">
        <v>44358</v>
      </c>
      <c r="H296" s="7" t="str">
        <f>VLOOKUP(D296,[1]Sheet1!$H$245:$J$470,3,0)</f>
        <v xml:space="preserve">ĐL a Tĩnh </v>
      </c>
      <c r="I296" s="7"/>
    </row>
    <row r="297" spans="1:9" x14ac:dyDescent="0.3">
      <c r="A297" s="7">
        <f>IF(B297&lt;&gt;"",SUBTOTAL(3,$C$4:C297))</f>
        <v>294</v>
      </c>
      <c r="B297" s="4">
        <v>294</v>
      </c>
      <c r="C297" s="5" t="s">
        <v>1172</v>
      </c>
      <c r="D297" s="5" t="s">
        <v>1173</v>
      </c>
      <c r="E297" s="5" t="s">
        <v>1174</v>
      </c>
      <c r="F297" s="5" t="s">
        <v>1175</v>
      </c>
      <c r="G297" s="7"/>
      <c r="H297" s="7"/>
      <c r="I297" s="7"/>
    </row>
    <row r="298" spans="1:9" x14ac:dyDescent="0.3">
      <c r="A298" s="7">
        <f>IF(B298&lt;&gt;"",SUBTOTAL(3,$C$4:C298))</f>
        <v>295</v>
      </c>
      <c r="B298" s="4">
        <v>295</v>
      </c>
      <c r="C298" s="5" t="s">
        <v>1176</v>
      </c>
      <c r="D298" s="5" t="s">
        <v>1177</v>
      </c>
      <c r="E298" s="5" t="s">
        <v>1178</v>
      </c>
      <c r="F298" s="5" t="s">
        <v>1179</v>
      </c>
      <c r="G298" s="7"/>
      <c r="H298" s="7"/>
      <c r="I298" s="7"/>
    </row>
    <row r="299" spans="1:9" x14ac:dyDescent="0.3">
      <c r="A299" s="7">
        <f>IF(B299&lt;&gt;"",SUBTOTAL(3,$C$4:C299))</f>
        <v>296</v>
      </c>
      <c r="B299" s="4">
        <v>296</v>
      </c>
      <c r="C299" s="5" t="s">
        <v>1180</v>
      </c>
      <c r="D299" s="5" t="s">
        <v>1181</v>
      </c>
      <c r="E299" s="5" t="s">
        <v>1182</v>
      </c>
      <c r="F299" s="5" t="s">
        <v>1183</v>
      </c>
      <c r="G299" s="7"/>
      <c r="H299" s="7"/>
      <c r="I299" s="7"/>
    </row>
    <row r="300" spans="1:9" x14ac:dyDescent="0.3">
      <c r="A300" s="7">
        <f>IF(B300&lt;&gt;"",SUBTOTAL(3,$C$4:C300))</f>
        <v>297</v>
      </c>
      <c r="B300" s="4">
        <v>297</v>
      </c>
      <c r="C300" s="5" t="s">
        <v>1184</v>
      </c>
      <c r="D300" s="5" t="s">
        <v>1185</v>
      </c>
      <c r="E300" s="5" t="s">
        <v>1186</v>
      </c>
      <c r="F300" s="5" t="s">
        <v>1187</v>
      </c>
      <c r="G300" s="7"/>
      <c r="H300" s="7"/>
      <c r="I300" s="7"/>
    </row>
    <row r="301" spans="1:9" x14ac:dyDescent="0.3">
      <c r="A301" s="7">
        <f>IF(B301&lt;&gt;"",SUBTOTAL(3,$C$4:C301))</f>
        <v>298</v>
      </c>
      <c r="B301" s="4">
        <v>298</v>
      </c>
      <c r="C301" s="5" t="s">
        <v>1188</v>
      </c>
      <c r="D301" s="5" t="s">
        <v>1189</v>
      </c>
      <c r="E301" s="5" t="s">
        <v>1190</v>
      </c>
      <c r="F301" s="5" t="s">
        <v>1191</v>
      </c>
      <c r="G301" s="8">
        <v>44358</v>
      </c>
      <c r="H301" s="7" t="str">
        <f>VLOOKUP(D301,[1]Sheet1!$H$245:$J$470,3,0)</f>
        <v xml:space="preserve">ĐL a Tĩnh </v>
      </c>
      <c r="I301" s="7"/>
    </row>
    <row r="302" spans="1:9" x14ac:dyDescent="0.3">
      <c r="A302" s="7">
        <f>IF(B302&lt;&gt;"",SUBTOTAL(3,$C$4:C302))</f>
        <v>299</v>
      </c>
      <c r="B302" s="4">
        <v>299</v>
      </c>
      <c r="C302" s="5" t="s">
        <v>1192</v>
      </c>
      <c r="D302" s="5" t="s">
        <v>1193</v>
      </c>
      <c r="E302" s="5" t="s">
        <v>1194</v>
      </c>
      <c r="F302" s="5" t="s">
        <v>1195</v>
      </c>
      <c r="G302" s="7"/>
      <c r="H302" s="7"/>
      <c r="I302" s="7"/>
    </row>
    <row r="303" spans="1:9" x14ac:dyDescent="0.3">
      <c r="A303" s="7">
        <f>IF(B303&lt;&gt;"",SUBTOTAL(3,$C$4:C303))</f>
        <v>300</v>
      </c>
      <c r="B303" s="4">
        <v>300</v>
      </c>
      <c r="C303" s="5" t="s">
        <v>1196</v>
      </c>
      <c r="D303" s="5" t="s">
        <v>1197</v>
      </c>
      <c r="E303" s="5" t="s">
        <v>1198</v>
      </c>
      <c r="F303" s="5" t="s">
        <v>1199</v>
      </c>
      <c r="G303" s="7"/>
      <c r="H303" s="7"/>
      <c r="I303" s="7"/>
    </row>
    <row r="304" spans="1:9" x14ac:dyDescent="0.3">
      <c r="B304" s="1"/>
      <c r="C304" s="2"/>
      <c r="D304" s="2"/>
      <c r="E304" s="2"/>
      <c r="F304" s="2"/>
    </row>
  </sheetData>
  <autoFilter ref="B3:H303" xr:uid="{88C035AB-CB4A-4A62-9458-3AAFF4EE86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KT-KHO</dc:creator>
  <cp:lastModifiedBy>KT-KHO</cp:lastModifiedBy>
  <dcterms:created xsi:type="dcterms:W3CDTF">2021-06-19T09:28:01Z</dcterms:created>
  <dcterms:modified xsi:type="dcterms:W3CDTF">2022-11-18T08:58:06Z</dcterms:modified>
</cp:coreProperties>
</file>