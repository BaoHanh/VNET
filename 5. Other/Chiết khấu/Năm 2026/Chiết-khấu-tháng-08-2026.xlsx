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45217B28-4FE5-431F-A700-E397D3E8A206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CK'!$A$1:$F$28</definedName>
    <definedName name="_xlnm.Print_Area" localSheetId="1">'Phiếu tính CK'!$A$1:$H$30</definedName>
    <definedName name="_xlnm.Print_Area" localSheetId="2">'Tồn sản xuất'!$A$1:$H$30</definedName>
  </definedNames>
  <calcPr calcId="181029"/>
</workbook>
</file>

<file path=xl/calcChain.xml><?xml version="1.0" encoding="utf-8"?>
<calcChain xmlns="http://schemas.openxmlformats.org/spreadsheetml/2006/main">
  <c r="F11" i="3" l="1"/>
  <c r="C14" i="1"/>
  <c r="E12" i="1"/>
  <c r="C21" i="3" l="1"/>
  <c r="D21" i="3"/>
  <c r="E21" i="3"/>
  <c r="F12" i="3" l="1"/>
  <c r="E13" i="1" l="1"/>
  <c r="E11" i="1"/>
  <c r="F20" i="3" l="1"/>
  <c r="F19" i="3" l="1"/>
  <c r="E15" i="1" l="1"/>
  <c r="A4" i="3" l="1"/>
  <c r="E6" i="1"/>
  <c r="F10" i="3" l="1"/>
  <c r="F13" i="3" l="1"/>
  <c r="F16" i="3" l="1"/>
  <c r="F14" i="3"/>
  <c r="F21" i="3" s="1"/>
  <c r="F15" i="3"/>
  <c r="F17" i="3"/>
  <c r="D19" i="2" l="1"/>
  <c r="G21" i="2" l="1"/>
  <c r="E20" i="2" l="1"/>
  <c r="F20" i="2"/>
  <c r="C13" i="2"/>
  <c r="H20" i="2" l="1"/>
  <c r="C10" i="2" l="1"/>
  <c r="E16" i="2" l="1"/>
  <c r="E18" i="2"/>
  <c r="E17" i="2"/>
  <c r="F21" i="2"/>
  <c r="H16" i="2" l="1"/>
  <c r="H18" i="2"/>
  <c r="E21" i="2"/>
  <c r="H17" i="2"/>
  <c r="H21" i="2" l="1"/>
</calcChain>
</file>

<file path=xl/sharedStrings.xml><?xml version="1.0" encoding="utf-8"?>
<sst xmlns="http://schemas.openxmlformats.org/spreadsheetml/2006/main" count="118" uniqueCount="77">
  <si>
    <t>STT</t>
  </si>
  <si>
    <t>Tổng</t>
  </si>
  <si>
    <t>Tổng tiền chiết khấu cho cả bộ phận</t>
  </si>
  <si>
    <t>Thêm dòng cho nhân viên mới từ cột này</t>
  </si>
  <si>
    <t>Số nhân viên nghỉ từ 7 ngày/tháng</t>
  </si>
  <si>
    <t xml:space="preserve">Tổng phần trăm </t>
  </si>
  <si>
    <t>Trần Thị Thu Hà</t>
  </si>
  <si>
    <t>(Ký, ghi rõ họ tên)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</si>
  <si>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</si>
  <si>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</si>
  <si>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</si>
  <si>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</si>
  <si>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</si>
  <si>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</si>
  <si>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</si>
  <si>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>ACT-01</t>
  </si>
  <si>
    <t>Temp Sensor Display</t>
  </si>
  <si>
    <t>TỔNG</t>
  </si>
  <si>
    <t>Nguyễn Hải</t>
  </si>
  <si>
    <t>Tồn lỗi</t>
  </si>
  <si>
    <t>Trần Văn Hậu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</si>
  <si>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</si>
  <si>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</si>
  <si>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</si>
  <si>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</si>
  <si>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</si>
  <si>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</si>
  <si>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</si>
  <si>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</si>
  <si>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</si>
  <si>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</si>
  <si>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</si>
  <si>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</si>
  <si>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</si>
  <si>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Đào Văn Thông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</si>
  <si>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</si>
  <si>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</si>
  <si>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</si>
  <si>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</si>
  <si>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</si>
  <si>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</si>
  <si>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</si>
  <si>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</si>
  <si>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</si>
  <si>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</si>
  <si>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</si>
  <si>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</si>
  <si>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</si>
  <si>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</si>
  <si>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</si>
  <si>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</si>
  <si>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</si>
  <si>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</si>
  <si>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</si>
  <si>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</si>
  <si>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</si>
  <si>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</si>
  <si>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</si>
  <si>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Kế Toán Kho</t>
  </si>
  <si>
    <t>Nhập Kho</t>
  </si>
  <si>
    <t>Số Lượng Sản Xuất Theo Lô</t>
  </si>
  <si>
    <t>Tồn SX Cuối Tháng</t>
  </si>
  <si>
    <t>TG102LE-4G(8686)</t>
  </si>
  <si>
    <t>Card Reader (new version)</t>
  </si>
  <si>
    <t>Tồn lô 1/2026</t>
  </si>
  <si>
    <t>VNSH03</t>
  </si>
  <si>
    <t>TG102LE-4G UPG</t>
  </si>
  <si>
    <t>Tồn SX Trong Tháng</t>
  </si>
  <si>
    <t>Đang xử lý</t>
  </si>
  <si>
    <t>Tồn lỗi (lỗi PCB bóc 
linh kiện dùng cho sửa chữa)</t>
  </si>
  <si>
    <t>PHIẾU TÍNH CHIẾT KHẤU THÁNG 08 NĂM 2026</t>
  </si>
  <si>
    <t>Hà Nội, ngày 28 tháng 08 năm 2026</t>
  </si>
  <si>
    <t>BẢNG TÍNH CHIẾT KHẤU THÁNG 08 NĂM 2026</t>
  </si>
  <si>
    <t>PHIẾU XÁC NHẬN TỒN 
SẢN XUẤT THÁNG 08 - 2026</t>
  </si>
  <si>
    <t>TG102LE-4G(UPG)</t>
  </si>
  <si>
    <t>Đã nhận tổng thực tế 470 thiết bị, 
1 thiết bị giữ lại Thịnh Aithings test</t>
  </si>
  <si>
    <t>Đã nhận tổng thực tế 957 mạch, 
(Aithings giữ 4 thiết bị kiểm tra) 6 mạch lỗi, 
237 mạch đang xử lý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</si>
</sst>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;[Red]#,##0.0"/>
  </numFmts>
  <fonts count="22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  <font>
      <b/>
      <sz val="10"/>
      <name val="Times New Roman"/>
      <family val="1"/>
    </font>
    <font>
      <i/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4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14" fillId="0" borderId="10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16" fontId="14" fillId="0" borderId="4" xfId="1" quotePrefix="1" applyNumberFormat="1" applyFont="1" applyBorder="1" applyAlignment="1">
      <alignment horizontal="center" vertical="center"/>
    </xf>
    <xf numFmtId="3" fontId="14" fillId="0" borderId="1" xfId="1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4" fontId="13" fillId="0" borderId="1" xfId="0" applyNumberFormat="1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165" fontId="13" fillId="2" borderId="1" xfId="0" applyNumberFormat="1" applyFont="1" applyFill="1" applyBorder="1" applyAlignment="1">
      <alignment horizontal="center" vertical="center"/>
    </xf>
    <xf numFmtId="3" fontId="13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15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18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14" fillId="0" borderId="0" xfId="0" applyFont="1" applyAlignment="1">
      <alignment horizontal="left" vertical="center" indent="1"/>
    </xf>
    <xf numFmtId="4" fontId="14" fillId="0" borderId="0" xfId="0" applyNumberFormat="1" applyFont="1" applyAlignment="1">
      <alignment horizontal="left" vertical="center" indent="1"/>
    </xf>
    <xf numFmtId="0" fontId="13" fillId="0" borderId="0" xfId="0" applyFont="1" applyAlignment="1">
      <alignment horizontal="left" vertical="center"/>
    </xf>
    <xf numFmtId="16" fontId="14" fillId="0" borderId="3" xfId="1" quotePrefix="1" applyNumberFormat="1" applyFont="1" applyBorder="1" applyAlignment="1">
      <alignment horizontal="center" vertical="center"/>
    </xf>
    <xf numFmtId="0" fontId="14" fillId="0" borderId="1" xfId="1" applyFont="1" applyBorder="1" applyAlignment="1">
      <alignment horizontal="center" vertical="center" wrapText="1"/>
    </xf>
    <xf numFmtId="3" fontId="20" fillId="0" borderId="1" xfId="1" applyNumberFormat="1" applyFont="1" applyBorder="1" applyAlignment="1">
      <alignment horizontal="center" vertical="center"/>
    </xf>
    <xf numFmtId="10" fontId="13" fillId="0" borderId="3" xfId="0" applyNumberFormat="1" applyFont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4" fontId="15" fillId="0" borderId="0" xfId="0" applyNumberFormat="1" applyFont="1" applyAlignment="1">
      <alignment horizontal="center" vertical="center"/>
    </xf>
    <xf numFmtId="4" fontId="19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0" fontId="20" fillId="0" borderId="0" xfId="0" applyFont="1" applyAlignment="1">
      <alignment horizontal="left" vertical="center"/>
    </xf>
    <xf numFmtId="3" fontId="13" fillId="0" borderId="0" xfId="0" applyNumberFormat="1" applyFont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20" fillId="0" borderId="0" xfId="1" applyFont="1" applyAlignment="1">
      <alignment horizontal="left"/>
    </xf>
    <xf numFmtId="0" fontId="20" fillId="0" borderId="0" xfId="1" applyFont="1"/>
    <xf numFmtId="0" fontId="20" fillId="0" borderId="0" xfId="1" applyFont="1" applyAlignment="1">
      <alignment horizontal="center"/>
    </xf>
    <xf numFmtId="0" fontId="20" fillId="0" borderId="1" xfId="1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20" fillId="0" borderId="0" xfId="1" applyFont="1" applyAlignment="1">
      <alignment vertical="center"/>
    </xf>
    <xf numFmtId="0" fontId="20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 indent="1"/>
    </xf>
    <xf numFmtId="0" fontId="10" fillId="0" borderId="0" xfId="0" applyFont="1" applyAlignment="1">
      <alignment horizontal="right" vertical="center"/>
    </xf>
    <xf numFmtId="0" fontId="17" fillId="0" borderId="1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 indent="8"/>
    </xf>
    <xf numFmtId="4" fontId="11" fillId="0" borderId="0" xfId="0" applyNumberFormat="1" applyFont="1" applyAlignment="1">
      <alignment horizontal="left" vertical="center" indent="7"/>
    </xf>
    <xf numFmtId="0" fontId="14" fillId="0" borderId="2" xfId="0" applyFont="1" applyBorder="1" applyAlignment="1">
      <alignment horizontal="left" vertical="center" wrapText="1" indent="1"/>
    </xf>
    <xf numFmtId="0" fontId="14" fillId="0" borderId="3" xfId="0" applyFont="1" applyBorder="1" applyAlignment="1">
      <alignment horizontal="left" vertical="center" wrapText="1" indent="1"/>
    </xf>
    <xf numFmtId="0" fontId="13" fillId="0" borderId="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 wrapText="1" indent="1"/>
    </xf>
    <xf numFmtId="0" fontId="13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 indent="1"/>
    </xf>
    <xf numFmtId="0" fontId="14" fillId="0" borderId="3" xfId="0" applyFont="1" applyBorder="1" applyAlignment="1">
      <alignment horizontal="left" vertical="center" indent="1"/>
    </xf>
    <xf numFmtId="0" fontId="13" fillId="0" borderId="2" xfId="0" applyFont="1" applyBorder="1" applyAlignment="1">
      <alignment horizontal="left" vertical="center" indent="1"/>
    </xf>
    <xf numFmtId="0" fontId="13" fillId="0" borderId="3" xfId="0" applyFont="1" applyBorder="1" applyAlignment="1">
      <alignment horizontal="left" vertical="center" indent="1"/>
    </xf>
    <xf numFmtId="0" fontId="13" fillId="0" borderId="8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 wrapText="1"/>
    </xf>
    <xf numFmtId="0" fontId="14" fillId="0" borderId="3" xfId="1" applyFont="1" applyBorder="1" applyAlignment="1">
      <alignment horizontal="center" vertical="center" wrapText="1"/>
    </xf>
    <xf numFmtId="0" fontId="20" fillId="0" borderId="0" xfId="1" applyFont="1" applyAlignment="1">
      <alignment horizontal="center"/>
    </xf>
    <xf numFmtId="4" fontId="18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4" fillId="0" borderId="1" xfId="1" applyFont="1" applyBorder="1" applyAlignment="1">
      <alignment horizontal="center" vertical="center"/>
    </xf>
    <xf numFmtId="0" fontId="20" fillId="0" borderId="2" xfId="1" applyFont="1" applyBorder="1" applyAlignment="1">
      <alignment horizontal="center"/>
    </xf>
    <xf numFmtId="0" fontId="20" fillId="0" borderId="4" xfId="1" applyFont="1" applyBorder="1" applyAlignment="1">
      <alignment horizontal="center"/>
    </xf>
    <xf numFmtId="0" fontId="14" fillId="0" borderId="4" xfId="1" applyFont="1" applyBorder="1" applyAlignment="1">
      <alignment horizontal="center"/>
    </xf>
    <xf numFmtId="0" fontId="14" fillId="0" borderId="3" xfId="1" applyFont="1" applyBorder="1" applyAlignment="1">
      <alignment horizontal="center"/>
    </xf>
    <xf numFmtId="0" fontId="14" fillId="0" borderId="2" xfId="1" applyFont="1" applyBorder="1" applyAlignment="1">
      <alignment horizontal="center" vertical="center"/>
    </xf>
    <xf numFmtId="0" fontId="14" fillId="0" borderId="3" xfId="1" applyFont="1" applyBorder="1" applyAlignment="1">
      <alignment horizontal="center" vertical="center"/>
    </xf>
    <xf numFmtId="0" fontId="10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2" fillId="0" borderId="2" xfId="1" applyFont="1" applyBorder="1"/>
    <xf numFmtId="0" fontId="12" fillId="0" borderId="3" xfId="1" applyFont="1" applyBorder="1"/>
    <xf numFmtId="0" fontId="20" fillId="0" borderId="12" xfId="1" applyFont="1" applyBorder="1" applyAlignment="1">
      <alignment horizontal="center" vertical="center" wrapText="1"/>
    </xf>
    <xf numFmtId="0" fontId="20" fillId="0" borderId="13" xfId="1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 vertical="center" wrapText="1"/>
    </xf>
    <xf numFmtId="0" fontId="20" fillId="0" borderId="4" xfId="1" applyFont="1" applyBorder="1" applyAlignment="1">
      <alignment horizontal="center" vertical="center" wrapText="1"/>
    </xf>
    <xf numFmtId="0" fontId="20" fillId="0" borderId="3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8"/>
  <sheetViews>
    <sheetView zoomScale="115" zoomScaleNormal="115" workbookViewId="0">
      <selection activeCell="D17" sqref="D17"/>
    </sheetView>
  </sheetViews>
  <sheetFormatPr defaultRowHeight="15" x14ac:dyDescent="0.25"/>
  <cols>
    <col min="1" max="1" width="7.28515625" style="6" customWidth="1"/>
    <col min="2" max="2" width="20.28515625" customWidth="1"/>
    <col min="3" max="3" width="24.5703125" customWidth="1"/>
    <col min="4" max="4" width="20.5703125" style="2" customWidth="1"/>
    <col min="5" max="5" width="19.28515625" style="15" customWidth="1"/>
    <col min="6" max="6" width="26.7109375" customWidth="1"/>
  </cols>
  <sheetData>
    <row r="1" spans="1:6" x14ac:dyDescent="0.25">
      <c r="A1" s="80"/>
      <c r="B1" s="81"/>
      <c r="C1" s="88" t="s">
        <v>47</v>
      </c>
      <c r="D1" s="88"/>
      <c r="E1" s="88"/>
      <c r="F1" s="88"/>
    </row>
    <row r="2" spans="1:6" x14ac:dyDescent="0.25">
      <c r="A2" s="80"/>
      <c r="B2" s="81"/>
      <c r="C2" s="85" t="s">
        <v>49</v>
      </c>
      <c r="D2" s="86"/>
      <c r="E2" s="86"/>
      <c r="F2" s="87"/>
    </row>
    <row r="3" spans="1:6" x14ac:dyDescent="0.25">
      <c r="A3" s="80"/>
      <c r="B3" s="81"/>
      <c r="C3" s="93" t="s">
        <v>37</v>
      </c>
      <c r="D3" s="94"/>
      <c r="E3" s="94"/>
      <c r="F3" s="95"/>
    </row>
    <row r="4" spans="1:6" x14ac:dyDescent="0.25">
      <c r="A4" s="80"/>
      <c r="B4" s="81"/>
      <c r="C4" s="82" t="s">
        <v>48</v>
      </c>
      <c r="D4" s="83"/>
      <c r="E4" s="83"/>
      <c r="F4" s="84"/>
    </row>
    <row r="5" spans="1:6" ht="24.95" customHeight="1" x14ac:dyDescent="0.25">
      <c r="A5" s="91" t="s">
        <v>72</v>
      </c>
      <c r="B5" s="91"/>
      <c r="C5" s="92"/>
      <c r="D5" s="92"/>
      <c r="E5" s="92"/>
      <c r="F5" s="92"/>
    </row>
    <row r="6" spans="1:6" ht="15" customHeight="1" x14ac:dyDescent="0.25">
      <c r="A6" s="43"/>
      <c r="B6" s="43"/>
      <c r="C6" s="43"/>
      <c r="D6" s="44"/>
      <c r="E6" s="90" t="str">
        <f>'Phiếu tính CK'!H6</f>
        <v>Hà Nội, ngày 28 tháng 08 năm 2026</v>
      </c>
      <c r="F6" s="90"/>
    </row>
    <row r="7" spans="1:6" ht="15" customHeight="1" x14ac:dyDescent="0.25">
      <c r="A7" s="89" t="s">
        <v>27</v>
      </c>
      <c r="B7" s="89"/>
      <c r="C7" s="89"/>
      <c r="D7" s="89"/>
      <c r="E7" s="89"/>
      <c r="F7" s="18"/>
    </row>
    <row r="8" spans="1:6" ht="15" customHeight="1" x14ac:dyDescent="0.25">
      <c r="A8" s="51" t="s">
        <v>50</v>
      </c>
      <c r="B8" s="51"/>
      <c r="C8" s="51"/>
      <c r="D8" s="52"/>
      <c r="E8" s="51"/>
      <c r="F8" s="18"/>
    </row>
    <row r="9" spans="1:6" ht="15" customHeight="1" x14ac:dyDescent="0.25">
      <c r="A9" s="16"/>
      <c r="B9" s="16"/>
      <c r="C9" s="16"/>
      <c r="D9" s="45"/>
      <c r="E9" s="16"/>
      <c r="F9" s="18"/>
    </row>
    <row r="10" spans="1:6" ht="15" customHeight="1" x14ac:dyDescent="0.25">
      <c r="A10" s="28" t="s">
        <v>0</v>
      </c>
      <c r="B10" s="28" t="s">
        <v>42</v>
      </c>
      <c r="C10" s="28" t="s">
        <v>43</v>
      </c>
      <c r="D10" s="61" t="s">
        <v>45</v>
      </c>
      <c r="E10" s="28" t="s">
        <v>44</v>
      </c>
      <c r="F10" s="28" t="s">
        <v>46</v>
      </c>
    </row>
    <row r="11" spans="1:6" ht="15" customHeight="1" x14ac:dyDescent="0.25">
      <c r="A11" s="24">
        <v>1</v>
      </c>
      <c r="B11" s="24" t="s">
        <v>65</v>
      </c>
      <c r="C11" s="24">
        <v>139</v>
      </c>
      <c r="D11" s="26">
        <v>8000</v>
      </c>
      <c r="E11" s="26">
        <f>SUM(C11*D11)</f>
        <v>1112000</v>
      </c>
      <c r="F11" s="24"/>
    </row>
    <row r="12" spans="1:6" ht="15" customHeight="1" x14ac:dyDescent="0.25">
      <c r="A12" s="24"/>
      <c r="B12" s="24" t="s">
        <v>74</v>
      </c>
      <c r="C12" s="24">
        <v>23</v>
      </c>
      <c r="D12" s="26">
        <v>6000</v>
      </c>
      <c r="E12" s="26">
        <f>SUM(C12*D12)</f>
        <v>138000</v>
      </c>
      <c r="F12" s="24"/>
    </row>
    <row r="13" spans="1:6" ht="15" customHeight="1" x14ac:dyDescent="0.25">
      <c r="A13" s="24">
        <v>2</v>
      </c>
      <c r="B13" s="24" t="s">
        <v>62</v>
      </c>
      <c r="C13" s="24">
        <v>233</v>
      </c>
      <c r="D13" s="26">
        <v>6000</v>
      </c>
      <c r="E13" s="26">
        <f>SUM(C13*D13)</f>
        <v>1398000</v>
      </c>
      <c r="F13" s="24"/>
    </row>
    <row r="14" spans="1:6" ht="15" customHeight="1" x14ac:dyDescent="0.25">
      <c r="A14" s="96" t="s">
        <v>33</v>
      </c>
      <c r="B14" s="97"/>
      <c r="C14" s="28">
        <f>SUM(C11:C13)</f>
        <v>395</v>
      </c>
      <c r="D14" s="29"/>
      <c r="E14" s="24"/>
      <c r="F14" s="24"/>
    </row>
    <row r="15" spans="1:6" ht="15" customHeight="1" x14ac:dyDescent="0.25">
      <c r="A15" s="98" t="s">
        <v>32</v>
      </c>
      <c r="B15" s="98"/>
      <c r="C15" s="98"/>
      <c r="D15" s="98"/>
      <c r="E15" s="27">
        <f>SUM(E11:E13)</f>
        <v>2648000</v>
      </c>
      <c r="F15" s="24"/>
    </row>
    <row r="16" spans="1:6" ht="15" customHeight="1" x14ac:dyDescent="0.25">
      <c r="A16" s="13"/>
      <c r="B16" s="13"/>
      <c r="C16" s="13"/>
      <c r="D16" s="46"/>
      <c r="E16" s="13"/>
      <c r="F16" s="18"/>
    </row>
    <row r="17" spans="1:6" ht="15" customHeight="1" x14ac:dyDescent="0.25">
      <c r="A17" s="13"/>
      <c r="B17" s="18"/>
      <c r="C17" s="18"/>
      <c r="D17" s="47"/>
      <c r="E17" s="13"/>
      <c r="F17" s="18"/>
    </row>
    <row r="18" spans="1:6" ht="15" customHeight="1" x14ac:dyDescent="0.25">
      <c r="A18" s="99" t="s">
        <v>41</v>
      </c>
      <c r="B18" s="99"/>
      <c r="C18" s="34" t="s">
        <v>40</v>
      </c>
      <c r="D18" s="99" t="s">
        <v>38</v>
      </c>
      <c r="E18" s="99"/>
      <c r="F18" s="62" t="s">
        <v>39</v>
      </c>
    </row>
    <row r="19" spans="1:6" ht="15" customHeight="1" x14ac:dyDescent="0.25">
      <c r="A19" s="100" t="s">
        <v>7</v>
      </c>
      <c r="B19" s="100"/>
      <c r="C19" s="17" t="s">
        <v>7</v>
      </c>
      <c r="D19" s="100" t="s">
        <v>7</v>
      </c>
      <c r="E19" s="100"/>
      <c r="F19" s="17" t="s">
        <v>7</v>
      </c>
    </row>
    <row r="20" spans="1:6" ht="15" customHeight="1" x14ac:dyDescent="0.25">
      <c r="A20" s="34"/>
      <c r="B20" s="34"/>
      <c r="C20" s="34"/>
      <c r="D20" s="62"/>
      <c r="E20" s="60"/>
      <c r="F20" s="62"/>
    </row>
    <row r="21" spans="1:6" ht="15" customHeight="1" x14ac:dyDescent="0.25">
      <c r="A21" s="34"/>
      <c r="B21" s="34"/>
      <c r="C21" s="34"/>
      <c r="D21" s="62"/>
      <c r="E21" s="60"/>
      <c r="F21" s="62"/>
    </row>
    <row r="22" spans="1:6" ht="15" customHeight="1" x14ac:dyDescent="0.25">
      <c r="A22" s="34"/>
      <c r="B22" s="34"/>
      <c r="C22" s="34"/>
      <c r="D22" s="62"/>
      <c r="E22" s="60"/>
      <c r="F22" s="62"/>
    </row>
    <row r="23" spans="1:6" ht="15" customHeight="1" x14ac:dyDescent="0.25">
      <c r="A23" s="41"/>
      <c r="B23" s="41"/>
      <c r="C23" s="41"/>
      <c r="D23" s="63"/>
      <c r="E23" s="60"/>
      <c r="F23" s="41"/>
    </row>
    <row r="24" spans="1:6" ht="15" customHeight="1" x14ac:dyDescent="0.25">
      <c r="A24" s="99" t="s">
        <v>18</v>
      </c>
      <c r="B24" s="99"/>
      <c r="C24" s="34" t="s">
        <v>6</v>
      </c>
      <c r="D24" s="99" t="s">
        <v>34</v>
      </c>
      <c r="E24" s="99"/>
      <c r="F24" s="62" t="s">
        <v>9</v>
      </c>
    </row>
    <row r="25" spans="1:6" x14ac:dyDescent="0.25">
      <c r="A25" s="5"/>
      <c r="B25" s="7"/>
      <c r="C25" s="7"/>
      <c r="D25" s="8"/>
      <c r="E25" s="12"/>
      <c r="F25" s="7"/>
    </row>
    <row r="26" spans="1:6" x14ac:dyDescent="0.25">
      <c r="A26" s="5"/>
      <c r="B26" s="7"/>
      <c r="C26" s="7"/>
      <c r="D26" s="8"/>
      <c r="E26" s="12"/>
      <c r="F26" s="7"/>
    </row>
    <row r="27" spans="1:6" x14ac:dyDescent="0.25">
      <c r="A27" s="5"/>
      <c r="B27" s="7"/>
      <c r="C27" s="7"/>
      <c r="D27" s="8"/>
      <c r="E27" s="12"/>
      <c r="F27" s="7"/>
    </row>
    <row r="28" spans="1:6" x14ac:dyDescent="0.25">
      <c r="A28" s="9"/>
      <c r="B28" s="10"/>
      <c r="C28" s="10"/>
      <c r="D28" s="11"/>
      <c r="E28" s="14"/>
      <c r="F28" s="10"/>
    </row>
  </sheetData>
  <mergeCells count="16">
    <mergeCell ref="A14:B14"/>
    <mergeCell ref="A15:D15"/>
    <mergeCell ref="A18:B18"/>
    <mergeCell ref="A24:B24"/>
    <mergeCell ref="A19:B19"/>
    <mergeCell ref="D18:E18"/>
    <mergeCell ref="D19:E19"/>
    <mergeCell ref="D24:E24"/>
    <mergeCell ref="A1:B4"/>
    <mergeCell ref="C4:F4"/>
    <mergeCell ref="C2:F2"/>
    <mergeCell ref="C1:F1"/>
    <mergeCell ref="A7:E7"/>
    <mergeCell ref="E6:F6"/>
    <mergeCell ref="A5:F5"/>
    <mergeCell ref="C3:F3"/>
  </mergeCells>
  <pageMargins left="0.9" right="0.5" top="1" bottom="1" header="0.5" footer="0.5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0"/>
  <sheetViews>
    <sheetView topLeftCell="A4" zoomScale="115" zoomScaleNormal="115" workbookViewId="0">
      <selection activeCell="D17" sqref="D17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111"/>
      <c r="B1" s="112"/>
      <c r="C1" s="113" t="s">
        <v>47</v>
      </c>
      <c r="D1" s="113"/>
      <c r="E1" s="113"/>
      <c r="F1" s="113"/>
      <c r="G1" s="113"/>
      <c r="H1" s="113"/>
    </row>
    <row r="2" spans="1:8" x14ac:dyDescent="0.25">
      <c r="A2" s="111"/>
      <c r="B2" s="112"/>
      <c r="C2" s="122" t="s">
        <v>36</v>
      </c>
      <c r="D2" s="123"/>
      <c r="E2" s="123"/>
      <c r="F2" s="123"/>
      <c r="G2" s="123"/>
      <c r="H2" s="124"/>
    </row>
    <row r="3" spans="1:8" x14ac:dyDescent="0.25">
      <c r="A3" s="111"/>
      <c r="B3" s="112"/>
      <c r="C3" s="93" t="s">
        <v>37</v>
      </c>
      <c r="D3" s="94"/>
      <c r="E3" s="94"/>
      <c r="F3" s="94"/>
      <c r="G3" s="94"/>
      <c r="H3" s="95"/>
    </row>
    <row r="4" spans="1:8" ht="15.75" customHeight="1" x14ac:dyDescent="0.25">
      <c r="A4" s="111"/>
      <c r="B4" s="112"/>
      <c r="C4" s="82" t="s">
        <v>48</v>
      </c>
      <c r="D4" s="83"/>
      <c r="E4" s="83"/>
      <c r="F4" s="83"/>
      <c r="G4" s="83"/>
      <c r="H4" s="84"/>
    </row>
    <row r="5" spans="1:8" ht="24.95" customHeight="1" x14ac:dyDescent="0.25">
      <c r="A5" s="114" t="s">
        <v>70</v>
      </c>
      <c r="B5" s="115"/>
      <c r="C5" s="116"/>
      <c r="D5" s="116"/>
      <c r="E5" s="116"/>
      <c r="F5" s="116"/>
      <c r="G5" s="116"/>
      <c r="H5" s="117"/>
    </row>
    <row r="6" spans="1:8" ht="15" customHeight="1" x14ac:dyDescent="0.25">
      <c r="A6" s="48"/>
      <c r="B6" s="37"/>
      <c r="C6" s="38"/>
      <c r="D6" s="38"/>
      <c r="E6" s="36"/>
      <c r="F6" s="36"/>
      <c r="G6" s="36"/>
      <c r="H6" s="36" t="s">
        <v>71</v>
      </c>
    </row>
    <row r="7" spans="1:8" s="3" customFormat="1" ht="15" customHeight="1" x14ac:dyDescent="0.25">
      <c r="A7" s="64" t="s">
        <v>27</v>
      </c>
      <c r="B7" s="35"/>
      <c r="C7" s="35"/>
      <c r="D7" s="35"/>
      <c r="E7" s="35"/>
      <c r="F7" s="35"/>
      <c r="G7" s="35"/>
      <c r="H7" s="35"/>
    </row>
    <row r="8" spans="1:8" s="3" customFormat="1" ht="15" customHeight="1" x14ac:dyDescent="0.25">
      <c r="A8" s="51" t="s">
        <v>35</v>
      </c>
      <c r="B8" s="35"/>
      <c r="C8" s="35"/>
      <c r="D8" s="35"/>
      <c r="E8" s="35"/>
      <c r="F8" s="35"/>
      <c r="G8" s="35"/>
      <c r="H8" s="35"/>
    </row>
    <row r="9" spans="1:8" s="3" customFormat="1" ht="15" customHeight="1" x14ac:dyDescent="0.25">
      <c r="A9" s="65"/>
      <c r="B9" s="40"/>
      <c r="C9" s="35"/>
      <c r="D9" s="35"/>
      <c r="E9" s="35"/>
      <c r="F9" s="35"/>
      <c r="G9" s="35"/>
      <c r="H9" s="35"/>
    </row>
    <row r="10" spans="1:8" s="3" customFormat="1" ht="15.95" customHeight="1" x14ac:dyDescent="0.25">
      <c r="A10" s="118" t="s">
        <v>2</v>
      </c>
      <c r="B10" s="119"/>
      <c r="C10" s="26">
        <f>'Bảng tính CK'!E15</f>
        <v>2648000</v>
      </c>
      <c r="D10" s="66"/>
      <c r="E10" s="35"/>
      <c r="F10" s="35"/>
      <c r="G10" s="35"/>
      <c r="H10" s="35"/>
    </row>
    <row r="11" spans="1:8" s="3" customFormat="1" ht="24.95" customHeight="1" x14ac:dyDescent="0.25">
      <c r="A11" s="104" t="s">
        <v>30</v>
      </c>
      <c r="B11" s="105"/>
      <c r="C11" s="26">
        <v>3</v>
      </c>
      <c r="D11" s="66"/>
      <c r="E11" s="35"/>
      <c r="F11" s="35"/>
      <c r="G11" s="35"/>
      <c r="H11" s="35"/>
    </row>
    <row r="12" spans="1:8" s="3" customFormat="1" ht="24.95" customHeight="1" x14ac:dyDescent="0.25">
      <c r="A12" s="120" t="s">
        <v>4</v>
      </c>
      <c r="B12" s="121"/>
      <c r="C12" s="24">
        <v>0</v>
      </c>
      <c r="D12" s="35"/>
      <c r="E12" s="35"/>
      <c r="F12" s="35"/>
      <c r="G12" s="35"/>
      <c r="H12" s="35"/>
    </row>
    <row r="13" spans="1:8" s="3" customFormat="1" ht="24.95" customHeight="1" x14ac:dyDescent="0.25">
      <c r="A13" s="109" t="s">
        <v>31</v>
      </c>
      <c r="B13" s="110"/>
      <c r="C13" s="24">
        <f>COUNTIFS(C16:C20, "&gt;=2.5",C16:C20,"&lt;7")</f>
        <v>0</v>
      </c>
      <c r="D13" s="35"/>
      <c r="E13" s="35"/>
      <c r="F13" s="35"/>
      <c r="G13" s="35"/>
      <c r="H13" s="35"/>
    </row>
    <row r="14" spans="1:8" s="3" customFormat="1" ht="10.5" customHeight="1" x14ac:dyDescent="0.25">
      <c r="A14" s="35"/>
      <c r="B14" s="35"/>
      <c r="C14" s="35"/>
      <c r="D14" s="35"/>
      <c r="E14" s="35"/>
      <c r="F14" s="35"/>
      <c r="G14" s="35"/>
      <c r="H14" s="35"/>
    </row>
    <row r="15" spans="1:8" ht="35.1" customHeight="1" x14ac:dyDescent="0.25">
      <c r="A15" s="28" t="s">
        <v>0</v>
      </c>
      <c r="B15" s="28" t="s">
        <v>51</v>
      </c>
      <c r="C15" s="28" t="s">
        <v>52</v>
      </c>
      <c r="D15" s="67" t="s">
        <v>53</v>
      </c>
      <c r="E15" s="67" t="s">
        <v>54</v>
      </c>
      <c r="F15" s="67" t="s">
        <v>55</v>
      </c>
      <c r="G15" s="67" t="s">
        <v>56</v>
      </c>
      <c r="H15" s="67" t="s">
        <v>57</v>
      </c>
    </row>
    <row r="16" spans="1:8" ht="16.5" customHeight="1" x14ac:dyDescent="0.25">
      <c r="A16" s="24">
        <v>1</v>
      </c>
      <c r="B16" s="24" t="s">
        <v>9</v>
      </c>
      <c r="C16" s="25">
        <v>1</v>
      </c>
      <c r="D16" s="57">
        <v>1</v>
      </c>
      <c r="E16" s="26">
        <f>($C$10*D16)/$D$19</f>
        <v>882666.66666666663</v>
      </c>
      <c r="F16" s="26">
        <v>0</v>
      </c>
      <c r="G16" s="26">
        <v>0</v>
      </c>
      <c r="H16" s="26">
        <f>((E16-F16)+($F$21/10))-G16</f>
        <v>882666.66666666663</v>
      </c>
    </row>
    <row r="17" spans="1:10" ht="16.5" customHeight="1" x14ac:dyDescent="0.25">
      <c r="A17" s="24">
        <v>2</v>
      </c>
      <c r="B17" s="24" t="s">
        <v>26</v>
      </c>
      <c r="C17" s="25">
        <v>1</v>
      </c>
      <c r="D17" s="57">
        <v>1</v>
      </c>
      <c r="E17" s="26">
        <f>($C$10*D17)/$D$19</f>
        <v>882666.66666666663</v>
      </c>
      <c r="F17" s="26">
        <v>0</v>
      </c>
      <c r="G17" s="26">
        <v>0</v>
      </c>
      <c r="H17" s="26">
        <f>((E17-F17)+($F$21/10))-G17</f>
        <v>882666.66666666663</v>
      </c>
    </row>
    <row r="18" spans="1:10" ht="16.5" customHeight="1" x14ac:dyDescent="0.25">
      <c r="A18" s="24">
        <v>3</v>
      </c>
      <c r="B18" s="24" t="s">
        <v>20</v>
      </c>
      <c r="C18" s="25">
        <v>1</v>
      </c>
      <c r="D18" s="57">
        <v>1</v>
      </c>
      <c r="E18" s="26">
        <f>($C$10*D18)/$D$19</f>
        <v>882666.66666666663</v>
      </c>
      <c r="F18" s="26">
        <v>0</v>
      </c>
      <c r="G18" s="26">
        <v>0</v>
      </c>
      <c r="H18" s="26">
        <f>((E18-F18)+($F$21/10))-G18</f>
        <v>882666.66666666663</v>
      </c>
    </row>
    <row r="19" spans="1:10" x14ac:dyDescent="0.25">
      <c r="A19" s="106" t="s">
        <v>5</v>
      </c>
      <c r="B19" s="107"/>
      <c r="C19" s="108"/>
      <c r="D19" s="58">
        <f>SUM(D16:D18)</f>
        <v>3</v>
      </c>
      <c r="E19" s="26"/>
      <c r="F19" s="26"/>
      <c r="G19" s="26"/>
      <c r="H19" s="26"/>
    </row>
    <row r="20" spans="1:10" x14ac:dyDescent="0.25">
      <c r="A20" s="30"/>
      <c r="B20" s="30"/>
      <c r="C20" s="31"/>
      <c r="D20" s="31"/>
      <c r="E20" s="32">
        <f>IF(OR(C20&gt;=7,C20 =""),0,$C$10/($C$11-$C$12))</f>
        <v>0</v>
      </c>
      <c r="F20" s="32">
        <f>IF(C20&lt;2.5,0,IF(AND(C20&gt;=2.5,C20&lt;7),(C20-2)*(($C$10/($C$11-$C$12))/7),0))</f>
        <v>0</v>
      </c>
      <c r="G20" s="32"/>
      <c r="H20" s="32">
        <f>IF(AND(C20&lt;=2.5,C20&lt;&gt;""),E20+$F$21/($C$11-$C$13-$C$12),E20-F20)</f>
        <v>0</v>
      </c>
      <c r="I20" s="50" t="s">
        <v>3</v>
      </c>
    </row>
    <row r="21" spans="1:10" x14ac:dyDescent="0.25">
      <c r="A21" s="96" t="s">
        <v>1</v>
      </c>
      <c r="B21" s="101"/>
      <c r="C21" s="97"/>
      <c r="D21" s="19"/>
      <c r="E21" s="27">
        <f>SUM(E16:E18)</f>
        <v>2648000</v>
      </c>
      <c r="F21" s="27">
        <f>SUM(F16:F20)</f>
        <v>0</v>
      </c>
      <c r="G21" s="27">
        <f>SUM(G16:G18)</f>
        <v>0</v>
      </c>
      <c r="H21" s="27">
        <f>SUM(H16:H18)</f>
        <v>2648000</v>
      </c>
      <c r="J21" s="4"/>
    </row>
    <row r="22" spans="1:10" ht="26.25" customHeight="1" x14ac:dyDescent="0.25">
      <c r="A22" s="49" t="s">
        <v>8</v>
      </c>
      <c r="B22" s="39"/>
      <c r="C22" s="39"/>
      <c r="D22" s="35"/>
      <c r="E22" s="35"/>
      <c r="F22" s="35"/>
      <c r="G22" s="35"/>
      <c r="H22" s="35"/>
    </row>
    <row r="23" spans="1:10" x14ac:dyDescent="0.25">
      <c r="A23" s="35"/>
      <c r="B23" s="35"/>
      <c r="C23" s="35"/>
      <c r="D23" s="35"/>
      <c r="E23" s="35"/>
      <c r="F23" s="35"/>
      <c r="G23" s="35"/>
      <c r="H23" s="35"/>
    </row>
    <row r="24" spans="1:10" x14ac:dyDescent="0.25">
      <c r="A24" s="99" t="s">
        <v>41</v>
      </c>
      <c r="B24" s="99"/>
      <c r="C24" s="99" t="s">
        <v>40</v>
      </c>
      <c r="D24" s="99"/>
      <c r="E24" s="102" t="s">
        <v>38</v>
      </c>
      <c r="F24" s="102"/>
      <c r="G24" s="99" t="s">
        <v>39</v>
      </c>
      <c r="H24" s="99"/>
    </row>
    <row r="25" spans="1:10" x14ac:dyDescent="0.25">
      <c r="A25" s="100" t="s">
        <v>7</v>
      </c>
      <c r="B25" s="100"/>
      <c r="C25" s="100" t="s">
        <v>7</v>
      </c>
      <c r="D25" s="100"/>
      <c r="E25" s="103" t="s">
        <v>7</v>
      </c>
      <c r="F25" s="103"/>
      <c r="G25" s="100" t="s">
        <v>7</v>
      </c>
      <c r="H25" s="100"/>
    </row>
    <row r="26" spans="1:10" x14ac:dyDescent="0.25">
      <c r="A26" s="34"/>
      <c r="B26" s="40"/>
      <c r="C26" s="35"/>
      <c r="D26" s="35"/>
      <c r="E26" s="53"/>
      <c r="F26" s="53"/>
      <c r="G26" s="35"/>
      <c r="H26" s="35"/>
    </row>
    <row r="27" spans="1:10" x14ac:dyDescent="0.25">
      <c r="A27" s="34"/>
      <c r="B27" s="40"/>
      <c r="C27" s="35"/>
      <c r="D27" s="35"/>
      <c r="E27" s="53"/>
      <c r="F27" s="53"/>
      <c r="G27" s="35"/>
      <c r="H27" s="35"/>
    </row>
    <row r="28" spans="1:10" x14ac:dyDescent="0.25">
      <c r="A28" s="34"/>
      <c r="B28" s="40"/>
      <c r="C28" s="35"/>
      <c r="D28" s="35"/>
      <c r="E28" s="53"/>
      <c r="F28" s="53"/>
      <c r="G28" s="35"/>
      <c r="H28" s="35"/>
    </row>
    <row r="29" spans="1:10" x14ac:dyDescent="0.25">
      <c r="A29" s="41"/>
      <c r="B29" s="42"/>
      <c r="C29" s="35"/>
      <c r="D29" s="35"/>
      <c r="E29" s="53"/>
      <c r="F29" s="53"/>
      <c r="G29" s="35"/>
      <c r="H29" s="35"/>
    </row>
    <row r="30" spans="1:10" x14ac:dyDescent="0.25">
      <c r="A30" s="99" t="s">
        <v>18</v>
      </c>
      <c r="B30" s="99"/>
      <c r="C30" s="99" t="s">
        <v>6</v>
      </c>
      <c r="D30" s="99"/>
      <c r="E30" s="102" t="s">
        <v>34</v>
      </c>
      <c r="F30" s="102"/>
      <c r="G30" s="99" t="s">
        <v>9</v>
      </c>
      <c r="H30" s="99"/>
    </row>
  </sheetData>
  <mergeCells count="24">
    <mergeCell ref="A11:B11"/>
    <mergeCell ref="A19:C19"/>
    <mergeCell ref="A13:B13"/>
    <mergeCell ref="A1:B4"/>
    <mergeCell ref="C1:H1"/>
    <mergeCell ref="C3:H3"/>
    <mergeCell ref="C4:H4"/>
    <mergeCell ref="A5:H5"/>
    <mergeCell ref="A10:B10"/>
    <mergeCell ref="A12:B12"/>
    <mergeCell ref="C2:H2"/>
    <mergeCell ref="A21:C21"/>
    <mergeCell ref="A25:B25"/>
    <mergeCell ref="A30:B30"/>
    <mergeCell ref="G24:H24"/>
    <mergeCell ref="G25:H25"/>
    <mergeCell ref="G30:H30"/>
    <mergeCell ref="A24:B24"/>
    <mergeCell ref="C30:D30"/>
    <mergeCell ref="E24:F24"/>
    <mergeCell ref="E30:F30"/>
    <mergeCell ref="E25:F25"/>
    <mergeCell ref="C24:D24"/>
    <mergeCell ref="C25:D25"/>
  </mergeCells>
  <pageMargins left="0.9" right="0.5" top="1" bottom="1" header="0.5" footer="0.5"/>
  <pageSetup paperSize="9" scale="88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0"/>
  <sheetViews>
    <sheetView tabSelected="1" view="pageBreakPreview" zoomScale="115" zoomScaleNormal="100" zoomScaleSheetLayoutView="115" workbookViewId="0">
      <selection activeCell="J10" sqref="J10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15" customWidth="1"/>
  </cols>
  <sheetData>
    <row r="1" spans="1:9" ht="15.75" customHeight="1" x14ac:dyDescent="0.25">
      <c r="A1" s="138"/>
      <c r="B1" s="138"/>
      <c r="C1" s="138"/>
      <c r="D1" s="139" t="s">
        <v>73</v>
      </c>
      <c r="E1" s="140"/>
      <c r="F1" s="140"/>
      <c r="G1" s="145" t="s">
        <v>10</v>
      </c>
      <c r="H1" s="146"/>
    </row>
    <row r="2" spans="1:9" ht="15.75" customHeight="1" x14ac:dyDescent="0.25">
      <c r="A2" s="138"/>
      <c r="B2" s="138"/>
      <c r="C2" s="138"/>
      <c r="D2" s="141"/>
      <c r="E2" s="142"/>
      <c r="F2" s="142"/>
      <c r="G2" s="145" t="s">
        <v>11</v>
      </c>
      <c r="H2" s="146"/>
    </row>
    <row r="3" spans="1:9" ht="15.75" customHeight="1" x14ac:dyDescent="0.25">
      <c r="A3" s="138"/>
      <c r="B3" s="138"/>
      <c r="C3" s="138"/>
      <c r="D3" s="143"/>
      <c r="E3" s="144"/>
      <c r="F3" s="144"/>
      <c r="G3" s="145" t="s">
        <v>12</v>
      </c>
      <c r="H3" s="146"/>
    </row>
    <row r="4" spans="1:9" x14ac:dyDescent="0.25">
      <c r="A4" s="137" t="str">
        <f>'Phiếu tính CK'!H6</f>
        <v>Hà Nội, ngày 28 tháng 08 năm 2026</v>
      </c>
      <c r="B4" s="137"/>
      <c r="C4" s="137"/>
      <c r="D4" s="137"/>
      <c r="E4" s="137"/>
      <c r="F4" s="137"/>
      <c r="G4" s="137"/>
      <c r="H4" s="137"/>
    </row>
    <row r="5" spans="1:9" x14ac:dyDescent="0.25">
      <c r="A5" s="68" t="s">
        <v>28</v>
      </c>
      <c r="B5" s="69"/>
      <c r="C5" s="70"/>
      <c r="D5" s="71"/>
      <c r="E5" s="71"/>
      <c r="F5" s="70"/>
      <c r="G5" s="70"/>
      <c r="H5" s="72"/>
    </row>
    <row r="6" spans="1:9" x14ac:dyDescent="0.25">
      <c r="A6" s="68" t="s">
        <v>29</v>
      </c>
      <c r="B6" s="69"/>
      <c r="C6" s="69"/>
      <c r="D6" s="72"/>
      <c r="E6" s="69"/>
      <c r="F6" s="73"/>
      <c r="G6" s="69"/>
      <c r="H6" s="72"/>
    </row>
    <row r="7" spans="1:9" x14ac:dyDescent="0.25">
      <c r="A7" s="69"/>
      <c r="B7" s="69"/>
      <c r="C7" s="69"/>
      <c r="D7" s="69"/>
      <c r="E7" s="69"/>
      <c r="F7" s="69"/>
      <c r="G7" s="69"/>
      <c r="H7" s="69"/>
    </row>
    <row r="8" spans="1:9" ht="15.75" customHeight="1" x14ac:dyDescent="0.25">
      <c r="A8" s="147" t="s">
        <v>0</v>
      </c>
      <c r="B8" s="147" t="s">
        <v>13</v>
      </c>
      <c r="C8" s="149" t="s">
        <v>14</v>
      </c>
      <c r="D8" s="150"/>
      <c r="E8" s="150"/>
      <c r="F8" s="151"/>
      <c r="G8" s="152" t="s">
        <v>46</v>
      </c>
      <c r="H8" s="152"/>
      <c r="I8" s="33"/>
    </row>
    <row r="9" spans="1:9" x14ac:dyDescent="0.25">
      <c r="A9" s="148"/>
      <c r="B9" s="148"/>
      <c r="C9" s="74" t="s">
        <v>60</v>
      </c>
      <c r="D9" s="74" t="s">
        <v>67</v>
      </c>
      <c r="E9" s="74" t="s">
        <v>59</v>
      </c>
      <c r="F9" s="74" t="s">
        <v>61</v>
      </c>
      <c r="G9" s="152"/>
      <c r="H9" s="152"/>
      <c r="I9" s="33"/>
    </row>
    <row r="10" spans="1:9" ht="26.1" customHeight="1" x14ac:dyDescent="0.25">
      <c r="A10" s="55">
        <v>1</v>
      </c>
      <c r="B10" s="20" t="s">
        <v>24</v>
      </c>
      <c r="C10" s="21">
        <v>1000</v>
      </c>
      <c r="D10" s="21">
        <v>2</v>
      </c>
      <c r="E10" s="21">
        <v>0</v>
      </c>
      <c r="F10" s="21">
        <f>D10-E10</f>
        <v>2</v>
      </c>
      <c r="G10" s="125" t="s">
        <v>69</v>
      </c>
      <c r="H10" s="126"/>
      <c r="I10" s="33"/>
    </row>
    <row r="11" spans="1:9" ht="45" customHeight="1" x14ac:dyDescent="0.25">
      <c r="A11" s="55">
        <v>2</v>
      </c>
      <c r="B11" s="20" t="s">
        <v>62</v>
      </c>
      <c r="C11" s="21">
        <v>1000</v>
      </c>
      <c r="D11" s="21">
        <v>480</v>
      </c>
      <c r="E11" s="21">
        <v>233</v>
      </c>
      <c r="F11" s="21">
        <f>SUM(D11-E11)</f>
        <v>247</v>
      </c>
      <c r="G11" s="125" t="s">
        <v>76</v>
      </c>
      <c r="H11" s="126"/>
      <c r="I11" s="33"/>
    </row>
    <row r="12" spans="1:9" ht="15.95" customHeight="1" x14ac:dyDescent="0.25">
      <c r="A12" s="55">
        <v>5</v>
      </c>
      <c r="B12" s="20" t="s">
        <v>63</v>
      </c>
      <c r="C12" s="21">
        <v>3000</v>
      </c>
      <c r="D12" s="21">
        <v>2500</v>
      </c>
      <c r="E12" s="21">
        <v>0</v>
      </c>
      <c r="F12" s="21">
        <f>SUM(D12-E12)</f>
        <v>2500</v>
      </c>
      <c r="G12" s="125" t="s">
        <v>64</v>
      </c>
      <c r="H12" s="126"/>
      <c r="I12" s="33"/>
    </row>
    <row r="13" spans="1:9" ht="15.95" customHeight="1" x14ac:dyDescent="0.25">
      <c r="A13" s="55">
        <v>6</v>
      </c>
      <c r="B13" s="22" t="s">
        <v>25</v>
      </c>
      <c r="C13" s="21">
        <v>200</v>
      </c>
      <c r="D13" s="21">
        <v>2</v>
      </c>
      <c r="E13" s="21">
        <v>0</v>
      </c>
      <c r="F13" s="23">
        <f>D13-E13</f>
        <v>2</v>
      </c>
      <c r="G13" s="130" t="s">
        <v>19</v>
      </c>
      <c r="H13" s="130"/>
      <c r="I13" s="33"/>
    </row>
    <row r="14" spans="1:9" ht="15.95" customHeight="1" x14ac:dyDescent="0.25">
      <c r="A14" s="55">
        <v>7</v>
      </c>
      <c r="B14" s="54" t="s">
        <v>16</v>
      </c>
      <c r="C14" s="21">
        <v>200</v>
      </c>
      <c r="D14" s="21">
        <v>178</v>
      </c>
      <c r="E14" s="21">
        <v>0</v>
      </c>
      <c r="F14" s="23">
        <f t="shared" ref="F14" si="0">D14</f>
        <v>178</v>
      </c>
      <c r="G14" s="130" t="s">
        <v>19</v>
      </c>
      <c r="H14" s="130"/>
      <c r="I14" s="33"/>
    </row>
    <row r="15" spans="1:9" ht="15.95" customHeight="1" x14ac:dyDescent="0.25">
      <c r="A15" s="55">
        <v>8</v>
      </c>
      <c r="B15" s="54" t="s">
        <v>15</v>
      </c>
      <c r="C15" s="21">
        <v>300</v>
      </c>
      <c r="D15" s="21">
        <v>52</v>
      </c>
      <c r="E15" s="21">
        <v>0</v>
      </c>
      <c r="F15" s="23">
        <f>D15-E15</f>
        <v>52</v>
      </c>
      <c r="G15" s="130" t="s">
        <v>19</v>
      </c>
      <c r="H15" s="130"/>
    </row>
    <row r="16" spans="1:9" ht="15.95" customHeight="1" x14ac:dyDescent="0.25">
      <c r="A16" s="55">
        <v>9</v>
      </c>
      <c r="B16" s="22" t="s">
        <v>15</v>
      </c>
      <c r="C16" s="21">
        <v>200</v>
      </c>
      <c r="D16" s="21">
        <v>22</v>
      </c>
      <c r="E16" s="21">
        <v>0</v>
      </c>
      <c r="F16" s="23">
        <f>D16-E16</f>
        <v>22</v>
      </c>
      <c r="G16" s="130" t="s">
        <v>19</v>
      </c>
      <c r="H16" s="130"/>
    </row>
    <row r="17" spans="1:8" ht="15.95" customHeight="1" x14ac:dyDescent="0.25">
      <c r="A17" s="55">
        <v>10</v>
      </c>
      <c r="B17" s="22" t="s">
        <v>23</v>
      </c>
      <c r="C17" s="21">
        <v>30</v>
      </c>
      <c r="D17" s="21">
        <v>2</v>
      </c>
      <c r="E17" s="21">
        <v>0</v>
      </c>
      <c r="F17" s="23">
        <f>D17-E17</f>
        <v>2</v>
      </c>
      <c r="G17" s="130" t="s">
        <v>19</v>
      </c>
      <c r="H17" s="130"/>
    </row>
    <row r="18" spans="1:8" ht="15.95" customHeight="1" x14ac:dyDescent="0.25">
      <c r="A18" s="55">
        <v>11</v>
      </c>
      <c r="B18" s="22" t="s">
        <v>21</v>
      </c>
      <c r="C18" s="21">
        <v>30</v>
      </c>
      <c r="D18" s="21">
        <v>3</v>
      </c>
      <c r="E18" s="21">
        <v>0</v>
      </c>
      <c r="F18" s="23">
        <v>3</v>
      </c>
      <c r="G18" s="130" t="s">
        <v>19</v>
      </c>
      <c r="H18" s="130"/>
    </row>
    <row r="19" spans="1:8" ht="15.95" customHeight="1" x14ac:dyDescent="0.25">
      <c r="A19" s="55">
        <v>12</v>
      </c>
      <c r="B19" s="22" t="s">
        <v>66</v>
      </c>
      <c r="C19" s="21"/>
      <c r="D19" s="21">
        <v>25</v>
      </c>
      <c r="E19" s="21">
        <v>23</v>
      </c>
      <c r="F19" s="23">
        <f>SUM(D19-E19)</f>
        <v>2</v>
      </c>
      <c r="G19" s="135" t="s">
        <v>68</v>
      </c>
      <c r="H19" s="136"/>
    </row>
    <row r="20" spans="1:8" ht="27.75" customHeight="1" x14ac:dyDescent="0.25">
      <c r="A20" s="55">
        <v>13</v>
      </c>
      <c r="B20" s="22" t="s">
        <v>65</v>
      </c>
      <c r="C20" s="21">
        <v>500</v>
      </c>
      <c r="D20" s="21">
        <v>140</v>
      </c>
      <c r="E20" s="21">
        <v>139</v>
      </c>
      <c r="F20" s="23">
        <f>SUM(D20-E20)</f>
        <v>1</v>
      </c>
      <c r="G20" s="153" t="s">
        <v>75</v>
      </c>
      <c r="H20" s="153"/>
    </row>
    <row r="21" spans="1:8" ht="15.95" customHeight="1" x14ac:dyDescent="0.25">
      <c r="A21" s="131" t="s">
        <v>17</v>
      </c>
      <c r="B21" s="132"/>
      <c r="C21" s="56">
        <f>SUM(C10:C20)</f>
        <v>6460</v>
      </c>
      <c r="D21" s="56">
        <f>SUM(D10:D20)</f>
        <v>3406</v>
      </c>
      <c r="E21" s="56">
        <f>SUM(E10:E20)</f>
        <v>395</v>
      </c>
      <c r="F21" s="56">
        <f>SUM(F10:F20)</f>
        <v>3011</v>
      </c>
      <c r="G21" s="133"/>
      <c r="H21" s="134"/>
    </row>
    <row r="22" spans="1:8" x14ac:dyDescent="0.25">
      <c r="A22" s="69"/>
      <c r="B22" s="69"/>
      <c r="C22" s="69"/>
      <c r="D22" s="69"/>
      <c r="E22" s="69"/>
      <c r="F22" s="69"/>
      <c r="G22" s="69"/>
      <c r="H22" s="69"/>
    </row>
    <row r="23" spans="1:8" x14ac:dyDescent="0.25">
      <c r="A23" s="129" t="s">
        <v>40</v>
      </c>
      <c r="B23" s="129"/>
      <c r="C23" s="129" t="s">
        <v>38</v>
      </c>
      <c r="D23" s="129"/>
      <c r="E23" s="129" t="s">
        <v>58</v>
      </c>
      <c r="F23" s="129"/>
      <c r="G23" s="99" t="s">
        <v>39</v>
      </c>
      <c r="H23" s="99"/>
    </row>
    <row r="24" spans="1:8" ht="15.75" customHeight="1" x14ac:dyDescent="0.25">
      <c r="A24" s="128" t="s">
        <v>7</v>
      </c>
      <c r="B24" s="128"/>
      <c r="C24" s="128" t="s">
        <v>7</v>
      </c>
      <c r="D24" s="128"/>
      <c r="E24" s="128" t="s">
        <v>7</v>
      </c>
      <c r="F24" s="128"/>
      <c r="G24" s="128" t="s">
        <v>7</v>
      </c>
      <c r="H24" s="128"/>
    </row>
    <row r="25" spans="1:8" x14ac:dyDescent="0.25">
      <c r="A25" s="75"/>
      <c r="B25" s="75"/>
      <c r="C25" s="75"/>
      <c r="D25" s="75"/>
      <c r="E25" s="75"/>
      <c r="F25" s="76"/>
      <c r="G25" s="75"/>
      <c r="H25" s="75"/>
    </row>
    <row r="26" spans="1:8" x14ac:dyDescent="0.25">
      <c r="A26" s="75"/>
      <c r="B26" s="75"/>
      <c r="C26" s="75"/>
      <c r="D26" s="59"/>
      <c r="E26" s="75"/>
      <c r="F26" s="75"/>
      <c r="G26" s="75"/>
      <c r="H26" s="75"/>
    </row>
    <row r="27" spans="1:8" x14ac:dyDescent="0.25">
      <c r="A27" s="77"/>
      <c r="B27" s="77"/>
      <c r="C27" s="77"/>
      <c r="D27" s="77"/>
      <c r="E27" s="77"/>
      <c r="F27" s="78"/>
      <c r="G27" s="77"/>
      <c r="H27" s="77"/>
    </row>
    <row r="28" spans="1:8" x14ac:dyDescent="0.25">
      <c r="A28" s="77"/>
      <c r="B28" s="77"/>
      <c r="C28" s="77"/>
      <c r="D28" s="77"/>
      <c r="E28" s="77"/>
      <c r="F28" s="78"/>
      <c r="G28" s="77"/>
      <c r="H28" s="77"/>
    </row>
    <row r="29" spans="1:8" x14ac:dyDescent="0.25">
      <c r="A29" s="127" t="s">
        <v>6</v>
      </c>
      <c r="B29" s="127"/>
      <c r="C29" s="127" t="s">
        <v>34</v>
      </c>
      <c r="D29" s="127"/>
      <c r="E29" s="127" t="s">
        <v>22</v>
      </c>
      <c r="F29" s="127"/>
      <c r="G29" s="127" t="s">
        <v>9</v>
      </c>
      <c r="H29" s="127"/>
    </row>
    <row r="30" spans="1:8" x14ac:dyDescent="0.25">
      <c r="A30" s="69"/>
      <c r="B30" s="69"/>
      <c r="C30" s="69"/>
      <c r="D30" s="79"/>
      <c r="E30" s="69"/>
      <c r="F30" s="69"/>
      <c r="G30" s="69"/>
      <c r="H30" s="69"/>
    </row>
  </sheetData>
  <mergeCells count="35">
    <mergeCell ref="G10:H10"/>
    <mergeCell ref="A8:A9"/>
    <mergeCell ref="B8:B9"/>
    <mergeCell ref="C8:F8"/>
    <mergeCell ref="G8:H9"/>
    <mergeCell ref="A4:H4"/>
    <mergeCell ref="A1:C3"/>
    <mergeCell ref="D1:F3"/>
    <mergeCell ref="G1:H1"/>
    <mergeCell ref="G2:H2"/>
    <mergeCell ref="G3:H3"/>
    <mergeCell ref="A21:B21"/>
    <mergeCell ref="G21:H21"/>
    <mergeCell ref="G20:H20"/>
    <mergeCell ref="G15:H15"/>
    <mergeCell ref="G14:H14"/>
    <mergeCell ref="G16:H16"/>
    <mergeCell ref="G17:H17"/>
    <mergeCell ref="G18:H18"/>
    <mergeCell ref="G19:H19"/>
    <mergeCell ref="G11:H11"/>
    <mergeCell ref="G12:H12"/>
    <mergeCell ref="A29:B29"/>
    <mergeCell ref="C29:D29"/>
    <mergeCell ref="E29:F29"/>
    <mergeCell ref="G29:H29"/>
    <mergeCell ref="G23:H23"/>
    <mergeCell ref="G24:H24"/>
    <mergeCell ref="C23:D23"/>
    <mergeCell ref="A23:B23"/>
    <mergeCell ref="A24:B24"/>
    <mergeCell ref="C24:D24"/>
    <mergeCell ref="E23:F23"/>
    <mergeCell ref="E24:F24"/>
    <mergeCell ref="G13:H13"/>
  </mergeCells>
  <pageMargins left="0.5" right="1" top="1" bottom="1" header="0" footer="0"/>
  <pageSetup paperSize="9" scale="86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2026-08-28T09:57:20Z</dcterms:modified>
</cp:coreProperties>
</file>