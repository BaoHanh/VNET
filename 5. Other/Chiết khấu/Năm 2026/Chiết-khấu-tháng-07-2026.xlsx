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29F502D-500E-46AB-9436-27ED31DC94C9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C22" i="3" l="1"/>
  <c r="D22" i="3"/>
  <c r="E22" i="3"/>
  <c r="F22" i="3"/>
  <c r="C14" i="1"/>
  <c r="F13" i="3" l="1"/>
  <c r="F12" i="3"/>
  <c r="E12" i="1" l="1"/>
  <c r="E11" i="1"/>
  <c r="F21" i="3" l="1"/>
  <c r="F20" i="3" l="1"/>
  <c r="F11" i="3"/>
  <c r="E13" i="1" l="1"/>
  <c r="E15" i="1" s="1"/>
  <c r="A4" i="3" l="1"/>
  <c r="E6" i="1"/>
  <c r="F10" i="3" l="1"/>
  <c r="F14" i="3" l="1"/>
  <c r="F17" i="3" l="1"/>
  <c r="F15" i="3"/>
  <c r="F16" i="3"/>
  <c r="F18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<sst xmlns="http://schemas.openxmlformats.org/spreadsheetml/2006/main" count="123" uniqueCount="82">
  <si>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</si>
  <si>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</si>
  <si>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</si>
  <si>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</si>
  <si>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</si>
  <si>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</si>
  <si>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</si>
  <si>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</si>
  <si>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</si>
  <si>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</si>
  <si>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</si>
  <si>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</si>
  <si>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</si>
  <si>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</si>
  <si>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</si>
  <si>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</si>
  <si>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</si>
  <si>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</si>
  <si>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</si>
  <si>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</si>
  <si>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</si>
  <si>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</si>
  <si>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</si>
  <si>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</si>
  <si>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</si>
  <si>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</si>
  <si>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</si>
  <si>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</si>
  <si>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</si>
  <si>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</si>
  <si>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</si>
  <si>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</si>
  <si>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</si>
  <si>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</si>
  <si>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</si>
  <si>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</si>
  <si>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</si>
  <si>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</si>
  <si>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</si>
  <si>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</si>
  <si>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</si>
  <si>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</si>
  <si>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</si>
  <si>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</si>
  <si>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</si>
  <si>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</si>
  <si>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</si>
  <si>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</si>
  <si>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</si>
  <si>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</si>
  <si>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</si>
  <si>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</si>
  <si>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</si>
  <si>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</si>
  <si>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</si>
  <si>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</si>
  <si>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</si>
  <si>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</si>
  <si>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</si>
  <si>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</si>
  <si>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</si>
  <si>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</si>
  <si>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</si>
  <si>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</si>
  <si>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</si>
  <si>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</si>
  <si>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CardReader</t>
  </si>
  <si>
    <t>TG102LE-4G UPG</t>
  </si>
  <si>
    <t>Hà Nội, ngày 31 tháng 07 năm 2026</t>
  </si>
  <si>
    <t>PHIẾU TÍNH CHIẾT KHẤU THÁNG 07 NĂM 2026</t>
  </si>
  <si>
    <t>BẢNG TÍNH CHIẾT KHẤU THÁNG 07 NĂM 2026</t>
  </si>
  <si>
    <t>PHIẾU XÁC NHẬN TỒN 
SẢN XUẤT THÁNG 07 - 2026</t>
  </si>
  <si>
    <t>Version cũ</t>
  </si>
  <si>
    <t>Version mới</t>
  </si>
  <si>
    <t>Tồn SX Trong Tháng</t>
  </si>
  <si>
    <t>122 tháng 06, 208 tháng 07</t>
  </si>
  <si>
    <t>Card Reader (old version)</t>
  </si>
  <si>
    <t>Đang xử lý</t>
  </si>
  <si>
    <t>Tồn lỗi (lỗi PCB bóc 
linh kiện dùng cho sủa chữa)</t>
  </si>
  <si>
    <t>Tồn lô 2/2026, TG102LE-4G (Aithings giữ 4 thiết bị kiểm tra, Makipos 
giữ 2 mạch fix lỗi chưa trả) 6 mạch lỗi</t>
  </si>
  <si>
    <t>Hết lô 4</t>
  </si>
  <si>
    <t>Đang xử lý (thực tế nhận 470)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</si>
</sst>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8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2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center"/>
    </xf>
    <xf numFmtId="0" fontId="14" fillId="0" borderId="0" xfId="1" applyFont="1" applyAlignment="1">
      <alignment horizont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D17" sqref="D17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65"/>
      <c r="B1" s="66"/>
      <c r="C1" s="73" t="s">
        <v>47</v>
      </c>
      <c r="D1" s="73"/>
      <c r="E1" s="73"/>
      <c r="F1" s="73"/>
    </row>
    <row r="2" spans="1:6" x14ac:dyDescent="0.25">
      <c r="A2" s="65"/>
      <c r="B2" s="66"/>
      <c r="C2" s="70" t="s">
        <v>49</v>
      </c>
      <c r="D2" s="71"/>
      <c r="E2" s="71"/>
      <c r="F2" s="72"/>
    </row>
    <row r="3" spans="1:6" x14ac:dyDescent="0.25">
      <c r="A3" s="65"/>
      <c r="B3" s="66"/>
      <c r="C3" s="78" t="s">
        <v>37</v>
      </c>
      <c r="D3" s="79"/>
      <c r="E3" s="79"/>
      <c r="F3" s="80"/>
    </row>
    <row r="4" spans="1:6" x14ac:dyDescent="0.25">
      <c r="A4" s="65"/>
      <c r="B4" s="66"/>
      <c r="C4" s="67" t="s">
        <v>48</v>
      </c>
      <c r="D4" s="68"/>
      <c r="E4" s="68"/>
      <c r="F4" s="69"/>
    </row>
    <row r="5" spans="1:6" ht="24.95" customHeight="1" x14ac:dyDescent="0.25">
      <c r="A5" s="76" t="s">
        <v>70</v>
      </c>
      <c r="B5" s="76"/>
      <c r="C5" s="77"/>
      <c r="D5" s="77"/>
      <c r="E5" s="77"/>
      <c r="F5" s="77"/>
    </row>
    <row r="6" spans="1:6" ht="15" customHeight="1" x14ac:dyDescent="0.25">
      <c r="A6" s="43"/>
      <c r="B6" s="43"/>
      <c r="C6" s="43"/>
      <c r="D6" s="44"/>
      <c r="E6" s="75" t="str">
        <f>'Phiếu tính CK'!H6</f>
        <v>Hà Nội, ngày 31 tháng 07 năm 2026</v>
      </c>
      <c r="F6" s="75"/>
    </row>
    <row r="7" spans="1:6" ht="15" customHeight="1" x14ac:dyDescent="0.25">
      <c r="A7" s="74" t="s">
        <v>27</v>
      </c>
      <c r="B7" s="74"/>
      <c r="C7" s="74"/>
      <c r="D7" s="74"/>
      <c r="E7" s="74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125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330</v>
      </c>
      <c r="D11" s="26">
        <v>8000</v>
      </c>
      <c r="E11" s="26">
        <f>SUM(C11*D11)</f>
        <v>2640000</v>
      </c>
      <c r="F11" s="24" t="s">
        <v>75</v>
      </c>
    </row>
    <row r="12" spans="1:6" ht="15" customHeight="1" x14ac:dyDescent="0.25">
      <c r="A12" s="24">
        <v>2</v>
      </c>
      <c r="B12" s="24" t="s">
        <v>66</v>
      </c>
      <c r="C12" s="24">
        <v>200</v>
      </c>
      <c r="D12" s="26">
        <v>3000</v>
      </c>
      <c r="E12" s="26">
        <f>SUM(C12*D12)</f>
        <v>600000</v>
      </c>
      <c r="F12" s="24" t="s">
        <v>72</v>
      </c>
    </row>
    <row r="13" spans="1:6" ht="15" customHeight="1" x14ac:dyDescent="0.25">
      <c r="A13" s="24">
        <v>3</v>
      </c>
      <c r="B13" s="24" t="s">
        <v>66</v>
      </c>
      <c r="C13" s="24">
        <v>300</v>
      </c>
      <c r="D13" s="26">
        <v>3000</v>
      </c>
      <c r="E13" s="26">
        <f>SUM(C13*D13)</f>
        <v>900000</v>
      </c>
      <c r="F13" s="24" t="s">
        <v>73</v>
      </c>
    </row>
    <row r="14" spans="1:6" ht="15" customHeight="1" x14ac:dyDescent="0.25">
      <c r="A14" s="61" t="s">
        <v>33</v>
      </c>
      <c r="B14" s="62"/>
      <c r="C14" s="28">
        <f>SUM(C11:C13)</f>
        <v>830</v>
      </c>
      <c r="D14" s="29"/>
      <c r="E14" s="24"/>
      <c r="F14" s="24"/>
    </row>
    <row r="15" spans="1:6" ht="15" customHeight="1" x14ac:dyDescent="0.25">
      <c r="A15" s="63" t="s">
        <v>32</v>
      </c>
      <c r="B15" s="63"/>
      <c r="C15" s="63"/>
      <c r="D15" s="63"/>
      <c r="E15" s="27">
        <f>SUM(E11:E13)</f>
        <v>4140000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103" t="s">
        <v>41</v>
      </c>
      <c r="B18" s="103"/>
      <c r="C18" s="34" t="s">
        <v>40</v>
      </c>
      <c r="D18" s="103" t="s">
        <v>38</v>
      </c>
      <c r="E18" s="103"/>
      <c r="F18" s="126" t="s">
        <v>39</v>
      </c>
    </row>
    <row r="19" spans="1:6" ht="15" customHeight="1" x14ac:dyDescent="0.25">
      <c r="A19" s="64" t="s">
        <v>7</v>
      </c>
      <c r="B19" s="64"/>
      <c r="C19" s="17" t="s">
        <v>7</v>
      </c>
      <c r="D19" s="64" t="s">
        <v>7</v>
      </c>
      <c r="E19" s="64"/>
      <c r="F19" s="17" t="s">
        <v>7</v>
      </c>
    </row>
    <row r="20" spans="1:6" ht="15" customHeight="1" x14ac:dyDescent="0.25">
      <c r="A20" s="34"/>
      <c r="B20" s="34"/>
      <c r="C20" s="34"/>
      <c r="D20" s="126"/>
      <c r="E20" s="60"/>
      <c r="F20" s="126"/>
    </row>
    <row r="21" spans="1:6" ht="15" customHeight="1" x14ac:dyDescent="0.25">
      <c r="A21" s="34"/>
      <c r="B21" s="34"/>
      <c r="C21" s="34"/>
      <c r="D21" s="126"/>
      <c r="E21" s="60"/>
      <c r="F21" s="126"/>
    </row>
    <row r="22" spans="1:6" ht="15" customHeight="1" x14ac:dyDescent="0.25">
      <c r="A22" s="34"/>
      <c r="B22" s="34"/>
      <c r="C22" s="34"/>
      <c r="D22" s="126"/>
      <c r="E22" s="60"/>
      <c r="F22" s="126"/>
    </row>
    <row r="23" spans="1:6" ht="15" customHeight="1" x14ac:dyDescent="0.25">
      <c r="A23" s="41"/>
      <c r="B23" s="41"/>
      <c r="C23" s="41"/>
      <c r="D23" s="128"/>
      <c r="E23" s="60"/>
      <c r="F23" s="41"/>
    </row>
    <row r="24" spans="1:6" ht="15" customHeight="1" x14ac:dyDescent="0.25">
      <c r="A24" s="103" t="s">
        <v>18</v>
      </c>
      <c r="B24" s="103"/>
      <c r="C24" s="34" t="s">
        <v>6</v>
      </c>
      <c r="D24" s="103" t="s">
        <v>34</v>
      </c>
      <c r="E24" s="103"/>
      <c r="F24" s="126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4:B14"/>
    <mergeCell ref="A15:D15"/>
    <mergeCell ref="A18:B18"/>
    <mergeCell ref="A24:B24"/>
    <mergeCell ref="A19:B19"/>
    <mergeCell ref="D18:E18"/>
    <mergeCell ref="D19:E19"/>
    <mergeCell ref="D24:E24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abSelected="1" topLeftCell="A10" zoomScale="115" zoomScaleNormal="115" workbookViewId="0">
      <selection activeCell="J13" sqref="J13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88"/>
      <c r="B1" s="89"/>
      <c r="C1" s="90" t="s">
        <v>47</v>
      </c>
      <c r="D1" s="90"/>
      <c r="E1" s="90"/>
      <c r="F1" s="90"/>
      <c r="G1" s="90"/>
      <c r="H1" s="90"/>
    </row>
    <row r="2" spans="1:8" x14ac:dyDescent="0.25">
      <c r="A2" s="88"/>
      <c r="B2" s="89"/>
      <c r="C2" s="99" t="s">
        <v>36</v>
      </c>
      <c r="D2" s="100"/>
      <c r="E2" s="100"/>
      <c r="F2" s="100"/>
      <c r="G2" s="100"/>
      <c r="H2" s="101"/>
    </row>
    <row r="3" spans="1:8" x14ac:dyDescent="0.25">
      <c r="A3" s="88"/>
      <c r="B3" s="89"/>
      <c r="C3" s="78" t="s">
        <v>37</v>
      </c>
      <c r="D3" s="79"/>
      <c r="E3" s="79"/>
      <c r="F3" s="79"/>
      <c r="G3" s="79"/>
      <c r="H3" s="80"/>
    </row>
    <row r="4" spans="1:8" ht="15.75" customHeight="1" x14ac:dyDescent="0.25">
      <c r="A4" s="88"/>
      <c r="B4" s="89"/>
      <c r="C4" s="67" t="s">
        <v>48</v>
      </c>
      <c r="D4" s="68"/>
      <c r="E4" s="68"/>
      <c r="F4" s="68"/>
      <c r="G4" s="68"/>
      <c r="H4" s="69"/>
    </row>
    <row r="5" spans="1:8" ht="24.95" customHeight="1" x14ac:dyDescent="0.25">
      <c r="A5" s="91" t="s">
        <v>69</v>
      </c>
      <c r="B5" s="92"/>
      <c r="C5" s="93"/>
      <c r="D5" s="93"/>
      <c r="E5" s="93"/>
      <c r="F5" s="93"/>
      <c r="G5" s="93"/>
      <c r="H5" s="94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68</v>
      </c>
    </row>
    <row r="7" spans="1:8" s="3" customFormat="1" ht="15" customHeight="1" x14ac:dyDescent="0.25">
      <c r="A7" s="129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130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95" t="s">
        <v>2</v>
      </c>
      <c r="B10" s="96"/>
      <c r="C10" s="26">
        <f>'Bảng tính CK'!E15</f>
        <v>4140000</v>
      </c>
      <c r="D10" s="131"/>
      <c r="E10" s="35"/>
      <c r="F10" s="35"/>
      <c r="G10" s="35"/>
      <c r="H10" s="35"/>
    </row>
    <row r="11" spans="1:8" s="3" customFormat="1" ht="24.95" customHeight="1" x14ac:dyDescent="0.25">
      <c r="A11" s="81" t="s">
        <v>30</v>
      </c>
      <c r="B11" s="82"/>
      <c r="C11" s="26">
        <v>3</v>
      </c>
      <c r="D11" s="131"/>
      <c r="E11" s="35"/>
      <c r="F11" s="35"/>
      <c r="G11" s="35"/>
      <c r="H11" s="35"/>
    </row>
    <row r="12" spans="1:8" s="3" customFormat="1" ht="24.95" customHeight="1" x14ac:dyDescent="0.25">
      <c r="A12" s="97" t="s">
        <v>4</v>
      </c>
      <c r="B12" s="98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86" t="s">
        <v>31</v>
      </c>
      <c r="B13" s="87"/>
      <c r="C13" s="24">
        <f>COUNTIFS(C16:C20, "&gt;=2.5",C16:C20,"&lt;7")</f>
        <v>1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132" t="s">
        <v>53</v>
      </c>
      <c r="E15" s="132" t="s">
        <v>54</v>
      </c>
      <c r="F15" s="132" t="s">
        <v>55</v>
      </c>
      <c r="G15" s="132" t="s">
        <v>56</v>
      </c>
      <c r="H15" s="132" t="s">
        <v>57</v>
      </c>
    </row>
    <row r="16" spans="1:8" ht="16.5" customHeight="1" x14ac:dyDescent="0.25">
      <c r="A16" s="24">
        <v>1</v>
      </c>
      <c r="B16" s="24" t="s">
        <v>9</v>
      </c>
      <c r="C16" s="25">
        <v>0</v>
      </c>
      <c r="D16" s="57">
        <v>1</v>
      </c>
      <c r="E16" s="26">
        <f>($C$10*D16)/$D$19</f>
        <v>1380000</v>
      </c>
      <c r="F16" s="26">
        <v>0</v>
      </c>
      <c r="G16" s="26">
        <v>0</v>
      </c>
      <c r="H16" s="26">
        <f>((E16-F16)+($F$21/10))-G16</f>
        <v>1380000</v>
      </c>
    </row>
    <row r="17" spans="1:10" ht="16.5" customHeight="1" x14ac:dyDescent="0.25">
      <c r="A17" s="24">
        <v>2</v>
      </c>
      <c r="B17" s="24" t="s">
        <v>26</v>
      </c>
      <c r="C17" s="25">
        <v>3</v>
      </c>
      <c r="D17" s="57">
        <v>1</v>
      </c>
      <c r="E17" s="26">
        <f>($C$10*D17)/$D$19</f>
        <v>1380000</v>
      </c>
      <c r="F17" s="26">
        <v>0</v>
      </c>
      <c r="G17" s="26">
        <v>0</v>
      </c>
      <c r="H17" s="26">
        <f>((E17-F17)+($F$21/10))-G17</f>
        <v>1380000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1380000</v>
      </c>
      <c r="F18" s="26">
        <v>0</v>
      </c>
      <c r="G18" s="26">
        <v>0</v>
      </c>
      <c r="H18" s="26">
        <f>((E18-F18)+($F$21/10))-G18</f>
        <v>1380000</v>
      </c>
    </row>
    <row r="19" spans="1:10" x14ac:dyDescent="0.25">
      <c r="A19" s="83" t="s">
        <v>5</v>
      </c>
      <c r="B19" s="84"/>
      <c r="C19" s="85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61" t="s">
        <v>1</v>
      </c>
      <c r="B21" s="102"/>
      <c r="C21" s="62"/>
      <c r="D21" s="19"/>
      <c r="E21" s="27">
        <f>SUM(E16:E18)</f>
        <v>4140000</v>
      </c>
      <c r="F21" s="27">
        <f>SUM(F16:F20)</f>
        <v>0</v>
      </c>
      <c r="G21" s="27">
        <f>SUM(G16:G18)</f>
        <v>0</v>
      </c>
      <c r="H21" s="27">
        <f>SUM(H16:H18)</f>
        <v>4140000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103" t="s">
        <v>41</v>
      </c>
      <c r="B24" s="103"/>
      <c r="C24" s="103" t="s">
        <v>40</v>
      </c>
      <c r="D24" s="103"/>
      <c r="E24" s="104" t="s">
        <v>38</v>
      </c>
      <c r="F24" s="104"/>
      <c r="G24" s="103" t="s">
        <v>39</v>
      </c>
      <c r="H24" s="103"/>
    </row>
    <row r="25" spans="1:10" x14ac:dyDescent="0.25">
      <c r="A25" s="64" t="s">
        <v>7</v>
      </c>
      <c r="B25" s="64"/>
      <c r="C25" s="64" t="s">
        <v>7</v>
      </c>
      <c r="D25" s="64"/>
      <c r="E25" s="105" t="s">
        <v>7</v>
      </c>
      <c r="F25" s="105"/>
      <c r="G25" s="64" t="s">
        <v>7</v>
      </c>
      <c r="H25" s="64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103" t="s">
        <v>18</v>
      </c>
      <c r="B30" s="103"/>
      <c r="C30" s="103" t="s">
        <v>6</v>
      </c>
      <c r="D30" s="103"/>
      <c r="E30" s="104" t="s">
        <v>34</v>
      </c>
      <c r="F30" s="104"/>
      <c r="G30" s="103" t="s">
        <v>9</v>
      </c>
      <c r="H30" s="103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view="pageBreakPreview" topLeftCell="A13" zoomScale="115" zoomScaleNormal="100" zoomScaleSheetLayoutView="115" workbookViewId="0">
      <selection activeCell="D28" sqref="D28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1.85546875" customWidth="1"/>
  </cols>
  <sheetData>
    <row r="1" spans="1:9" ht="15.75" customHeight="1" x14ac:dyDescent="0.25">
      <c r="A1" s="109"/>
      <c r="B1" s="109"/>
      <c r="C1" s="109"/>
      <c r="D1" s="110" t="s">
        <v>71</v>
      </c>
      <c r="E1" s="111"/>
      <c r="F1" s="111"/>
      <c r="G1" s="116" t="s">
        <v>10</v>
      </c>
      <c r="H1" s="117"/>
    </row>
    <row r="2" spans="1:9" ht="15.75" customHeight="1" x14ac:dyDescent="0.25">
      <c r="A2" s="109"/>
      <c r="B2" s="109"/>
      <c r="C2" s="109"/>
      <c r="D2" s="112"/>
      <c r="E2" s="113"/>
      <c r="F2" s="113"/>
      <c r="G2" s="116" t="s">
        <v>11</v>
      </c>
      <c r="H2" s="117"/>
    </row>
    <row r="3" spans="1:9" ht="15.75" customHeight="1" x14ac:dyDescent="0.25">
      <c r="A3" s="109"/>
      <c r="B3" s="109"/>
      <c r="C3" s="109"/>
      <c r="D3" s="114"/>
      <c r="E3" s="115"/>
      <c r="F3" s="115"/>
      <c r="G3" s="116" t="s">
        <v>12</v>
      </c>
      <c r="H3" s="117"/>
    </row>
    <row r="4" spans="1:9" x14ac:dyDescent="0.25">
      <c r="A4" s="108" t="str">
        <f>'Phiếu tính CK'!H6</f>
        <v>Hà Nội, ngày 31 tháng 07 năm 2026</v>
      </c>
      <c r="B4" s="108"/>
      <c r="C4" s="108"/>
      <c r="D4" s="108"/>
      <c r="E4" s="108"/>
      <c r="F4" s="108"/>
      <c r="G4" s="108"/>
      <c r="H4" s="108"/>
    </row>
    <row r="5" spans="1:9" x14ac:dyDescent="0.25">
      <c r="A5" s="133" t="s">
        <v>28</v>
      </c>
      <c r="B5" s="134"/>
      <c r="C5" s="135"/>
      <c r="D5" s="136"/>
      <c r="E5" s="136"/>
      <c r="F5" s="135"/>
      <c r="G5" s="135"/>
      <c r="H5" s="137"/>
    </row>
    <row r="6" spans="1:9" x14ac:dyDescent="0.25">
      <c r="A6" s="133" t="s">
        <v>29</v>
      </c>
      <c r="B6" s="134"/>
      <c r="C6" s="134"/>
      <c r="D6" s="137"/>
      <c r="E6" s="134"/>
      <c r="F6" s="138"/>
      <c r="G6" s="134"/>
      <c r="H6" s="137"/>
    </row>
    <row r="7" spans="1:9" x14ac:dyDescent="0.25">
      <c r="A7" s="134"/>
      <c r="B7" s="134"/>
      <c r="C7" s="134"/>
      <c r="D7" s="134"/>
      <c r="E7" s="134"/>
      <c r="F7" s="134"/>
      <c r="G7" s="134"/>
      <c r="H7" s="134"/>
    </row>
    <row r="8" spans="1:9" ht="15.75" customHeight="1" x14ac:dyDescent="0.25">
      <c r="A8" s="139" t="s">
        <v>0</v>
      </c>
      <c r="B8" s="139" t="s">
        <v>13</v>
      </c>
      <c r="C8" s="140" t="s">
        <v>14</v>
      </c>
      <c r="D8" s="141"/>
      <c r="E8" s="141"/>
      <c r="F8" s="142"/>
      <c r="G8" s="143" t="s">
        <v>46</v>
      </c>
      <c r="H8" s="143"/>
      <c r="I8" s="33"/>
    </row>
    <row r="9" spans="1:9" x14ac:dyDescent="0.25">
      <c r="A9" s="144"/>
      <c r="B9" s="144"/>
      <c r="C9" s="145" t="s">
        <v>60</v>
      </c>
      <c r="D9" s="145" t="s">
        <v>74</v>
      </c>
      <c r="E9" s="145" t="s">
        <v>59</v>
      </c>
      <c r="F9" s="145" t="s">
        <v>61</v>
      </c>
      <c r="G9" s="143"/>
      <c r="H9" s="143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06" t="s">
        <v>78</v>
      </c>
      <c r="H10" s="107"/>
      <c r="I10" s="33"/>
    </row>
    <row r="11" spans="1:9" ht="42" customHeight="1" x14ac:dyDescent="0.25">
      <c r="A11" s="55">
        <v>2</v>
      </c>
      <c r="B11" s="20" t="s">
        <v>62</v>
      </c>
      <c r="C11" s="21">
        <v>1000</v>
      </c>
      <c r="D11" s="21">
        <v>203</v>
      </c>
      <c r="E11" s="21">
        <v>191</v>
      </c>
      <c r="F11" s="21">
        <f>SUM(D11-E11)</f>
        <v>12</v>
      </c>
      <c r="G11" s="106" t="s">
        <v>79</v>
      </c>
      <c r="H11" s="107"/>
      <c r="I11" s="33"/>
    </row>
    <row r="12" spans="1:9" ht="15.95" customHeight="1" x14ac:dyDescent="0.25">
      <c r="A12" s="55">
        <v>4</v>
      </c>
      <c r="B12" s="20" t="s">
        <v>76</v>
      </c>
      <c r="C12" s="21">
        <v>200</v>
      </c>
      <c r="D12" s="21">
        <v>200</v>
      </c>
      <c r="E12" s="21">
        <v>200</v>
      </c>
      <c r="F12" s="21">
        <f>SUM(D12-E12)</f>
        <v>0</v>
      </c>
      <c r="G12" s="106" t="s">
        <v>80</v>
      </c>
      <c r="H12" s="107"/>
      <c r="I12" s="33"/>
    </row>
    <row r="13" spans="1:9" ht="15.95" customHeight="1" x14ac:dyDescent="0.25">
      <c r="A13" s="55">
        <v>5</v>
      </c>
      <c r="B13" s="20" t="s">
        <v>63</v>
      </c>
      <c r="C13" s="21">
        <v>3000</v>
      </c>
      <c r="D13" s="21">
        <v>2800</v>
      </c>
      <c r="E13" s="21">
        <v>300</v>
      </c>
      <c r="F13" s="21">
        <f>SUM(D13-E13)</f>
        <v>2500</v>
      </c>
      <c r="G13" s="106" t="s">
        <v>64</v>
      </c>
      <c r="H13" s="107"/>
      <c r="I13" s="33"/>
    </row>
    <row r="14" spans="1:9" ht="15.95" customHeight="1" x14ac:dyDescent="0.25">
      <c r="A14" s="55">
        <v>6</v>
      </c>
      <c r="B14" s="22" t="s">
        <v>25</v>
      </c>
      <c r="C14" s="21">
        <v>200</v>
      </c>
      <c r="D14" s="21">
        <v>2</v>
      </c>
      <c r="E14" s="21">
        <v>0</v>
      </c>
      <c r="F14" s="23">
        <f>D14-E14</f>
        <v>2</v>
      </c>
      <c r="G14" s="122" t="s">
        <v>19</v>
      </c>
      <c r="H14" s="122"/>
      <c r="I14" s="33"/>
    </row>
    <row r="15" spans="1:9" ht="15.95" customHeight="1" x14ac:dyDescent="0.25">
      <c r="A15" s="55">
        <v>7</v>
      </c>
      <c r="B15" s="54" t="s">
        <v>16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22" t="s">
        <v>19</v>
      </c>
      <c r="H15" s="122"/>
      <c r="I15" s="33"/>
    </row>
    <row r="16" spans="1:9" ht="15.95" customHeight="1" x14ac:dyDescent="0.25">
      <c r="A16" s="55">
        <v>8</v>
      </c>
      <c r="B16" s="54" t="s">
        <v>15</v>
      </c>
      <c r="C16" s="21">
        <v>300</v>
      </c>
      <c r="D16" s="21">
        <v>52</v>
      </c>
      <c r="E16" s="21">
        <v>0</v>
      </c>
      <c r="F16" s="23">
        <f>D16-E16</f>
        <v>52</v>
      </c>
      <c r="G16" s="122" t="s">
        <v>19</v>
      </c>
      <c r="H16" s="122"/>
    </row>
    <row r="17" spans="1:8" ht="15.95" customHeight="1" x14ac:dyDescent="0.25">
      <c r="A17" s="55">
        <v>9</v>
      </c>
      <c r="B17" s="22" t="s">
        <v>15</v>
      </c>
      <c r="C17" s="21">
        <v>200</v>
      </c>
      <c r="D17" s="21">
        <v>22</v>
      </c>
      <c r="E17" s="21">
        <v>0</v>
      </c>
      <c r="F17" s="23">
        <f>D17-E17</f>
        <v>22</v>
      </c>
      <c r="G17" s="122" t="s">
        <v>19</v>
      </c>
      <c r="H17" s="122"/>
    </row>
    <row r="18" spans="1:8" ht="15.95" customHeight="1" x14ac:dyDescent="0.25">
      <c r="A18" s="55">
        <v>10</v>
      </c>
      <c r="B18" s="22" t="s">
        <v>23</v>
      </c>
      <c r="C18" s="21">
        <v>30</v>
      </c>
      <c r="D18" s="21">
        <v>2</v>
      </c>
      <c r="E18" s="21">
        <v>0</v>
      </c>
      <c r="F18" s="23">
        <f>D18-E18</f>
        <v>2</v>
      </c>
      <c r="G18" s="122" t="s">
        <v>19</v>
      </c>
      <c r="H18" s="122"/>
    </row>
    <row r="19" spans="1:8" ht="15.95" customHeight="1" x14ac:dyDescent="0.25">
      <c r="A19" s="55">
        <v>11</v>
      </c>
      <c r="B19" s="22" t="s">
        <v>21</v>
      </c>
      <c r="C19" s="21">
        <v>30</v>
      </c>
      <c r="D19" s="21">
        <v>3</v>
      </c>
      <c r="E19" s="21">
        <v>0</v>
      </c>
      <c r="F19" s="23">
        <v>3</v>
      </c>
      <c r="G19" s="122" t="s">
        <v>19</v>
      </c>
      <c r="H19" s="122"/>
    </row>
    <row r="20" spans="1:8" ht="15.95" customHeight="1" x14ac:dyDescent="0.25">
      <c r="A20" s="55">
        <v>12</v>
      </c>
      <c r="B20" s="22" t="s">
        <v>67</v>
      </c>
      <c r="C20" s="21"/>
      <c r="D20" s="21">
        <v>23</v>
      </c>
      <c r="E20" s="21">
        <v>0</v>
      </c>
      <c r="F20" s="23">
        <f>SUM(D20-E20)</f>
        <v>23</v>
      </c>
      <c r="G20" s="123" t="s">
        <v>77</v>
      </c>
      <c r="H20" s="124"/>
    </row>
    <row r="21" spans="1:8" ht="15.95" customHeight="1" x14ac:dyDescent="0.25">
      <c r="A21" s="55">
        <v>13</v>
      </c>
      <c r="B21" s="22" t="s">
        <v>65</v>
      </c>
      <c r="C21" s="21">
        <v>500</v>
      </c>
      <c r="D21" s="21">
        <v>348</v>
      </c>
      <c r="E21" s="21">
        <v>208</v>
      </c>
      <c r="F21" s="23">
        <f>SUM(D21-E21)</f>
        <v>140</v>
      </c>
      <c r="G21" s="122" t="s">
        <v>81</v>
      </c>
      <c r="H21" s="122"/>
    </row>
    <row r="22" spans="1:8" ht="15.95" customHeight="1" x14ac:dyDescent="0.25">
      <c r="A22" s="118" t="s">
        <v>17</v>
      </c>
      <c r="B22" s="119"/>
      <c r="C22" s="56">
        <f>SUM(C10:C21)</f>
        <v>6660</v>
      </c>
      <c r="D22" s="56">
        <f>SUM(D10:D21)</f>
        <v>3835</v>
      </c>
      <c r="E22" s="56">
        <f>SUM(E10:E21)</f>
        <v>899</v>
      </c>
      <c r="F22" s="56">
        <f>SUM(F10:F21)</f>
        <v>2936</v>
      </c>
      <c r="G22" s="120"/>
      <c r="H22" s="121"/>
    </row>
    <row r="23" spans="1:8" x14ac:dyDescent="0.25">
      <c r="A23" s="134"/>
      <c r="B23" s="134"/>
      <c r="C23" s="134"/>
      <c r="D23" s="134"/>
      <c r="E23" s="134"/>
      <c r="F23" s="134"/>
      <c r="G23" s="134"/>
      <c r="H23" s="134"/>
    </row>
    <row r="24" spans="1:8" x14ac:dyDescent="0.25">
      <c r="A24" s="146" t="s">
        <v>40</v>
      </c>
      <c r="B24" s="146"/>
      <c r="C24" s="146" t="s">
        <v>38</v>
      </c>
      <c r="D24" s="146"/>
      <c r="E24" s="146" t="s">
        <v>58</v>
      </c>
      <c r="F24" s="146"/>
      <c r="G24" s="103" t="s">
        <v>39</v>
      </c>
      <c r="H24" s="103"/>
    </row>
    <row r="25" spans="1:8" ht="15.75" customHeight="1" x14ac:dyDescent="0.25">
      <c r="A25" s="127" t="s">
        <v>7</v>
      </c>
      <c r="B25" s="127"/>
      <c r="C25" s="127" t="s">
        <v>7</v>
      </c>
      <c r="D25" s="127"/>
      <c r="E25" s="127" t="s">
        <v>7</v>
      </c>
      <c r="F25" s="127"/>
      <c r="G25" s="127" t="s">
        <v>7</v>
      </c>
      <c r="H25" s="127"/>
    </row>
    <row r="26" spans="1:8" x14ac:dyDescent="0.25">
      <c r="A26" s="147"/>
      <c r="B26" s="147"/>
      <c r="C26" s="147"/>
      <c r="D26" s="147"/>
      <c r="E26" s="147"/>
      <c r="F26" s="148"/>
      <c r="G26" s="147"/>
      <c r="H26" s="147"/>
    </row>
    <row r="27" spans="1:8" x14ac:dyDescent="0.25">
      <c r="A27" s="147"/>
      <c r="B27" s="147"/>
      <c r="C27" s="147"/>
      <c r="D27" s="59"/>
      <c r="E27" s="147"/>
      <c r="F27" s="147"/>
      <c r="G27" s="147"/>
      <c r="H27" s="147"/>
    </row>
    <row r="28" spans="1:8" x14ac:dyDescent="0.25">
      <c r="A28" s="149"/>
      <c r="B28" s="149"/>
      <c r="C28" s="149"/>
      <c r="D28" s="149"/>
      <c r="E28" s="149"/>
      <c r="F28" s="150"/>
      <c r="G28" s="149"/>
      <c r="H28" s="149"/>
    </row>
    <row r="29" spans="1:8" x14ac:dyDescent="0.25">
      <c r="A29" s="149"/>
      <c r="B29" s="149"/>
      <c r="C29" s="149"/>
      <c r="D29" s="149"/>
      <c r="E29" s="149"/>
      <c r="F29" s="150"/>
      <c r="G29" s="149"/>
      <c r="H29" s="149"/>
    </row>
    <row r="30" spans="1:8" x14ac:dyDescent="0.25">
      <c r="A30" s="151" t="s">
        <v>6</v>
      </c>
      <c r="B30" s="151"/>
      <c r="C30" s="151" t="s">
        <v>34</v>
      </c>
      <c r="D30" s="151"/>
      <c r="E30" s="151" t="s">
        <v>22</v>
      </c>
      <c r="F30" s="151"/>
      <c r="G30" s="151" t="s">
        <v>9</v>
      </c>
      <c r="H30" s="151"/>
    </row>
    <row r="31" spans="1:8" x14ac:dyDescent="0.25">
      <c r="A31" s="134"/>
      <c r="B31" s="134"/>
      <c r="C31" s="134"/>
      <c r="D31" s="152"/>
      <c r="E31" s="134"/>
      <c r="F31" s="134"/>
      <c r="G31" s="134"/>
      <c r="H31" s="134"/>
    </row>
  </sheetData>
  <mergeCells count="36">
    <mergeCell ref="G12:H12"/>
    <mergeCell ref="G11:H11"/>
    <mergeCell ref="G13:H13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2026-07-31T07:33:40Z</dcterms:modified>
</cp:coreProperties>
</file>