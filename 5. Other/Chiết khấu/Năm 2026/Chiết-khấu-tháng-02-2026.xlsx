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90AC405-FBA5-4175-BD39-6A9DDEEFBCB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CK'!$A$1:$F$26</definedName>
    <definedName name="_xlnm.Print_Area" localSheetId="1">'Phiếu tính CK'!$A$1:$H$31</definedName>
    <definedName name="_xlnm.Print_Area" localSheetId="2">'Tồn sản xuất'!$A$1:$H$28</definedName>
  </definedNames>
  <calcPr calcId="181029"/>
</workbook>
</file>

<file path=xl/calcChain.xml><?xml version="1.0" encoding="utf-8"?>
<calcChain xmlns="http://schemas.openxmlformats.org/spreadsheetml/2006/main">
  <c r="F18" i="3" l="1"/>
  <c r="E19" i="3"/>
  <c r="D19" i="3"/>
  <c r="C19" i="3" l="1"/>
  <c r="A4" i="3" l="1"/>
  <c r="E6" i="1"/>
  <c r="F10" i="3" l="1"/>
  <c r="C12" i="1" l="1"/>
  <c r="F11" i="3"/>
  <c r="F14" i="3" l="1"/>
  <c r="F12" i="3"/>
  <c r="F13" i="3"/>
  <c r="F15" i="3"/>
  <c r="F19" i="3" l="1"/>
  <c r="E11" i="1"/>
  <c r="E13" i="1" l="1"/>
  <c r="D20" i="2" l="1"/>
  <c r="G22" i="2" l="1"/>
  <c r="E21" i="2" l="1"/>
  <c r="F21" i="2"/>
  <c r="C13" i="2"/>
  <c r="H21" i="2" l="1"/>
  <c r="C10" i="2" l="1"/>
  <c r="E16" i="2" l="1"/>
  <c r="E18" i="2"/>
  <c r="E17" i="2"/>
  <c r="E19" i="2"/>
  <c r="F22" i="2"/>
  <c r="H16" i="2" l="1"/>
  <c r="H18" i="2"/>
  <c r="E22" i="2"/>
  <c r="H17" i="2"/>
  <c r="H19" i="2"/>
  <c r="H22" i="2" l="1"/>
</calcChain>
</file>

<file path=xl/sharedStrings.xml><?xml version="1.0" encoding="utf-8"?>
<sst xmlns="http://schemas.openxmlformats.org/spreadsheetml/2006/main" count="114" uniqueCount="75">
  <si>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</si>
  <si>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</si>
  <si>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</si>
  <si>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</si>
  <si>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</si>
  <si>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</si>
  <si>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</si>
  <si>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</si>
  <si>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Ghi chú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</si>
  <si>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</si>
  <si>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</si>
  <si>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</si>
  <si>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</si>
  <si>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</si>
  <si>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</si>
  <si>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</si>
  <si>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 xml:space="preserve">Số lượng sản xuất theo lô </t>
  </si>
  <si>
    <t>Tồn SX đầu tháng</t>
  </si>
  <si>
    <t>Nhập kho</t>
  </si>
  <si>
    <t>Tồn SX cuối tháng</t>
  </si>
  <si>
    <t>ACT-01</t>
  </si>
  <si>
    <t>Temp Sensor Display</t>
  </si>
  <si>
    <t>TỔNG</t>
  </si>
  <si>
    <t>Nguyễn Hải</t>
  </si>
  <si>
    <t>Tồn lỗi</t>
  </si>
  <si>
    <t>Upgrade 4G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</si>
  <si>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</si>
  <si>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</si>
  <si>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</si>
  <si>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</si>
  <si>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</si>
  <si>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</si>
  <si>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</si>
  <si>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</si>
  <si>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</si>
  <si>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</si>
  <si>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</si>
  <si>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</si>
  <si>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</si>
  <si>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</si>
  <si>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</si>
  <si>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</si>
  <si>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</si>
  <si>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Lô 4-2025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</si>
  <si>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</si>
  <si>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</si>
  <si>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</si>
  <si>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</si>
  <si>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</si>
  <si>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</si>
  <si>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</si>
  <si>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</si>
  <si>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</si>
  <si>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</si>
  <si>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</si>
  <si>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</si>
  <si>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</si>
  <si>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</si>
  <si>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</si>
  <si>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</si>
  <si>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</si>
  <si>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</si>
  <si>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</si>
  <si>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</si>
  <si>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</si>
  <si>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</si>
  <si>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</si>
  <si>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</si>
  <si>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Tồn lỗi + chưa nâng cấp lên 4G</t>
  </si>
  <si>
    <t>Hà Nội, ngày 27 tháng 02 năm 2026</t>
  </si>
  <si>
    <t>BẢNG TÍNH CHIẾT KHẤU THÁNG 02 NĂM 2026</t>
  </si>
  <si>
    <t>PHIẾU XÁC NHẬN TỒN 
SẢN XUẤT THÁNG 02 - 2026</t>
  </si>
  <si>
    <t>PHIẾU TÍNH CHIẾT KHẤU THÁNG 02 NĂM 2026</t>
  </si>
  <si>
    <t>Card Reader</t>
  </si>
  <si>
    <t>Lô 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</si>
</sst>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3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16" fontId="16" fillId="0" borderId="3" xfId="1" quotePrefix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zoomScale="115" zoomScaleNormal="115" workbookViewId="0">
      <selection activeCell="J9" sqref="J9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2"/>
      <c r="B1" s="83"/>
      <c r="C1" s="90" t="s">
        <v>56</v>
      </c>
      <c r="D1" s="90"/>
      <c r="E1" s="90"/>
      <c r="F1" s="90"/>
    </row>
    <row r="2" spans="1:6" x14ac:dyDescent="0.25">
      <c r="A2" s="82"/>
      <c r="B2" s="83"/>
      <c r="C2" s="87" t="s">
        <v>58</v>
      </c>
      <c r="D2" s="88"/>
      <c r="E2" s="88"/>
      <c r="F2" s="89"/>
    </row>
    <row r="3" spans="1:6" x14ac:dyDescent="0.25">
      <c r="A3" s="82"/>
      <c r="B3" s="83"/>
      <c r="C3" s="95" t="s">
        <v>46</v>
      </c>
      <c r="D3" s="96"/>
      <c r="E3" s="96"/>
      <c r="F3" s="97"/>
    </row>
    <row r="4" spans="1:6" x14ac:dyDescent="0.25">
      <c r="A4" s="82"/>
      <c r="B4" s="83"/>
      <c r="C4" s="84" t="s">
        <v>57</v>
      </c>
      <c r="D4" s="85"/>
      <c r="E4" s="85"/>
      <c r="F4" s="86"/>
    </row>
    <row r="5" spans="1:6" ht="24.95" customHeight="1" x14ac:dyDescent="0.25">
      <c r="A5" s="93" t="s">
        <v>70</v>
      </c>
      <c r="B5" s="93"/>
      <c r="C5" s="94"/>
      <c r="D5" s="94"/>
      <c r="E5" s="94"/>
      <c r="F5" s="94"/>
    </row>
    <row r="6" spans="1:6" ht="15" customHeight="1" x14ac:dyDescent="0.25">
      <c r="A6" s="67"/>
      <c r="B6" s="67"/>
      <c r="C6" s="67"/>
      <c r="D6" s="68"/>
      <c r="E6" s="92" t="str">
        <f>'Phiếu tính CK'!H6</f>
        <v>Hà Nội, ngày 27 tháng 02 năm 2026</v>
      </c>
      <c r="F6" s="92"/>
    </row>
    <row r="7" spans="1:6" ht="15" customHeight="1" x14ac:dyDescent="0.25">
      <c r="A7" s="91" t="s">
        <v>35</v>
      </c>
      <c r="B7" s="91"/>
      <c r="C7" s="91"/>
      <c r="D7" s="91"/>
      <c r="E7" s="91"/>
      <c r="F7" s="28"/>
    </row>
    <row r="8" spans="1:6" ht="15" customHeight="1" x14ac:dyDescent="0.25">
      <c r="A8" s="77" t="s">
        <v>59</v>
      </c>
      <c r="B8" s="77"/>
      <c r="C8" s="77"/>
      <c r="D8" s="78"/>
      <c r="E8" s="77"/>
      <c r="F8" s="28"/>
    </row>
    <row r="9" spans="1:6" ht="15" customHeight="1" x14ac:dyDescent="0.25">
      <c r="A9" s="25"/>
      <c r="B9" s="25"/>
      <c r="C9" s="25"/>
      <c r="D9" s="69"/>
      <c r="E9" s="25"/>
      <c r="F9" s="28"/>
    </row>
    <row r="10" spans="1:6" ht="15" customHeight="1" x14ac:dyDescent="0.25">
      <c r="A10" s="4" t="s">
        <v>0</v>
      </c>
      <c r="B10" s="4" t="s">
        <v>51</v>
      </c>
      <c r="C10" s="4" t="s">
        <v>52</v>
      </c>
      <c r="D10" s="26" t="s">
        <v>54</v>
      </c>
      <c r="E10" s="4" t="s">
        <v>53</v>
      </c>
      <c r="F10" s="4" t="s">
        <v>55</v>
      </c>
    </row>
    <row r="11" spans="1:6" ht="15" customHeight="1" x14ac:dyDescent="0.25">
      <c r="A11" s="47">
        <v>1</v>
      </c>
      <c r="B11" s="47" t="s">
        <v>73</v>
      </c>
      <c r="C11" s="47">
        <v>550</v>
      </c>
      <c r="D11" s="50">
        <v>3000</v>
      </c>
      <c r="E11" s="50">
        <f t="shared" ref="E11" si="0">C11*D11</f>
        <v>1650000</v>
      </c>
      <c r="F11" s="47" t="s">
        <v>25</v>
      </c>
    </row>
    <row r="12" spans="1:6" ht="15" customHeight="1" x14ac:dyDescent="0.25">
      <c r="A12" s="98" t="s">
        <v>41</v>
      </c>
      <c r="B12" s="99"/>
      <c r="C12" s="52">
        <f>SUM(C11:C11)</f>
        <v>550</v>
      </c>
      <c r="D12" s="53"/>
      <c r="E12" s="47"/>
      <c r="F12" s="47"/>
    </row>
    <row r="13" spans="1:6" ht="15" customHeight="1" x14ac:dyDescent="0.25">
      <c r="A13" s="100" t="s">
        <v>40</v>
      </c>
      <c r="B13" s="100"/>
      <c r="C13" s="100"/>
      <c r="D13" s="100"/>
      <c r="E13" s="51">
        <f>SUM(E11:E11)</f>
        <v>1650000</v>
      </c>
      <c r="F13" s="47"/>
    </row>
    <row r="14" spans="1:6" ht="15" customHeight="1" x14ac:dyDescent="0.25">
      <c r="A14" s="21"/>
      <c r="B14" s="21"/>
      <c r="C14" s="21"/>
      <c r="D14" s="70"/>
      <c r="E14" s="21"/>
      <c r="F14" s="28"/>
    </row>
    <row r="15" spans="1:6" ht="15" customHeight="1" x14ac:dyDescent="0.25">
      <c r="A15" s="21"/>
      <c r="B15" s="28"/>
      <c r="C15" s="28"/>
      <c r="D15" s="71"/>
      <c r="E15" s="21"/>
      <c r="F15" s="28"/>
    </row>
    <row r="16" spans="1:6" ht="15" customHeight="1" x14ac:dyDescent="0.25">
      <c r="A16" s="101" t="s">
        <v>50</v>
      </c>
      <c r="B16" s="101"/>
      <c r="C16" s="20" t="s">
        <v>49</v>
      </c>
      <c r="D16" s="101" t="s">
        <v>47</v>
      </c>
      <c r="E16" s="101"/>
      <c r="F16" s="9" t="s">
        <v>48</v>
      </c>
    </row>
    <row r="17" spans="1:6" ht="15" customHeight="1" x14ac:dyDescent="0.25">
      <c r="A17" s="102" t="s">
        <v>7</v>
      </c>
      <c r="B17" s="102"/>
      <c r="C17" s="27" t="s">
        <v>7</v>
      </c>
      <c r="D17" s="102" t="s">
        <v>7</v>
      </c>
      <c r="E17" s="102"/>
      <c r="F17" s="27" t="s">
        <v>7</v>
      </c>
    </row>
    <row r="18" spans="1:6" ht="15" customHeight="1" x14ac:dyDescent="0.25">
      <c r="A18" s="20"/>
      <c r="B18" s="20"/>
      <c r="C18" s="20"/>
      <c r="D18" s="9"/>
      <c r="E18" s="21"/>
      <c r="F18" s="9"/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2"/>
      <c r="B21" s="22"/>
      <c r="C21" s="22"/>
      <c r="D21" s="29"/>
      <c r="E21" s="21"/>
      <c r="F21" s="22"/>
    </row>
    <row r="22" spans="1:6" ht="15" customHeight="1" x14ac:dyDescent="0.25">
      <c r="A22" s="101" t="s">
        <v>23</v>
      </c>
      <c r="B22" s="101"/>
      <c r="C22" s="20" t="s">
        <v>6</v>
      </c>
      <c r="D22" s="101" t="s">
        <v>42</v>
      </c>
      <c r="E22" s="101"/>
      <c r="F22" s="9" t="s">
        <v>10</v>
      </c>
    </row>
    <row r="23" spans="1:6" x14ac:dyDescent="0.25">
      <c r="A23" s="6"/>
      <c r="B23" s="8"/>
      <c r="C23" s="8"/>
      <c r="D23" s="10"/>
      <c r="E23" s="20"/>
      <c r="F23" s="8"/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11"/>
      <c r="B26" s="12"/>
      <c r="C26" s="12"/>
      <c r="D26" s="13"/>
      <c r="E26" s="22"/>
      <c r="F26" s="12"/>
    </row>
  </sheetData>
  <mergeCells count="16">
    <mergeCell ref="A12:B12"/>
    <mergeCell ref="A13:D13"/>
    <mergeCell ref="A16:B16"/>
    <mergeCell ref="A22:B22"/>
    <mergeCell ref="A17:B17"/>
    <mergeCell ref="D16:E16"/>
    <mergeCell ref="D17:E17"/>
    <mergeCell ref="D22:E22"/>
    <mergeCell ref="A1:B4"/>
    <mergeCell ref="C4:F4"/>
    <mergeCell ref="C2:F2"/>
    <mergeCell ref="C1:F1"/>
    <mergeCell ref="A7:E7"/>
    <mergeCell ref="E6:F6"/>
    <mergeCell ref="A5:F5"/>
    <mergeCell ref="C3:F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zoomScale="115" zoomScaleNormal="115" workbookViewId="0">
      <selection activeCell="J15" sqref="J15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4"/>
      <c r="B1" s="115"/>
      <c r="C1" s="116" t="s">
        <v>56</v>
      </c>
      <c r="D1" s="116"/>
      <c r="E1" s="116"/>
      <c r="F1" s="116"/>
      <c r="G1" s="116"/>
      <c r="H1" s="116"/>
    </row>
    <row r="2" spans="1:8" x14ac:dyDescent="0.25">
      <c r="A2" s="114"/>
      <c r="B2" s="115"/>
      <c r="C2" s="125" t="s">
        <v>45</v>
      </c>
      <c r="D2" s="126"/>
      <c r="E2" s="126"/>
      <c r="F2" s="126"/>
      <c r="G2" s="126"/>
      <c r="H2" s="127"/>
    </row>
    <row r="3" spans="1:8" x14ac:dyDescent="0.25">
      <c r="A3" s="114"/>
      <c r="B3" s="115"/>
      <c r="C3" s="95" t="s">
        <v>46</v>
      </c>
      <c r="D3" s="96"/>
      <c r="E3" s="96"/>
      <c r="F3" s="96"/>
      <c r="G3" s="96"/>
      <c r="H3" s="97"/>
    </row>
    <row r="4" spans="1:8" ht="15.75" customHeight="1" x14ac:dyDescent="0.25">
      <c r="A4" s="114"/>
      <c r="B4" s="115"/>
      <c r="C4" s="84" t="s">
        <v>57</v>
      </c>
      <c r="D4" s="85"/>
      <c r="E4" s="85"/>
      <c r="F4" s="85"/>
      <c r="G4" s="85"/>
      <c r="H4" s="86"/>
    </row>
    <row r="5" spans="1:8" ht="24.95" customHeight="1" x14ac:dyDescent="0.25">
      <c r="A5" s="117" t="s">
        <v>72</v>
      </c>
      <c r="B5" s="118"/>
      <c r="C5" s="119"/>
      <c r="D5" s="119"/>
      <c r="E5" s="119"/>
      <c r="F5" s="119"/>
      <c r="G5" s="119"/>
      <c r="H5" s="120"/>
    </row>
    <row r="6" spans="1:8" ht="15" customHeight="1" x14ac:dyDescent="0.25">
      <c r="A6" s="72"/>
      <c r="B6" s="61"/>
      <c r="C6" s="62"/>
      <c r="D6" s="62"/>
      <c r="E6" s="60"/>
      <c r="F6" s="60"/>
      <c r="G6" s="60"/>
      <c r="H6" s="60" t="s">
        <v>69</v>
      </c>
    </row>
    <row r="7" spans="1:8" s="3" customFormat="1" ht="15" customHeight="1" x14ac:dyDescent="0.25">
      <c r="A7" s="73" t="s">
        <v>35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4" t="s">
        <v>44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21" t="s">
        <v>2</v>
      </c>
      <c r="B10" s="122"/>
      <c r="C10" s="50">
        <f>'Bảng tính CK'!E13</f>
        <v>1650000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7" t="s">
        <v>38</v>
      </c>
      <c r="B11" s="108"/>
      <c r="C11" s="50">
        <v>4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23" t="s">
        <v>4</v>
      </c>
      <c r="B12" s="124"/>
      <c r="C12" s="47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12" t="s">
        <v>39</v>
      </c>
      <c r="B13" s="113"/>
      <c r="C13" s="47">
        <f>COUNTIFS(C16:C21, "&gt;=2.5",C16:C21,"&lt;7")</f>
        <v>0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60</v>
      </c>
      <c r="C15" s="4" t="s">
        <v>61</v>
      </c>
      <c r="D15" s="14" t="s">
        <v>62</v>
      </c>
      <c r="E15" s="14" t="s">
        <v>63</v>
      </c>
      <c r="F15" s="14" t="s">
        <v>64</v>
      </c>
      <c r="G15" s="14" t="s">
        <v>65</v>
      </c>
      <c r="H15" s="14" t="s">
        <v>66</v>
      </c>
    </row>
    <row r="16" spans="1:8" ht="16.5" customHeight="1" x14ac:dyDescent="0.25">
      <c r="A16" s="47">
        <v>1</v>
      </c>
      <c r="B16" s="47" t="s">
        <v>10</v>
      </c>
      <c r="C16" s="48">
        <v>0</v>
      </c>
      <c r="D16" s="49">
        <v>100</v>
      </c>
      <c r="E16" s="50">
        <f>($C$10*D16)/$D$20</f>
        <v>412500</v>
      </c>
      <c r="F16" s="50">
        <v>0</v>
      </c>
      <c r="G16" s="50">
        <v>0</v>
      </c>
      <c r="H16" s="50">
        <f>((E16-F16)+($F$22/10))-G16</f>
        <v>412500</v>
      </c>
    </row>
    <row r="17" spans="1:10" ht="16.5" customHeight="1" x14ac:dyDescent="0.25">
      <c r="A17" s="47">
        <v>2</v>
      </c>
      <c r="B17" s="47" t="s">
        <v>26</v>
      </c>
      <c r="C17" s="48">
        <v>2</v>
      </c>
      <c r="D17" s="49">
        <v>100</v>
      </c>
      <c r="E17" s="50">
        <f>($C$10*D17)/$D$20</f>
        <v>412500</v>
      </c>
      <c r="F17" s="50">
        <v>0</v>
      </c>
      <c r="G17" s="50">
        <v>0</v>
      </c>
      <c r="H17" s="50">
        <f>((E17-F17)+($F$22/10))-G17</f>
        <v>412500</v>
      </c>
    </row>
    <row r="18" spans="1:10" ht="16.5" customHeight="1" x14ac:dyDescent="0.25">
      <c r="A18" s="47">
        <v>3</v>
      </c>
      <c r="B18" s="47" t="s">
        <v>27</v>
      </c>
      <c r="C18" s="48">
        <v>1</v>
      </c>
      <c r="D18" s="49">
        <v>100</v>
      </c>
      <c r="E18" s="50">
        <f>($C$10*D18)/$D$20</f>
        <v>412500</v>
      </c>
      <c r="F18" s="50">
        <v>0</v>
      </c>
      <c r="G18" s="50">
        <v>0</v>
      </c>
      <c r="H18" s="50">
        <f>((E18-F18)+($F$22/10))-G18</f>
        <v>412500</v>
      </c>
    </row>
    <row r="19" spans="1:10" ht="17.25" customHeight="1" x14ac:dyDescent="0.25">
      <c r="A19" s="47">
        <v>4</v>
      </c>
      <c r="B19" s="47" t="s">
        <v>34</v>
      </c>
      <c r="C19" s="48">
        <v>2</v>
      </c>
      <c r="D19" s="49">
        <v>100</v>
      </c>
      <c r="E19" s="50">
        <f>($C$10*D19)/$D$20</f>
        <v>412500</v>
      </c>
      <c r="F19" s="50">
        <v>0</v>
      </c>
      <c r="G19" s="50">
        <v>0</v>
      </c>
      <c r="H19" s="50">
        <f>((E19-F19)+($F$22/10))-G19</f>
        <v>412500</v>
      </c>
    </row>
    <row r="20" spans="1:10" x14ac:dyDescent="0.25">
      <c r="A20" s="109" t="s">
        <v>5</v>
      </c>
      <c r="B20" s="110"/>
      <c r="C20" s="111"/>
      <c r="D20" s="48">
        <f>SUM(D16:D19)</f>
        <v>400</v>
      </c>
      <c r="E20" s="50"/>
      <c r="F20" s="50"/>
      <c r="G20" s="50"/>
      <c r="H20" s="50"/>
    </row>
    <row r="21" spans="1:10" x14ac:dyDescent="0.25">
      <c r="A21" s="54"/>
      <c r="B21" s="54"/>
      <c r="C21" s="55"/>
      <c r="D21" s="55"/>
      <c r="E21" s="56">
        <f>IF(OR(C21&gt;=7,C21 =""),0,$C$10/($C$11-$C$12))</f>
        <v>0</v>
      </c>
      <c r="F21" s="56">
        <f>IF(C21&lt;2.5,0,IF(AND(C21&gt;=2.5,C21&lt;7),(C21-2)*(($C$10/($C$11-$C$12))/7),0))</f>
        <v>0</v>
      </c>
      <c r="G21" s="56"/>
      <c r="H21" s="56">
        <f>IF(AND(C21&lt;=2.5,C21&lt;&gt;""),E21+$F$22/($C$11-$C$13-$C$12),E21-F21)</f>
        <v>0</v>
      </c>
      <c r="I21" s="76" t="s">
        <v>3</v>
      </c>
    </row>
    <row r="22" spans="1:10" x14ac:dyDescent="0.25">
      <c r="A22" s="98" t="s">
        <v>1</v>
      </c>
      <c r="B22" s="103"/>
      <c r="C22" s="99"/>
      <c r="D22" s="33"/>
      <c r="E22" s="51">
        <f>SUM(E16:E19)</f>
        <v>1650000</v>
      </c>
      <c r="F22" s="51">
        <f>SUM(F16:F21)</f>
        <v>0</v>
      </c>
      <c r="G22" s="51">
        <f>SUM(G16:G19)</f>
        <v>0</v>
      </c>
      <c r="H22" s="51">
        <f>SUM(H16:H21)</f>
        <v>1650000</v>
      </c>
      <c r="J22" s="5"/>
    </row>
    <row r="23" spans="1:10" ht="26.25" customHeight="1" x14ac:dyDescent="0.25">
      <c r="A23" s="75" t="s">
        <v>9</v>
      </c>
      <c r="B23" s="63"/>
      <c r="C23" s="63"/>
      <c r="D23" s="59"/>
      <c r="E23" s="28"/>
      <c r="F23" s="28"/>
      <c r="G23" s="28"/>
      <c r="H23" s="28"/>
    </row>
    <row r="24" spans="1:10" x14ac:dyDescent="0.25">
      <c r="A24" s="59"/>
      <c r="B24" s="59"/>
      <c r="C24" s="59"/>
      <c r="D24" s="59"/>
      <c r="E24" s="59"/>
      <c r="F24" s="59"/>
      <c r="G24" s="59"/>
      <c r="H24" s="59"/>
    </row>
    <row r="25" spans="1:10" x14ac:dyDescent="0.25">
      <c r="A25" s="104" t="s">
        <v>50</v>
      </c>
      <c r="B25" s="104"/>
      <c r="C25" s="104" t="s">
        <v>49</v>
      </c>
      <c r="D25" s="104"/>
      <c r="E25" s="105" t="s">
        <v>47</v>
      </c>
      <c r="F25" s="105"/>
      <c r="G25" s="104" t="s">
        <v>48</v>
      </c>
      <c r="H25" s="104"/>
    </row>
    <row r="26" spans="1:10" x14ac:dyDescent="0.25">
      <c r="A26" s="102" t="s">
        <v>7</v>
      </c>
      <c r="B26" s="102"/>
      <c r="C26" s="102" t="s">
        <v>7</v>
      </c>
      <c r="D26" s="102"/>
      <c r="E26" s="106" t="s">
        <v>7</v>
      </c>
      <c r="F26" s="106"/>
      <c r="G26" s="102" t="s">
        <v>7</v>
      </c>
      <c r="H26" s="102"/>
    </row>
    <row r="27" spans="1:10" x14ac:dyDescent="0.25">
      <c r="A27" s="58"/>
      <c r="B27" s="64"/>
      <c r="C27" s="59"/>
      <c r="D27" s="59"/>
      <c r="E27" s="79"/>
      <c r="F27" s="79"/>
      <c r="G27" s="59"/>
      <c r="H27" s="59"/>
    </row>
    <row r="28" spans="1:10" x14ac:dyDescent="0.25">
      <c r="A28" s="58"/>
      <c r="B28" s="64"/>
      <c r="C28" s="59"/>
      <c r="D28" s="59"/>
      <c r="E28" s="79"/>
      <c r="F28" s="79"/>
      <c r="G28" s="59"/>
      <c r="H28" s="59"/>
    </row>
    <row r="29" spans="1:10" x14ac:dyDescent="0.25">
      <c r="A29" s="58"/>
      <c r="B29" s="64"/>
      <c r="C29" s="59"/>
      <c r="D29" s="59"/>
      <c r="E29" s="79"/>
      <c r="F29" s="79"/>
      <c r="G29" s="59"/>
      <c r="H29" s="59"/>
    </row>
    <row r="30" spans="1:10" x14ac:dyDescent="0.25">
      <c r="A30" s="65"/>
      <c r="B30" s="66"/>
      <c r="C30" s="59"/>
      <c r="D30" s="59"/>
      <c r="E30" s="79"/>
      <c r="F30" s="79"/>
      <c r="G30" s="59"/>
      <c r="H30" s="59"/>
    </row>
    <row r="31" spans="1:10" x14ac:dyDescent="0.25">
      <c r="A31" s="104" t="s">
        <v>23</v>
      </c>
      <c r="B31" s="104"/>
      <c r="C31" s="104" t="s">
        <v>6</v>
      </c>
      <c r="D31" s="104"/>
      <c r="E31" s="105" t="s">
        <v>42</v>
      </c>
      <c r="F31" s="105"/>
      <c r="G31" s="104" t="s">
        <v>10</v>
      </c>
      <c r="H31" s="104"/>
    </row>
  </sheetData>
  <mergeCells count="24">
    <mergeCell ref="A11:B11"/>
    <mergeCell ref="A20:C20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22:C22"/>
    <mergeCell ref="A26:B26"/>
    <mergeCell ref="A31:B31"/>
    <mergeCell ref="G25:H25"/>
    <mergeCell ref="G26:H26"/>
    <mergeCell ref="G31:H31"/>
    <mergeCell ref="A25:B25"/>
    <mergeCell ref="C31:D31"/>
    <mergeCell ref="E25:F25"/>
    <mergeCell ref="E31:F31"/>
    <mergeCell ref="E26:F26"/>
    <mergeCell ref="C25:D25"/>
    <mergeCell ref="C26:D26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"/>
  <sheetViews>
    <sheetView tabSelected="1" view="pageBreakPreview" zoomScale="115" zoomScaleNormal="100" zoomScaleSheetLayoutView="115" workbookViewId="0">
      <selection activeCell="G24" sqref="G24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138"/>
      <c r="B1" s="138"/>
      <c r="C1" s="138"/>
      <c r="D1" s="139" t="s">
        <v>71</v>
      </c>
      <c r="E1" s="140"/>
      <c r="F1" s="140"/>
      <c r="G1" s="145" t="s">
        <v>11</v>
      </c>
      <c r="H1" s="146"/>
    </row>
    <row r="2" spans="1:9" ht="15.75" customHeight="1" x14ac:dyDescent="0.25">
      <c r="A2" s="138"/>
      <c r="B2" s="138"/>
      <c r="C2" s="138"/>
      <c r="D2" s="141"/>
      <c r="E2" s="142"/>
      <c r="F2" s="142"/>
      <c r="G2" s="145" t="s">
        <v>12</v>
      </c>
      <c r="H2" s="146"/>
    </row>
    <row r="3" spans="1:9" ht="15.75" customHeight="1" x14ac:dyDescent="0.25">
      <c r="A3" s="138"/>
      <c r="B3" s="138"/>
      <c r="C3" s="138"/>
      <c r="D3" s="143"/>
      <c r="E3" s="144"/>
      <c r="F3" s="144"/>
      <c r="G3" s="145" t="s">
        <v>13</v>
      </c>
      <c r="H3" s="146"/>
    </row>
    <row r="4" spans="1:9" x14ac:dyDescent="0.25">
      <c r="A4" s="137" t="str">
        <f>'Phiếu tính CK'!H6</f>
        <v>Hà Nội, ngày 27 tháng 02 năm 2026</v>
      </c>
      <c r="B4" s="137"/>
      <c r="C4" s="137"/>
      <c r="D4" s="137"/>
      <c r="E4" s="137"/>
      <c r="F4" s="137"/>
      <c r="G4" s="137"/>
      <c r="H4" s="137"/>
    </row>
    <row r="5" spans="1:9" ht="15.75" x14ac:dyDescent="0.25">
      <c r="A5" s="34" t="s">
        <v>36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37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47" t="s">
        <v>0</v>
      </c>
      <c r="B8" s="147" t="s">
        <v>14</v>
      </c>
      <c r="C8" s="149" t="s">
        <v>15</v>
      </c>
      <c r="D8" s="150"/>
      <c r="E8" s="150"/>
      <c r="F8" s="151"/>
      <c r="G8" s="152" t="s">
        <v>8</v>
      </c>
      <c r="H8" s="152"/>
      <c r="I8" s="57"/>
    </row>
    <row r="9" spans="1:9" x14ac:dyDescent="0.25">
      <c r="A9" s="148"/>
      <c r="B9" s="148"/>
      <c r="C9" s="37" t="s">
        <v>16</v>
      </c>
      <c r="D9" s="37" t="s">
        <v>17</v>
      </c>
      <c r="E9" s="37" t="s">
        <v>18</v>
      </c>
      <c r="F9" s="37" t="s">
        <v>19</v>
      </c>
      <c r="G9" s="152"/>
      <c r="H9" s="152"/>
      <c r="I9" s="57"/>
    </row>
    <row r="10" spans="1:9" ht="15.75" customHeight="1" x14ac:dyDescent="0.25">
      <c r="A10" s="81">
        <v>1</v>
      </c>
      <c r="B10" s="38" t="s">
        <v>32</v>
      </c>
      <c r="C10" s="39">
        <v>1000</v>
      </c>
      <c r="D10" s="39">
        <v>301</v>
      </c>
      <c r="E10" s="39">
        <v>0</v>
      </c>
      <c r="F10" s="39">
        <f>D10-E10</f>
        <v>301</v>
      </c>
      <c r="G10" s="130" t="s">
        <v>43</v>
      </c>
      <c r="H10" s="130"/>
      <c r="I10" s="57"/>
    </row>
    <row r="11" spans="1:9" x14ac:dyDescent="0.25">
      <c r="A11" s="81">
        <v>2</v>
      </c>
      <c r="B11" s="40" t="s">
        <v>33</v>
      </c>
      <c r="C11" s="39">
        <v>200</v>
      </c>
      <c r="D11" s="39">
        <v>2</v>
      </c>
      <c r="E11" s="39">
        <v>0</v>
      </c>
      <c r="F11" s="41">
        <f>D11-E11</f>
        <v>2</v>
      </c>
      <c r="G11" s="130" t="s">
        <v>24</v>
      </c>
      <c r="H11" s="130"/>
      <c r="I11" s="57"/>
    </row>
    <row r="12" spans="1:9" x14ac:dyDescent="0.25">
      <c r="A12" s="81">
        <v>3</v>
      </c>
      <c r="B12" s="80" t="s">
        <v>21</v>
      </c>
      <c r="C12" s="39">
        <v>200</v>
      </c>
      <c r="D12" s="39">
        <v>178</v>
      </c>
      <c r="E12" s="39">
        <v>0</v>
      </c>
      <c r="F12" s="41">
        <f t="shared" ref="F12" si="0">D12</f>
        <v>178</v>
      </c>
      <c r="G12" s="130" t="s">
        <v>24</v>
      </c>
      <c r="H12" s="130"/>
      <c r="I12" s="57"/>
    </row>
    <row r="13" spans="1:9" x14ac:dyDescent="0.25">
      <c r="A13" s="81">
        <v>4</v>
      </c>
      <c r="B13" s="80" t="s">
        <v>20</v>
      </c>
      <c r="C13" s="39">
        <v>300</v>
      </c>
      <c r="D13" s="39">
        <v>52</v>
      </c>
      <c r="E13" s="39">
        <v>0</v>
      </c>
      <c r="F13" s="41">
        <f>D13-E13</f>
        <v>52</v>
      </c>
      <c r="G13" s="130" t="s">
        <v>24</v>
      </c>
      <c r="H13" s="130"/>
    </row>
    <row r="14" spans="1:9" x14ac:dyDescent="0.25">
      <c r="A14" s="81">
        <v>5</v>
      </c>
      <c r="B14" s="40" t="s">
        <v>20</v>
      </c>
      <c r="C14" s="39">
        <v>200</v>
      </c>
      <c r="D14" s="39">
        <v>22</v>
      </c>
      <c r="E14" s="39">
        <v>0</v>
      </c>
      <c r="F14" s="41">
        <f>D14-E14</f>
        <v>22</v>
      </c>
      <c r="G14" s="130" t="s">
        <v>24</v>
      </c>
      <c r="H14" s="130"/>
    </row>
    <row r="15" spans="1:9" x14ac:dyDescent="0.25">
      <c r="A15" s="81">
        <v>6</v>
      </c>
      <c r="B15" s="40" t="s">
        <v>31</v>
      </c>
      <c r="C15" s="39">
        <v>30</v>
      </c>
      <c r="D15" s="39">
        <v>2</v>
      </c>
      <c r="E15" s="39">
        <v>0</v>
      </c>
      <c r="F15" s="41">
        <f>D15-E15</f>
        <v>2</v>
      </c>
      <c r="G15" s="130" t="s">
        <v>24</v>
      </c>
      <c r="H15" s="130"/>
    </row>
    <row r="16" spans="1:9" x14ac:dyDescent="0.25">
      <c r="A16" s="81">
        <v>7</v>
      </c>
      <c r="B16" s="40" t="s">
        <v>29</v>
      </c>
      <c r="C16" s="39">
        <v>30</v>
      </c>
      <c r="D16" s="39">
        <v>3</v>
      </c>
      <c r="E16" s="39">
        <v>0</v>
      </c>
      <c r="F16" s="41">
        <v>3</v>
      </c>
      <c r="G16" s="130" t="s">
        <v>24</v>
      </c>
      <c r="H16" s="130"/>
    </row>
    <row r="17" spans="1:8" x14ac:dyDescent="0.25">
      <c r="A17" s="81">
        <v>8</v>
      </c>
      <c r="B17" s="40" t="s">
        <v>28</v>
      </c>
      <c r="C17" s="39"/>
      <c r="D17" s="39"/>
      <c r="E17" s="39"/>
      <c r="F17" s="41">
        <v>87</v>
      </c>
      <c r="G17" s="130" t="s">
        <v>68</v>
      </c>
      <c r="H17" s="130"/>
    </row>
    <row r="18" spans="1:8" x14ac:dyDescent="0.25">
      <c r="A18" s="81">
        <v>9</v>
      </c>
      <c r="B18" s="40" t="s">
        <v>73</v>
      </c>
      <c r="C18" s="39">
        <v>1000</v>
      </c>
      <c r="D18" s="39">
        <v>1000</v>
      </c>
      <c r="E18" s="39">
        <v>550</v>
      </c>
      <c r="F18" s="41">
        <f>D18-E18</f>
        <v>450</v>
      </c>
      <c r="G18" s="135" t="s">
        <v>74</v>
      </c>
      <c r="H18" s="136"/>
    </row>
    <row r="19" spans="1:8" x14ac:dyDescent="0.25">
      <c r="A19" s="131" t="s">
        <v>22</v>
      </c>
      <c r="B19" s="132"/>
      <c r="C19" s="42">
        <f>SUM(C10:C18)</f>
        <v>2960</v>
      </c>
      <c r="D19" s="42">
        <f>SUM(D10:D18)</f>
        <v>1560</v>
      </c>
      <c r="E19" s="42">
        <f>SUM(E10:E18)</f>
        <v>550</v>
      </c>
      <c r="F19" s="42">
        <f>SUM(F10:F17)</f>
        <v>647</v>
      </c>
      <c r="G19" s="133"/>
      <c r="H19" s="134"/>
    </row>
    <row r="20" spans="1:8" ht="15.75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29" t="s">
        <v>49</v>
      </c>
      <c r="B21" s="129"/>
      <c r="C21" s="129" t="s">
        <v>47</v>
      </c>
      <c r="D21" s="129"/>
      <c r="E21" s="129" t="s">
        <v>67</v>
      </c>
      <c r="F21" s="129"/>
      <c r="G21" s="101" t="s">
        <v>48</v>
      </c>
      <c r="H21" s="101"/>
    </row>
    <row r="22" spans="1:8" ht="15.75" customHeight="1" x14ac:dyDescent="0.25">
      <c r="A22" s="102" t="s">
        <v>7</v>
      </c>
      <c r="B22" s="102"/>
      <c r="C22" s="102" t="s">
        <v>7</v>
      </c>
      <c r="D22" s="102"/>
      <c r="E22" s="102" t="s">
        <v>7</v>
      </c>
      <c r="F22" s="102"/>
      <c r="G22" s="102" t="s">
        <v>7</v>
      </c>
      <c r="H22" s="102"/>
    </row>
    <row r="23" spans="1:8" x14ac:dyDescent="0.25">
      <c r="A23" s="32"/>
      <c r="B23" s="32"/>
      <c r="C23" s="32"/>
      <c r="D23" s="32"/>
      <c r="E23" s="32"/>
      <c r="F23" s="43"/>
      <c r="G23" s="32"/>
      <c r="H23" s="32"/>
    </row>
    <row r="24" spans="1:8" x14ac:dyDescent="0.25">
      <c r="A24" s="32"/>
      <c r="B24" s="32"/>
      <c r="C24" s="32"/>
      <c r="D24" s="25"/>
      <c r="E24" s="32"/>
      <c r="F24" s="32"/>
      <c r="G24" s="32"/>
      <c r="H24" s="32"/>
    </row>
    <row r="25" spans="1:8" x14ac:dyDescent="0.25">
      <c r="A25" s="44"/>
      <c r="B25" s="44"/>
      <c r="C25" s="44"/>
      <c r="D25" s="44"/>
      <c r="E25" s="44"/>
      <c r="F25" s="45"/>
      <c r="G25" s="44"/>
      <c r="H25" s="44"/>
    </row>
    <row r="26" spans="1:8" x14ac:dyDescent="0.25">
      <c r="A26" s="44"/>
      <c r="B26" s="44"/>
      <c r="C26" s="44"/>
      <c r="D26" s="44"/>
      <c r="E26" s="44"/>
      <c r="F26" s="45"/>
      <c r="G26" s="44"/>
      <c r="H26" s="44"/>
    </row>
    <row r="27" spans="1:8" x14ac:dyDescent="0.25">
      <c r="A27" s="128" t="s">
        <v>6</v>
      </c>
      <c r="B27" s="128"/>
      <c r="C27" s="128" t="s">
        <v>42</v>
      </c>
      <c r="D27" s="128"/>
      <c r="E27" s="128" t="s">
        <v>30</v>
      </c>
      <c r="F27" s="128"/>
      <c r="G27" s="128" t="s">
        <v>10</v>
      </c>
      <c r="H27" s="128"/>
    </row>
    <row r="28" spans="1:8" x14ac:dyDescent="0.25">
      <c r="A28" s="35"/>
      <c r="B28" s="35"/>
      <c r="C28" s="35"/>
      <c r="D28" s="46"/>
      <c r="E28" s="35"/>
      <c r="F28" s="35"/>
      <c r="G28" s="35"/>
      <c r="H28" s="35"/>
    </row>
  </sheetData>
  <mergeCells count="33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G11:H11"/>
    <mergeCell ref="A19:B19"/>
    <mergeCell ref="G19:H19"/>
    <mergeCell ref="G17:H17"/>
    <mergeCell ref="G13:H13"/>
    <mergeCell ref="G12:H12"/>
    <mergeCell ref="G14:H14"/>
    <mergeCell ref="G15:H15"/>
    <mergeCell ref="G16:H16"/>
    <mergeCell ref="G18:H18"/>
    <mergeCell ref="A27:B27"/>
    <mergeCell ref="C27:D27"/>
    <mergeCell ref="E27:F27"/>
    <mergeCell ref="G27:H27"/>
    <mergeCell ref="G21:H21"/>
    <mergeCell ref="G22:H22"/>
    <mergeCell ref="C21:D21"/>
    <mergeCell ref="A21:B21"/>
    <mergeCell ref="A22:B22"/>
    <mergeCell ref="C22:D22"/>
    <mergeCell ref="E21:F21"/>
    <mergeCell ref="E22:F22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2026-03-16T07:59:22Z</dcterms:modified>
</cp:coreProperties>
</file>