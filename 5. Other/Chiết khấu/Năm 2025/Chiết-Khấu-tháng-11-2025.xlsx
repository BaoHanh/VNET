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457B846-D17B-44B5-9644-61A9E1852C9C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Bảng tính CK" sheetId="1" r:id="rId1"/>
    <sheet name="Phiếu tính CK" sheetId="2" r:id="rId2"/>
    <sheet name="Tồn sản xuất" sheetId="3" r:id="rId3"/>
  </sheets>
  <definedNames>
    <definedName name="_xlnm.Print_Area" localSheetId="0">'Bảng tính CK'!$A$1:$F$27</definedName>
    <definedName name="_xlnm.Print_Area" localSheetId="1">'Phiếu tính CK'!$A$1:$H$31</definedName>
    <definedName name="_xlnm.Print_Area" localSheetId="2">'Tồn sản xuất'!$A$1:$H$27</definedName>
  </definedNames>
  <calcPr calcId="181029"/>
</workbook>
</file>

<file path=xl/calcChain.xml><?xml version="1.0" encoding="utf-8"?>
<calcChain xmlns="http://schemas.openxmlformats.org/spreadsheetml/2006/main">
  <c r="A4" i="3" l="1"/>
  <c r="E6" i="1"/>
  <c r="E12" i="1"/>
  <c r="C18" i="3" l="1"/>
  <c r="E18" i="3"/>
  <c r="D18" i="3"/>
  <c r="F10" i="3"/>
  <c r="C13" i="1" l="1"/>
  <c r="F11" i="3"/>
  <c r="F14" i="3" l="1"/>
  <c r="F12" i="3"/>
  <c r="F13" i="3"/>
  <c r="F15" i="3"/>
  <c r="F18" i="3" l="1"/>
  <c r="E11" i="1"/>
  <c r="E14" i="1" l="1"/>
  <c r="D20" i="2" l="1"/>
  <c r="G22" i="2" l="1"/>
  <c r="E21" i="2" l="1"/>
  <c r="F21" i="2"/>
  <c r="C13" i="2"/>
  <c r="H21" i="2" l="1"/>
  <c r="C10" i="2" l="1"/>
  <c r="E16" i="2" l="1"/>
  <c r="E18" i="2"/>
  <c r="E17" i="2"/>
  <c r="E19" i="2"/>
  <c r="F22" i="2"/>
  <c r="H16" i="2" l="1"/>
  <c r="H18" i="2"/>
  <c r="E22" i="2"/>
  <c r="H17" i="2"/>
  <c r="H19" i="2"/>
  <c r="H22" i="2" l="1"/>
</calcChain>
</file>

<file path=xl/sharedStrings.xml><?xml version="1.0" encoding="utf-8"?>
<sst xmlns="http://schemas.openxmlformats.org/spreadsheetml/2006/main" count="113" uniqueCount="74">
  <si>
    <t>STT</t>
  </si>
  <si>
    <t>Tổng</t>
  </si>
  <si>
    <t>Tổng tiền chiết khấu cho cả bộ phận</t>
  </si>
  <si>
    <t>Thêm dòng cho nhân viên mới từ cột này</t>
  </si>
  <si>
    <t>Số nhân viên nghỉ từ 7 ngày/tháng</t>
  </si>
  <si>
    <t xml:space="preserve">Tổng phần trăm </t>
  </si>
  <si>
    <t>Trần Thị Thu Hà</t>
  </si>
  <si>
    <t>(Ký, ghi rõ họ tên)</t>
  </si>
  <si>
    <t>Ghi chú</t>
  </si>
  <si>
    <t>Nhân viên tham gia hỗ trợ sản xuât sẽ nhận theo tỷ lệ % tương ứng.</t>
  </si>
  <si>
    <t>Nguyễn Minh Tùng</t>
  </si>
  <si>
    <t>Mã hiệu: BM.07-QĐ.HR.04/VNET</t>
  </si>
  <si>
    <t>Ngày ban hành: …./..../2020</t>
  </si>
  <si>
    <t>Lần: 01</t>
  </si>
  <si>
    <t>MODEL</t>
  </si>
  <si>
    <t>SỐ LƯỢNG</t>
  </si>
  <si>
    <t xml:space="preserve">Số lượng sản xuất theo lô </t>
  </si>
  <si>
    <t>Tồn SX đầu tháng</t>
  </si>
  <si>
    <t>Nhập kho</t>
  </si>
  <si>
    <t>Tồn SX cuối tháng</t>
  </si>
  <si>
    <t>ACT-01</t>
  </si>
  <si>
    <t>Temp Sensor Display</t>
  </si>
  <si>
    <t>TỔNG</t>
  </si>
  <si>
    <t>Nguyễn Hải</t>
  </si>
  <si>
    <t>Tồn lỗi</t>
  </si>
  <si>
    <t>Upgrade 4G</t>
  </si>
  <si>
    <t>TG102LE-4G Upgrade</t>
  </si>
  <si>
    <t>Nguyễn Tuấn Đạt</t>
  </si>
  <si>
    <t>Trần Văn Hậu</t>
  </si>
  <si>
    <t>TG102LE-4G URG</t>
  </si>
  <si>
    <t>RFID DEMO</t>
  </si>
  <si>
    <t>Đặng Ngọc Mai</t>
  </si>
  <si>
    <t>HUB_VACC_H1</t>
  </si>
  <si>
    <t>TG102LE-4G(0056)</t>
  </si>
  <si>
    <t>ACT-01 RS232</t>
  </si>
  <si>
    <t>Đặng Văn Quang</t>
  </si>
  <si>
    <t>Họ và tên người đề nghị: Nguyễn Minh Tùng</t>
  </si>
  <si>
    <t>Họ và tên: Nguyễn Minh Tùng</t>
  </si>
  <si>
    <t>Phòngban/ Bộ phận: PKT/ Bảo hành - Sản xuất</t>
  </si>
  <si>
    <t>Tổng số nhân viên (Full time) 
phòng sản xuất</t>
  </si>
  <si>
    <t>Số nhân viên nghì từ 2.5 ngày 
đến nhỏ hơn 7 ngày</t>
  </si>
  <si>
    <t>Tổng tiền nhận được (VND)</t>
  </si>
  <si>
    <t>Tổng thiết bị</t>
  </si>
  <si>
    <t>Lô 4 - 2025</t>
  </si>
  <si>
    <t>Đào Văn Thông</t>
  </si>
  <si>
    <t>Lô 4-2025</t>
  </si>
  <si>
    <t>Phòng ban/ Bộ phận:PKT/ Bảo hành - Sản xuất</t>
  </si>
  <si>
    <t>Địa chỉ: A46 TT19 KĐT Văn Quán, P.Văn Quán, Q.Hà Đông, TP Hà Nội</t>
  </si>
  <si>
    <t>Điện thoại: 0243.6400.767</t>
  </si>
  <si>
    <t>TP. Kỹ Thuật</t>
  </si>
  <si>
    <t>Người Lập</t>
  </si>
  <si>
    <t>TP. KTTH</t>
  </si>
  <si>
    <t>Giám Đốc</t>
  </si>
  <si>
    <t>Mã Sản Phẩm</t>
  </si>
  <si>
    <t>Số Lượng</t>
  </si>
  <si>
    <t>Thành Tiền</t>
  </si>
  <si>
    <t>Đơn Giá Chiết Khấu</t>
  </si>
  <si>
    <t>Ghi Chú</t>
  </si>
  <si>
    <t>Công Ty CP Công Nghệ Điện Tử &amp;Viễn Thông Việt Nam</t>
  </si>
  <si>
    <t>Website: https://vnetgps.vn/</t>
  </si>
  <si>
    <t>Địa chỉ: A46 TT19 KĐT Văn Quán, P. Văn Quán, Q. Hà Đông, TP. Hà Nội</t>
  </si>
  <si>
    <t>Phòng ban/ Bộ phận: PKT/ Bảo hành - Sản xuất</t>
  </si>
  <si>
    <t>Tên Nhân Viên</t>
  </si>
  <si>
    <t>Số Ngày Nghỉ</t>
  </si>
  <si>
    <t>Tỷ Lệ % (Trong Giờ Hành Chính)</t>
  </si>
  <si>
    <t>Tiền Chiết Khấu Trong Giờ Hành Chính</t>
  </si>
  <si>
    <t>Số Tiền Bị Trừ</t>
  </si>
  <si>
    <t>Tiền Phạt Sản Xuất</t>
  </si>
  <si>
    <t>Tiền Thực Nhận</t>
  </si>
  <si>
    <t>Hà Nội, ngày 29 tháng 11 năm 2025</t>
  </si>
  <si>
    <t>PHIẾU TÍNH CHIẾT KHẤU THÁNG 11 NĂM 2025</t>
  </si>
  <si>
    <t>Kế Toán Kho</t>
  </si>
  <si>
    <t>PHIẾU XÁC NHẬN TỒN 
SẢN XUẤT THÁNG 11</t>
  </si>
  <si>
    <t>BẢNG TÍNH CHIẾT KHẤU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</si>
</sst>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;[Red]#,##0.0"/>
  </numFmts>
  <fonts count="2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22"/>
      <name val="Times New Roman"/>
      <family val="1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0"/>
      <name val="Arial"/>
      <family val="2"/>
      <charset val="163"/>
    </font>
    <font>
      <b/>
      <sz val="12"/>
      <name val="Times New Roman"/>
      <family val="1"/>
    </font>
    <font>
      <i/>
      <sz val="9"/>
      <name val="Times New Roman"/>
      <family val="1"/>
    </font>
    <font>
      <i/>
      <sz val="9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i/>
      <sz val="11"/>
      <name val="Times New Roman"/>
      <family val="1"/>
    </font>
    <font>
      <i/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/>
  </cellStyleXfs>
  <cellXfs count="151">
    <xf numFmtId="0" fontId="0" fillId="0" borderId="0" xfId="0"/>
    <xf numFmtId="0" fontId="3" fillId="0" borderId="0" xfId="0" applyFont="1"/>
    <xf numFmtId="4" fontId="0" fillId="0" borderId="0" xfId="0" applyNumberFormat="1"/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3" fontId="3" fillId="0" borderId="0" xfId="0" applyNumberFormat="1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4" fontId="6" fillId="0" borderId="0" xfId="0" applyNumberFormat="1" applyFont="1" applyAlignment="1">
      <alignment horizontal="center" vertical="center"/>
    </xf>
    <xf numFmtId="4" fontId="6" fillId="0" borderId="0" xfId="0" applyNumberFormat="1" applyFont="1"/>
    <xf numFmtId="0" fontId="7" fillId="0" borderId="0" xfId="0" applyFont="1" applyAlignment="1">
      <alignment horizontal="center"/>
    </xf>
    <xf numFmtId="0" fontId="7" fillId="0" borderId="0" xfId="0" applyFont="1"/>
    <xf numFmtId="4" fontId="7" fillId="0" borderId="0" xfId="0" applyNumberFormat="1" applyFont="1"/>
    <xf numFmtId="0" fontId="6" fillId="0" borderId="1" xfId="0" applyFont="1" applyBorder="1" applyAlignment="1">
      <alignment horizontal="center" vertical="center" wrapText="1"/>
    </xf>
    <xf numFmtId="0" fontId="10" fillId="0" borderId="0" xfId="1" applyFont="1"/>
    <xf numFmtId="0" fontId="10" fillId="0" borderId="0" xfId="1" applyFont="1" applyAlignment="1">
      <alignment horizontal="left"/>
    </xf>
    <xf numFmtId="0" fontId="1" fillId="0" borderId="0" xfId="1" applyFont="1" applyAlignment="1">
      <alignment horizontal="left"/>
    </xf>
    <xf numFmtId="0" fontId="1" fillId="0" borderId="0" xfId="1" applyFont="1"/>
    <xf numFmtId="0" fontId="10" fillId="0" borderId="0" xfId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4" fontId="7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7" fillId="0" borderId="3" xfId="0" applyFont="1" applyBorder="1" applyAlignment="1">
      <alignment horizontal="center" vertical="center"/>
    </xf>
    <xf numFmtId="0" fontId="14" fillId="0" borderId="0" xfId="1" applyFont="1" applyAlignment="1">
      <alignment horizontal="left" indent="1"/>
    </xf>
    <xf numFmtId="0" fontId="14" fillId="0" borderId="0" xfId="1" applyFont="1"/>
    <xf numFmtId="0" fontId="14" fillId="0" borderId="0" xfId="1" applyFont="1" applyAlignment="1">
      <alignment horizontal="left"/>
    </xf>
    <xf numFmtId="0" fontId="13" fillId="0" borderId="1" xfId="1" applyFont="1" applyBorder="1" applyAlignment="1">
      <alignment horizontal="center" vertical="center"/>
    </xf>
    <xf numFmtId="0" fontId="16" fillId="0" borderId="13" xfId="1" applyFont="1" applyBorder="1" applyAlignment="1">
      <alignment horizontal="center" vertical="center" wrapText="1"/>
    </xf>
    <xf numFmtId="0" fontId="16" fillId="0" borderId="10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/>
    </xf>
    <xf numFmtId="16" fontId="16" fillId="0" borderId="4" xfId="1" quotePrefix="1" applyNumberFormat="1" applyFont="1" applyBorder="1" applyAlignment="1">
      <alignment horizontal="center" vertical="center"/>
    </xf>
    <xf numFmtId="3" fontId="16" fillId="0" borderId="1" xfId="1" applyNumberFormat="1" applyFont="1" applyBorder="1" applyAlignment="1">
      <alignment horizontal="center" vertical="center" wrapText="1"/>
    </xf>
    <xf numFmtId="16" fontId="16" fillId="0" borderId="1" xfId="1" quotePrefix="1" applyNumberFormat="1" applyFont="1" applyBorder="1" applyAlignment="1">
      <alignment horizontal="center" vertical="center"/>
    </xf>
    <xf numFmtId="3" fontId="13" fillId="0" borderId="1" xfId="1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3" fillId="0" borderId="0" xfId="1" applyFont="1" applyAlignment="1">
      <alignment vertical="center"/>
    </xf>
    <xf numFmtId="0" fontId="13" fillId="0" borderId="0" xfId="1" applyFont="1" applyAlignment="1">
      <alignment horizontal="center" vertical="center"/>
    </xf>
    <xf numFmtId="0" fontId="14" fillId="0" borderId="0" xfId="1" applyFont="1" applyAlignment="1">
      <alignment horizontal="center"/>
    </xf>
    <xf numFmtId="0" fontId="15" fillId="0" borderId="1" xfId="0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1" fontId="15" fillId="0" borderId="3" xfId="0" applyNumberFormat="1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4" fontId="15" fillId="0" borderId="1" xfId="0" applyNumberFormat="1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165" fontId="15" fillId="2" borderId="1" xfId="0" applyNumberFormat="1" applyFont="1" applyFill="1" applyBorder="1" applyAlignment="1">
      <alignment horizontal="center" vertical="center"/>
    </xf>
    <xf numFmtId="3" fontId="15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7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4" fontId="14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14" fillId="0" borderId="0" xfId="0" applyFont="1" applyAlignment="1">
      <alignment horizontal="left" vertical="center" indent="1"/>
    </xf>
    <xf numFmtId="0" fontId="21" fillId="0" borderId="0" xfId="0" applyFont="1" applyAlignment="1">
      <alignment horizontal="left" vertical="center" indent="1"/>
    </xf>
    <xf numFmtId="0" fontId="3" fillId="0" borderId="0" xfId="0" applyFont="1" applyAlignment="1">
      <alignment horizontal="left" indent="1"/>
    </xf>
    <xf numFmtId="0" fontId="16" fillId="0" borderId="0" xfId="0" applyFont="1" applyAlignment="1">
      <alignment horizontal="left" vertical="center" indent="1"/>
    </xf>
    <xf numFmtId="4" fontId="16" fillId="0" borderId="0" xfId="0" applyNumberFormat="1" applyFont="1" applyAlignment="1">
      <alignment horizontal="left" vertical="center" indent="1"/>
    </xf>
    <xf numFmtId="0" fontId="15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indent="1"/>
    </xf>
    <xf numFmtId="0" fontId="11" fillId="0" borderId="0" xfId="0" applyFont="1" applyAlignment="1">
      <alignment horizontal="right" vertical="center"/>
    </xf>
    <xf numFmtId="0" fontId="19" fillId="0" borderId="1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indent="8"/>
    </xf>
    <xf numFmtId="4" fontId="12" fillId="0" borderId="0" xfId="0" applyNumberFormat="1" applyFont="1" applyAlignment="1">
      <alignment horizontal="left" vertical="center" indent="7"/>
    </xf>
    <xf numFmtId="0" fontId="16" fillId="0" borderId="2" xfId="0" applyFont="1" applyBorder="1" applyAlignment="1">
      <alignment horizontal="left" vertical="center" wrapText="1" indent="1"/>
    </xf>
    <xf numFmtId="0" fontId="16" fillId="0" borderId="3" xfId="0" applyFont="1" applyBorder="1" applyAlignment="1">
      <alignment horizontal="left" vertical="center" wrapText="1" indent="1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 wrapText="1" indent="1"/>
    </xf>
    <xf numFmtId="0" fontId="15" fillId="0" borderId="3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 indent="1"/>
    </xf>
    <xf numFmtId="0" fontId="16" fillId="0" borderId="3" xfId="0" applyFont="1" applyBorder="1" applyAlignment="1">
      <alignment horizontal="left" vertical="center" indent="1"/>
    </xf>
    <xf numFmtId="0" fontId="15" fillId="0" borderId="2" xfId="0" applyFont="1" applyBorder="1" applyAlignment="1">
      <alignment horizontal="left" vertical="center" indent="1"/>
    </xf>
    <xf numFmtId="0" fontId="15" fillId="0" borderId="3" xfId="0" applyFont="1" applyBorder="1" applyAlignment="1">
      <alignment horizontal="left" vertical="center" indent="1"/>
    </xf>
    <xf numFmtId="0" fontId="15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3" fillId="0" borderId="0" xfId="1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13" fillId="0" borderId="2" xfId="1" applyFont="1" applyBorder="1" applyAlignment="1">
      <alignment horizontal="center"/>
    </xf>
    <xf numFmtId="0" fontId="13" fillId="0" borderId="4" xfId="1" applyFont="1" applyBorder="1" applyAlignment="1">
      <alignment horizontal="center"/>
    </xf>
    <xf numFmtId="0" fontId="14" fillId="0" borderId="4" xfId="1" applyFont="1" applyBorder="1" applyAlignment="1">
      <alignment horizontal="center"/>
    </xf>
    <xf numFmtId="0" fontId="14" fillId="0" borderId="3" xfId="1" applyFont="1" applyBorder="1" applyAlignment="1">
      <alignment horizontal="center"/>
    </xf>
    <xf numFmtId="0" fontId="1" fillId="0" borderId="1" xfId="1" applyFont="1" applyBorder="1" applyAlignment="1">
      <alignment horizontal="center"/>
    </xf>
    <xf numFmtId="0" fontId="8" fillId="0" borderId="6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14" fillId="0" borderId="2" xfId="1" applyFont="1" applyBorder="1"/>
    <xf numFmtId="0" fontId="14" fillId="0" borderId="3" xfId="1" applyFont="1" applyBorder="1"/>
    <xf numFmtId="0" fontId="13" fillId="0" borderId="12" xfId="1" applyFont="1" applyBorder="1" applyAlignment="1">
      <alignment horizontal="center" vertical="center" wrapText="1"/>
    </xf>
    <xf numFmtId="0" fontId="13" fillId="0" borderId="13" xfId="1" applyFont="1" applyBorder="1" applyAlignment="1">
      <alignment horizontal="center" vertical="center" wrapText="1"/>
    </xf>
    <xf numFmtId="0" fontId="13" fillId="0" borderId="2" xfId="1" applyFont="1" applyBorder="1" applyAlignment="1">
      <alignment horizontal="center" vertical="center" wrapText="1"/>
    </xf>
    <xf numFmtId="0" fontId="13" fillId="0" borderId="4" xfId="1" applyFont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0" fontId="11" fillId="0" borderId="0" xfId="1" applyFont="1" applyAlignment="1">
      <alignment horizontal="right"/>
    </xf>
  </cellXfs>
  <cellStyles count="2">
    <cellStyle name="Bình thường 3" xfId="1" xr:uid="{00000000-0005-0000-0000-000000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133767</xdr:colOff>
      <xdr:row>0</xdr:row>
      <xdr:rowOff>169798</xdr:rowOff>
    </xdr:from>
    <xdr:to>
      <xdr:col>1</xdr:col>
      <xdr:colOff>1229142</xdr:colOff>
      <xdr:row>3</xdr:row>
      <xdr:rowOff>26922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67" y="169798"/>
          <a:ext cx="1584049" cy="4286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130865</xdr:colOff>
      <xdr:row>0</xdr:row>
      <xdr:rowOff>186360</xdr:rowOff>
    </xdr:from>
    <xdr:to>
      <xdr:col>1</xdr:col>
      <xdr:colOff>1702490</xdr:colOff>
      <xdr:row>2</xdr:row>
      <xdr:rowOff>189640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865" y="186360"/>
          <a:ext cx="2184538" cy="3842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371061</xdr:colOff>
      <xdr:row>0</xdr:row>
      <xdr:rowOff>81632</xdr:rowOff>
    </xdr:from>
    <xdr:to>
      <xdr:col>2</xdr:col>
      <xdr:colOff>1422951</xdr:colOff>
      <xdr:row>2</xdr:row>
      <xdr:rowOff>124241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061" y="81632"/>
          <a:ext cx="2981738" cy="4401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"/>
  <sheetViews>
    <sheetView zoomScale="115" zoomScaleNormal="115" workbookViewId="0">
      <selection activeCell="H16" sqref="H16"/>
    </sheetView>
  </sheetViews>
  <sheetFormatPr defaultRowHeight="15" x14ac:dyDescent="0.25"/>
  <cols>
    <col min="1" max="1" width="7.28515625" style="7" customWidth="1"/>
    <col min="2" max="2" width="20.28515625" customWidth="1"/>
    <col min="3" max="3" width="24.5703125" customWidth="1"/>
    <col min="4" max="4" width="20.5703125" style="2" customWidth="1"/>
    <col min="5" max="5" width="19.28515625" style="23" customWidth="1"/>
    <col min="6" max="6" width="26.7109375" customWidth="1"/>
  </cols>
  <sheetData>
    <row r="1" spans="1:6" x14ac:dyDescent="0.25">
      <c r="A1" s="82"/>
      <c r="B1" s="83"/>
      <c r="C1" s="90" t="s">
        <v>58</v>
      </c>
      <c r="D1" s="90"/>
      <c r="E1" s="90"/>
      <c r="F1" s="90"/>
    </row>
    <row r="2" spans="1:6" x14ac:dyDescent="0.25">
      <c r="A2" s="82"/>
      <c r="B2" s="83"/>
      <c r="C2" s="87" t="s">
        <v>60</v>
      </c>
      <c r="D2" s="88"/>
      <c r="E2" s="88"/>
      <c r="F2" s="89"/>
    </row>
    <row r="3" spans="1:6" x14ac:dyDescent="0.25">
      <c r="A3" s="82"/>
      <c r="B3" s="83"/>
      <c r="C3" s="95" t="s">
        <v>48</v>
      </c>
      <c r="D3" s="96"/>
      <c r="E3" s="96"/>
      <c r="F3" s="97"/>
    </row>
    <row r="4" spans="1:6" x14ac:dyDescent="0.25">
      <c r="A4" s="82"/>
      <c r="B4" s="83"/>
      <c r="C4" s="84" t="s">
        <v>59</v>
      </c>
      <c r="D4" s="85"/>
      <c r="E4" s="85"/>
      <c r="F4" s="86"/>
    </row>
    <row r="5" spans="1:6" ht="24.95" customHeight="1" x14ac:dyDescent="0.25">
      <c r="A5" s="93" t="s">
        <v>73</v>
      </c>
      <c r="B5" s="93"/>
      <c r="C5" s="94"/>
      <c r="D5" s="94"/>
      <c r="E5" s="94"/>
      <c r="F5" s="94"/>
    </row>
    <row r="6" spans="1:6" ht="15" customHeight="1" x14ac:dyDescent="0.25">
      <c r="A6" s="69"/>
      <c r="B6" s="69"/>
      <c r="C6" s="69"/>
      <c r="D6" s="70"/>
      <c r="E6" s="92" t="str">
        <f>'Phiếu tính CK'!H6</f>
        <v>Hà Nội, ngày 29 tháng 11 năm 2025</v>
      </c>
      <c r="F6" s="92"/>
    </row>
    <row r="7" spans="1:6" ht="15" customHeight="1" x14ac:dyDescent="0.25">
      <c r="A7" s="91" t="s">
        <v>36</v>
      </c>
      <c r="B7" s="91"/>
      <c r="C7" s="91"/>
      <c r="D7" s="91"/>
      <c r="E7" s="91"/>
      <c r="F7" s="28"/>
    </row>
    <row r="8" spans="1:6" ht="15" customHeight="1" x14ac:dyDescent="0.25">
      <c r="A8" s="79" t="s">
        <v>61</v>
      </c>
      <c r="B8" s="79"/>
      <c r="C8" s="79"/>
      <c r="D8" s="80"/>
      <c r="E8" s="79"/>
      <c r="F8" s="28"/>
    </row>
    <row r="9" spans="1:6" ht="15" customHeight="1" x14ac:dyDescent="0.25">
      <c r="A9" s="25"/>
      <c r="B9" s="25"/>
      <c r="C9" s="25"/>
      <c r="D9" s="71"/>
      <c r="E9" s="25"/>
      <c r="F9" s="28"/>
    </row>
    <row r="10" spans="1:6" ht="15" customHeight="1" x14ac:dyDescent="0.25">
      <c r="A10" s="4" t="s">
        <v>0</v>
      </c>
      <c r="B10" s="4" t="s">
        <v>53</v>
      </c>
      <c r="C10" s="4" t="s">
        <v>54</v>
      </c>
      <c r="D10" s="26" t="s">
        <v>56</v>
      </c>
      <c r="E10" s="4" t="s">
        <v>55</v>
      </c>
      <c r="F10" s="4" t="s">
        <v>57</v>
      </c>
    </row>
    <row r="11" spans="1:6" ht="15" customHeight="1" x14ac:dyDescent="0.25">
      <c r="A11" s="49">
        <v>1</v>
      </c>
      <c r="B11" s="49" t="s">
        <v>26</v>
      </c>
      <c r="C11" s="49">
        <v>25</v>
      </c>
      <c r="D11" s="52">
        <v>6000</v>
      </c>
      <c r="E11" s="52">
        <f t="shared" ref="E11" si="0">C11*D11</f>
        <v>150000</v>
      </c>
      <c r="F11" s="49" t="s">
        <v>25</v>
      </c>
    </row>
    <row r="12" spans="1:6" ht="15" customHeight="1" x14ac:dyDescent="0.25">
      <c r="A12" s="49">
        <v>2</v>
      </c>
      <c r="B12" s="49" t="s">
        <v>33</v>
      </c>
      <c r="C12" s="49">
        <v>549</v>
      </c>
      <c r="D12" s="52">
        <v>6000</v>
      </c>
      <c r="E12" s="52">
        <f>SUM(C12*D12)</f>
        <v>3294000</v>
      </c>
      <c r="F12" s="49" t="s">
        <v>43</v>
      </c>
    </row>
    <row r="13" spans="1:6" ht="15" customHeight="1" x14ac:dyDescent="0.25">
      <c r="A13" s="98" t="s">
        <v>42</v>
      </c>
      <c r="B13" s="99"/>
      <c r="C13" s="54">
        <f>SUM(C11:C12)</f>
        <v>574</v>
      </c>
      <c r="D13" s="55"/>
      <c r="E13" s="49"/>
      <c r="F13" s="49"/>
    </row>
    <row r="14" spans="1:6" ht="15" customHeight="1" x14ac:dyDescent="0.25">
      <c r="A14" s="100" t="s">
        <v>41</v>
      </c>
      <c r="B14" s="100"/>
      <c r="C14" s="100"/>
      <c r="D14" s="100"/>
      <c r="E14" s="53">
        <f>SUM(E11:E12)</f>
        <v>3444000</v>
      </c>
      <c r="F14" s="49"/>
    </row>
    <row r="15" spans="1:6" ht="15" customHeight="1" x14ac:dyDescent="0.25">
      <c r="A15" s="21"/>
      <c r="B15" s="21"/>
      <c r="C15" s="21"/>
      <c r="D15" s="72"/>
      <c r="E15" s="21"/>
      <c r="F15" s="28"/>
    </row>
    <row r="16" spans="1:6" ht="15" customHeight="1" x14ac:dyDescent="0.25">
      <c r="A16" s="21"/>
      <c r="B16" s="28"/>
      <c r="C16" s="28"/>
      <c r="D16" s="73"/>
      <c r="E16" s="21"/>
      <c r="F16" s="28"/>
    </row>
    <row r="17" spans="1:6" ht="15" customHeight="1" x14ac:dyDescent="0.25">
      <c r="A17" s="101" t="s">
        <v>52</v>
      </c>
      <c r="B17" s="101"/>
      <c r="C17" s="20" t="s">
        <v>51</v>
      </c>
      <c r="D17" s="101" t="s">
        <v>49</v>
      </c>
      <c r="E17" s="101"/>
      <c r="F17" s="9" t="s">
        <v>50</v>
      </c>
    </row>
    <row r="18" spans="1:6" ht="15" customHeight="1" x14ac:dyDescent="0.25">
      <c r="A18" s="102" t="s">
        <v>7</v>
      </c>
      <c r="B18" s="102"/>
      <c r="C18" s="27" t="s">
        <v>7</v>
      </c>
      <c r="D18" s="102" t="s">
        <v>7</v>
      </c>
      <c r="E18" s="102"/>
      <c r="F18" s="27" t="s">
        <v>7</v>
      </c>
    </row>
    <row r="19" spans="1:6" ht="15" customHeight="1" x14ac:dyDescent="0.25">
      <c r="A19" s="20"/>
      <c r="B19" s="20"/>
      <c r="C19" s="20"/>
      <c r="D19" s="9"/>
      <c r="E19" s="21"/>
      <c r="F19" s="9"/>
    </row>
    <row r="20" spans="1:6" ht="15" customHeight="1" x14ac:dyDescent="0.25">
      <c r="A20" s="20"/>
      <c r="B20" s="20"/>
      <c r="C20" s="20"/>
      <c r="D20" s="9"/>
      <c r="E20" s="21"/>
      <c r="F20" s="9"/>
    </row>
    <row r="21" spans="1:6" ht="15" customHeight="1" x14ac:dyDescent="0.25">
      <c r="A21" s="20"/>
      <c r="B21" s="20"/>
      <c r="C21" s="20"/>
      <c r="D21" s="9"/>
      <c r="E21" s="21"/>
      <c r="F21" s="9"/>
    </row>
    <row r="22" spans="1:6" ht="15" customHeight="1" x14ac:dyDescent="0.25">
      <c r="A22" s="22"/>
      <c r="B22" s="22"/>
      <c r="C22" s="22"/>
      <c r="D22" s="29"/>
      <c r="E22" s="21"/>
      <c r="F22" s="22"/>
    </row>
    <row r="23" spans="1:6" ht="15" customHeight="1" x14ac:dyDescent="0.25">
      <c r="A23" s="101" t="s">
        <v>23</v>
      </c>
      <c r="B23" s="101"/>
      <c r="C23" s="20" t="s">
        <v>6</v>
      </c>
      <c r="D23" s="101" t="s">
        <v>44</v>
      </c>
      <c r="E23" s="101"/>
      <c r="F23" s="9" t="s">
        <v>10</v>
      </c>
    </row>
    <row r="24" spans="1:6" x14ac:dyDescent="0.25">
      <c r="A24" s="6"/>
      <c r="B24" s="8"/>
      <c r="C24" s="8"/>
      <c r="D24" s="10"/>
      <c r="E24" s="20"/>
      <c r="F24" s="8"/>
    </row>
    <row r="25" spans="1:6" x14ac:dyDescent="0.25">
      <c r="A25" s="6"/>
      <c r="B25" s="8"/>
      <c r="C25" s="8"/>
      <c r="D25" s="10"/>
      <c r="E25" s="20"/>
      <c r="F25" s="8"/>
    </row>
    <row r="26" spans="1:6" x14ac:dyDescent="0.25">
      <c r="A26" s="6"/>
      <c r="B26" s="8"/>
      <c r="C26" s="8"/>
      <c r="D26" s="10"/>
      <c r="E26" s="20"/>
      <c r="F26" s="8"/>
    </row>
    <row r="27" spans="1:6" x14ac:dyDescent="0.25">
      <c r="A27" s="11"/>
      <c r="B27" s="12"/>
      <c r="C27" s="12"/>
      <c r="D27" s="13"/>
      <c r="E27" s="22"/>
      <c r="F27" s="12"/>
    </row>
  </sheetData>
  <mergeCells count="16">
    <mergeCell ref="A13:B13"/>
    <mergeCell ref="A14:D14"/>
    <mergeCell ref="A17:B17"/>
    <mergeCell ref="A23:B23"/>
    <mergeCell ref="A18:B18"/>
    <mergeCell ref="D17:E17"/>
    <mergeCell ref="D18:E18"/>
    <mergeCell ref="D23:E23"/>
    <mergeCell ref="A1:B4"/>
    <mergeCell ref="C4:F4"/>
    <mergeCell ref="C2:F2"/>
    <mergeCell ref="C1:F1"/>
    <mergeCell ref="A7:E7"/>
    <mergeCell ref="E6:F6"/>
    <mergeCell ref="A5:F5"/>
    <mergeCell ref="C3:F3"/>
  </mergeCells>
  <pageMargins left="0.5" right="1" top="1" bottom="1" header="0" footer="0"/>
  <pageSetup paperSize="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1"/>
  <sheetViews>
    <sheetView zoomScale="115" zoomScaleNormal="115" workbookViewId="0">
      <selection activeCell="F11" sqref="F11"/>
    </sheetView>
  </sheetViews>
  <sheetFormatPr defaultColWidth="9.140625" defaultRowHeight="15" x14ac:dyDescent="0.25"/>
  <cols>
    <col min="1" max="1" width="9.140625" style="1"/>
    <col min="2" max="2" width="28.140625" style="1" customWidth="1"/>
    <col min="3" max="3" width="18.7109375" style="1" customWidth="1"/>
    <col min="4" max="4" width="16.85546875" style="1" customWidth="1"/>
    <col min="5" max="5" width="22.42578125" style="1" customWidth="1"/>
    <col min="6" max="6" width="13.85546875" style="1" customWidth="1"/>
    <col min="7" max="7" width="13.28515625" style="1" customWidth="1"/>
    <col min="8" max="8" width="16" style="1" customWidth="1"/>
    <col min="9" max="9" width="17.5703125" style="1" customWidth="1"/>
    <col min="10" max="10" width="17.140625" style="1" customWidth="1"/>
    <col min="11" max="11" width="20.140625" style="1" customWidth="1"/>
    <col min="12" max="12" width="9.140625" style="1"/>
    <col min="13" max="13" width="9.85546875" style="1" bestFit="1" customWidth="1"/>
    <col min="14" max="16384" width="9.140625" style="1"/>
  </cols>
  <sheetData>
    <row r="1" spans="1:8" x14ac:dyDescent="0.25">
      <c r="A1" s="114"/>
      <c r="B1" s="115"/>
      <c r="C1" s="116" t="s">
        <v>58</v>
      </c>
      <c r="D1" s="116"/>
      <c r="E1" s="116"/>
      <c r="F1" s="116"/>
      <c r="G1" s="116"/>
      <c r="H1" s="116"/>
    </row>
    <row r="2" spans="1:8" x14ac:dyDescent="0.25">
      <c r="A2" s="114"/>
      <c r="B2" s="115"/>
      <c r="C2" s="125" t="s">
        <v>47</v>
      </c>
      <c r="D2" s="126"/>
      <c r="E2" s="126"/>
      <c r="F2" s="126"/>
      <c r="G2" s="126"/>
      <c r="H2" s="127"/>
    </row>
    <row r="3" spans="1:8" x14ac:dyDescent="0.25">
      <c r="A3" s="114"/>
      <c r="B3" s="115"/>
      <c r="C3" s="95" t="s">
        <v>48</v>
      </c>
      <c r="D3" s="96"/>
      <c r="E3" s="96"/>
      <c r="F3" s="96"/>
      <c r="G3" s="96"/>
      <c r="H3" s="97"/>
    </row>
    <row r="4" spans="1:8" ht="15.75" customHeight="1" x14ac:dyDescent="0.25">
      <c r="A4" s="114"/>
      <c r="B4" s="115"/>
      <c r="C4" s="84" t="s">
        <v>59</v>
      </c>
      <c r="D4" s="85"/>
      <c r="E4" s="85"/>
      <c r="F4" s="85"/>
      <c r="G4" s="85"/>
      <c r="H4" s="86"/>
    </row>
    <row r="5" spans="1:8" ht="24.95" customHeight="1" x14ac:dyDescent="0.25">
      <c r="A5" s="117" t="s">
        <v>70</v>
      </c>
      <c r="B5" s="118"/>
      <c r="C5" s="119"/>
      <c r="D5" s="119"/>
      <c r="E5" s="119"/>
      <c r="F5" s="119"/>
      <c r="G5" s="119"/>
      <c r="H5" s="120"/>
    </row>
    <row r="6" spans="1:8" ht="15" customHeight="1" x14ac:dyDescent="0.25">
      <c r="A6" s="74"/>
      <c r="B6" s="63"/>
      <c r="C6" s="64"/>
      <c r="D6" s="64"/>
      <c r="E6" s="62"/>
      <c r="F6" s="62"/>
      <c r="G6" s="62"/>
      <c r="H6" s="62" t="s">
        <v>69</v>
      </c>
    </row>
    <row r="7" spans="1:8" s="3" customFormat="1" ht="15" customHeight="1" x14ac:dyDescent="0.25">
      <c r="A7" s="75" t="s">
        <v>36</v>
      </c>
      <c r="B7" s="28"/>
      <c r="C7" s="28"/>
      <c r="D7" s="28"/>
      <c r="E7" s="28"/>
      <c r="F7" s="28"/>
      <c r="G7" s="28"/>
      <c r="H7" s="28"/>
    </row>
    <row r="8" spans="1:8" s="3" customFormat="1" ht="15" customHeight="1" x14ac:dyDescent="0.25">
      <c r="A8" s="76" t="s">
        <v>46</v>
      </c>
      <c r="B8" s="28"/>
      <c r="C8" s="28"/>
      <c r="D8" s="28"/>
      <c r="E8" s="28"/>
      <c r="F8" s="28"/>
      <c r="G8" s="28"/>
      <c r="H8" s="28"/>
    </row>
    <row r="9" spans="1:8" s="3" customFormat="1" ht="15" customHeight="1" x14ac:dyDescent="0.25">
      <c r="A9" s="24"/>
      <c r="B9" s="31"/>
      <c r="C9" s="28"/>
      <c r="D9" s="28"/>
      <c r="E9" s="28"/>
      <c r="F9" s="28"/>
      <c r="G9" s="28"/>
      <c r="H9" s="28"/>
    </row>
    <row r="10" spans="1:8" s="3" customFormat="1" ht="15.95" customHeight="1" x14ac:dyDescent="0.25">
      <c r="A10" s="121" t="s">
        <v>2</v>
      </c>
      <c r="B10" s="122"/>
      <c r="C10" s="52">
        <f>'Bảng tính CK'!E14</f>
        <v>3444000</v>
      </c>
      <c r="D10" s="30"/>
      <c r="E10" s="28"/>
      <c r="F10" s="28"/>
      <c r="G10" s="28"/>
      <c r="H10" s="28"/>
    </row>
    <row r="11" spans="1:8" s="3" customFormat="1" ht="24.95" customHeight="1" x14ac:dyDescent="0.25">
      <c r="A11" s="107" t="s">
        <v>39</v>
      </c>
      <c r="B11" s="108"/>
      <c r="C11" s="52">
        <v>4</v>
      </c>
      <c r="D11" s="30"/>
      <c r="E11" s="28"/>
      <c r="F11" s="28"/>
      <c r="G11" s="28"/>
      <c r="H11" s="28"/>
    </row>
    <row r="12" spans="1:8" s="3" customFormat="1" ht="24.95" customHeight="1" x14ac:dyDescent="0.25">
      <c r="A12" s="123" t="s">
        <v>4</v>
      </c>
      <c r="B12" s="124"/>
      <c r="C12" s="49">
        <v>0</v>
      </c>
      <c r="D12" s="28"/>
      <c r="E12" s="28"/>
      <c r="F12" s="28"/>
      <c r="G12" s="28"/>
      <c r="H12" s="28"/>
    </row>
    <row r="13" spans="1:8" s="3" customFormat="1" ht="24.95" customHeight="1" x14ac:dyDescent="0.25">
      <c r="A13" s="112" t="s">
        <v>40</v>
      </c>
      <c r="B13" s="113"/>
      <c r="C13" s="49">
        <f>COUNTIFS(C16:C21, "&gt;=2.5",C16:C21,"&lt;7")</f>
        <v>0</v>
      </c>
      <c r="D13" s="28"/>
      <c r="E13" s="28"/>
      <c r="F13" s="28"/>
      <c r="G13" s="28"/>
      <c r="H13" s="28"/>
    </row>
    <row r="14" spans="1:8" s="3" customFormat="1" ht="10.5" customHeight="1" x14ac:dyDescent="0.25">
      <c r="A14" s="28"/>
      <c r="B14" s="28"/>
      <c r="C14" s="28"/>
      <c r="D14" s="28"/>
      <c r="E14" s="28"/>
      <c r="F14" s="28"/>
      <c r="G14" s="28"/>
      <c r="H14" s="28"/>
    </row>
    <row r="15" spans="1:8" ht="35.1" customHeight="1" x14ac:dyDescent="0.25">
      <c r="A15" s="4" t="s">
        <v>0</v>
      </c>
      <c r="B15" s="4" t="s">
        <v>62</v>
      </c>
      <c r="C15" s="4" t="s">
        <v>63</v>
      </c>
      <c r="D15" s="14" t="s">
        <v>64</v>
      </c>
      <c r="E15" s="14" t="s">
        <v>65</v>
      </c>
      <c r="F15" s="14" t="s">
        <v>66</v>
      </c>
      <c r="G15" s="14" t="s">
        <v>67</v>
      </c>
      <c r="H15" s="14" t="s">
        <v>68</v>
      </c>
    </row>
    <row r="16" spans="1:8" ht="16.5" customHeight="1" x14ac:dyDescent="0.25">
      <c r="A16" s="49">
        <v>1</v>
      </c>
      <c r="B16" s="49" t="s">
        <v>10</v>
      </c>
      <c r="C16" s="50">
        <v>0</v>
      </c>
      <c r="D16" s="51">
        <v>100</v>
      </c>
      <c r="E16" s="52">
        <f>($C$10*D16)/$D$20</f>
        <v>861000</v>
      </c>
      <c r="F16" s="52">
        <v>0</v>
      </c>
      <c r="G16" s="52">
        <v>0</v>
      </c>
      <c r="H16" s="52">
        <f>((E16-F16)+($F$22/10))-G16</f>
        <v>861000</v>
      </c>
    </row>
    <row r="17" spans="1:10" ht="16.5" customHeight="1" x14ac:dyDescent="0.25">
      <c r="A17" s="49">
        <v>2</v>
      </c>
      <c r="B17" s="49" t="s">
        <v>27</v>
      </c>
      <c r="C17" s="50">
        <v>1</v>
      </c>
      <c r="D17" s="51">
        <v>100</v>
      </c>
      <c r="E17" s="52">
        <f>($C$10*D17)/$D$20</f>
        <v>861000</v>
      </c>
      <c r="F17" s="52">
        <v>0</v>
      </c>
      <c r="G17" s="52">
        <v>0</v>
      </c>
      <c r="H17" s="52">
        <f>((E17-F17)+($F$22/10))-G17</f>
        <v>861000</v>
      </c>
    </row>
    <row r="18" spans="1:10" ht="16.5" customHeight="1" x14ac:dyDescent="0.25">
      <c r="A18" s="49">
        <v>3</v>
      </c>
      <c r="B18" s="49" t="s">
        <v>28</v>
      </c>
      <c r="C18" s="50">
        <v>2</v>
      </c>
      <c r="D18" s="51">
        <v>100</v>
      </c>
      <c r="E18" s="52">
        <f>($C$10*D18)/$D$20</f>
        <v>861000</v>
      </c>
      <c r="F18" s="52">
        <v>0</v>
      </c>
      <c r="G18" s="52">
        <v>0</v>
      </c>
      <c r="H18" s="52">
        <f>((E18-F18)+($F$22/10))-G18</f>
        <v>861000</v>
      </c>
    </row>
    <row r="19" spans="1:10" ht="17.25" customHeight="1" x14ac:dyDescent="0.25">
      <c r="A19" s="49">
        <v>4</v>
      </c>
      <c r="B19" s="49" t="s">
        <v>35</v>
      </c>
      <c r="C19" s="50">
        <v>0</v>
      </c>
      <c r="D19" s="51">
        <v>100</v>
      </c>
      <c r="E19" s="52">
        <f>($C$10*D19)/$D$20</f>
        <v>861000</v>
      </c>
      <c r="F19" s="52">
        <v>0</v>
      </c>
      <c r="G19" s="52">
        <v>0</v>
      </c>
      <c r="H19" s="52">
        <f>((E19-F19)+($F$22/10))-G19</f>
        <v>861000</v>
      </c>
    </row>
    <row r="20" spans="1:10" x14ac:dyDescent="0.25">
      <c r="A20" s="109" t="s">
        <v>5</v>
      </c>
      <c r="B20" s="110"/>
      <c r="C20" s="111"/>
      <c r="D20" s="50">
        <f>SUM(D16:D19)</f>
        <v>400</v>
      </c>
      <c r="E20" s="52"/>
      <c r="F20" s="52"/>
      <c r="G20" s="52"/>
      <c r="H20" s="52"/>
    </row>
    <row r="21" spans="1:10" x14ac:dyDescent="0.25">
      <c r="A21" s="56"/>
      <c r="B21" s="56"/>
      <c r="C21" s="57"/>
      <c r="D21" s="57"/>
      <c r="E21" s="58">
        <f>IF(OR(C21&gt;=7,C21 =""),0,$C$10/($C$11-$C$12))</f>
        <v>0</v>
      </c>
      <c r="F21" s="58">
        <f>IF(C21&lt;2.5,0,IF(AND(C21&gt;=2.5,C21&lt;7),(C21-2)*(($C$10/($C$11-$C$12))/7),0))</f>
        <v>0</v>
      </c>
      <c r="G21" s="58"/>
      <c r="H21" s="58">
        <f>IF(AND(C21&lt;=2.5,C21&lt;&gt;""),E21+$F$22/($C$11-$C$13-$C$12),E21-F21)</f>
        <v>0</v>
      </c>
      <c r="I21" s="78" t="s">
        <v>3</v>
      </c>
    </row>
    <row r="22" spans="1:10" x14ac:dyDescent="0.25">
      <c r="A22" s="98" t="s">
        <v>1</v>
      </c>
      <c r="B22" s="103"/>
      <c r="C22" s="99"/>
      <c r="D22" s="33"/>
      <c r="E22" s="53">
        <f>SUM(E16:E19)</f>
        <v>3444000</v>
      </c>
      <c r="F22" s="53">
        <f>SUM(F16:F21)</f>
        <v>0</v>
      </c>
      <c r="G22" s="53">
        <f>SUM(G16:G19)</f>
        <v>0</v>
      </c>
      <c r="H22" s="53">
        <f>SUM(H16:H21)</f>
        <v>3444000</v>
      </c>
      <c r="J22" s="5"/>
    </row>
    <row r="23" spans="1:10" ht="26.25" customHeight="1" x14ac:dyDescent="0.25">
      <c r="A23" s="77" t="s">
        <v>9</v>
      </c>
      <c r="B23" s="65"/>
      <c r="C23" s="65"/>
      <c r="D23" s="61"/>
      <c r="E23" s="28"/>
      <c r="F23" s="28"/>
      <c r="G23" s="28"/>
      <c r="H23" s="28"/>
    </row>
    <row r="24" spans="1:10" x14ac:dyDescent="0.25">
      <c r="A24" s="61"/>
      <c r="B24" s="61"/>
      <c r="C24" s="61"/>
      <c r="D24" s="61"/>
      <c r="E24" s="61"/>
      <c r="F24" s="61"/>
      <c r="G24" s="61"/>
      <c r="H24" s="61"/>
    </row>
    <row r="25" spans="1:10" x14ac:dyDescent="0.25">
      <c r="A25" s="104" t="s">
        <v>52</v>
      </c>
      <c r="B25" s="104"/>
      <c r="C25" s="104" t="s">
        <v>51</v>
      </c>
      <c r="D25" s="104"/>
      <c r="E25" s="105" t="s">
        <v>49</v>
      </c>
      <c r="F25" s="105"/>
      <c r="G25" s="104" t="s">
        <v>50</v>
      </c>
      <c r="H25" s="104"/>
    </row>
    <row r="26" spans="1:10" x14ac:dyDescent="0.25">
      <c r="A26" s="102" t="s">
        <v>7</v>
      </c>
      <c r="B26" s="102"/>
      <c r="C26" s="102" t="s">
        <v>7</v>
      </c>
      <c r="D26" s="102"/>
      <c r="E26" s="106" t="s">
        <v>7</v>
      </c>
      <c r="F26" s="106"/>
      <c r="G26" s="102" t="s">
        <v>7</v>
      </c>
      <c r="H26" s="102"/>
    </row>
    <row r="27" spans="1:10" x14ac:dyDescent="0.25">
      <c r="A27" s="60"/>
      <c r="B27" s="66"/>
      <c r="C27" s="61"/>
      <c r="D27" s="61"/>
      <c r="E27" s="81"/>
      <c r="F27" s="81"/>
      <c r="G27" s="61"/>
      <c r="H27" s="61"/>
    </row>
    <row r="28" spans="1:10" x14ac:dyDescent="0.25">
      <c r="A28" s="60"/>
      <c r="B28" s="66"/>
      <c r="C28" s="61"/>
      <c r="D28" s="61"/>
      <c r="E28" s="81"/>
      <c r="F28" s="81"/>
      <c r="G28" s="61"/>
      <c r="H28" s="61"/>
    </row>
    <row r="29" spans="1:10" x14ac:dyDescent="0.25">
      <c r="A29" s="60"/>
      <c r="B29" s="66"/>
      <c r="C29" s="61"/>
      <c r="D29" s="61"/>
      <c r="E29" s="81"/>
      <c r="F29" s="81"/>
      <c r="G29" s="61"/>
      <c r="H29" s="61"/>
    </row>
    <row r="30" spans="1:10" x14ac:dyDescent="0.25">
      <c r="A30" s="67"/>
      <c r="B30" s="68"/>
      <c r="C30" s="61"/>
      <c r="D30" s="61"/>
      <c r="E30" s="81"/>
      <c r="F30" s="81"/>
      <c r="G30" s="61"/>
      <c r="H30" s="61"/>
    </row>
    <row r="31" spans="1:10" x14ac:dyDescent="0.25">
      <c r="A31" s="104" t="s">
        <v>23</v>
      </c>
      <c r="B31" s="104"/>
      <c r="C31" s="104" t="s">
        <v>6</v>
      </c>
      <c r="D31" s="104"/>
      <c r="E31" s="105" t="s">
        <v>44</v>
      </c>
      <c r="F31" s="105"/>
      <c r="G31" s="104" t="s">
        <v>10</v>
      </c>
      <c r="H31" s="104"/>
    </row>
  </sheetData>
  <mergeCells count="24">
    <mergeCell ref="A11:B11"/>
    <mergeCell ref="A20:C20"/>
    <mergeCell ref="A13:B13"/>
    <mergeCell ref="A1:B4"/>
    <mergeCell ref="C1:H1"/>
    <mergeCell ref="C3:H3"/>
    <mergeCell ref="C4:H4"/>
    <mergeCell ref="A5:H5"/>
    <mergeCell ref="A10:B10"/>
    <mergeCell ref="A12:B12"/>
    <mergeCell ref="C2:H2"/>
    <mergeCell ref="A22:C22"/>
    <mergeCell ref="A26:B26"/>
    <mergeCell ref="A31:B31"/>
    <mergeCell ref="G25:H25"/>
    <mergeCell ref="G26:H26"/>
    <mergeCell ref="G31:H31"/>
    <mergeCell ref="A25:B25"/>
    <mergeCell ref="C31:D31"/>
    <mergeCell ref="E25:F25"/>
    <mergeCell ref="E31:F31"/>
    <mergeCell ref="E26:F26"/>
    <mergeCell ref="C25:D25"/>
    <mergeCell ref="C26:D26"/>
  </mergeCells>
  <pageMargins left="0.5" right="1" top="0.5" bottom="0.5" header="0" footer="0"/>
  <pageSetup paperSize="9" scale="93" orientation="landscape" horizontalDpi="203" verticalDpi="203" r:id="rId1"/>
  <colBreaks count="1" manualBreakCount="1">
    <brk id="8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27"/>
  <sheetViews>
    <sheetView tabSelected="1" view="pageBreakPreview" zoomScale="115" zoomScaleNormal="100" zoomScaleSheetLayoutView="115" workbookViewId="0">
      <selection activeCell="F19" sqref="F19"/>
    </sheetView>
  </sheetViews>
  <sheetFormatPr defaultRowHeight="15" x14ac:dyDescent="0.25"/>
  <cols>
    <col min="1" max="1" width="5.85546875" customWidth="1"/>
    <col min="2" max="2" width="23.140625" customWidth="1"/>
    <col min="3" max="3" width="26.7109375" customWidth="1"/>
    <col min="4" max="4" width="20" customWidth="1"/>
    <col min="5" max="5" width="16.42578125" customWidth="1"/>
    <col min="6" max="6" width="24.28515625" customWidth="1"/>
    <col min="7" max="7" width="19.28515625" customWidth="1"/>
    <col min="8" max="8" width="13.85546875" customWidth="1"/>
  </cols>
  <sheetData>
    <row r="1" spans="1:9" ht="15.75" customHeight="1" x14ac:dyDescent="0.25">
      <c r="A1" s="135"/>
      <c r="B1" s="135"/>
      <c r="C1" s="135"/>
      <c r="D1" s="136" t="s">
        <v>72</v>
      </c>
      <c r="E1" s="137"/>
      <c r="F1" s="137"/>
      <c r="G1" s="142" t="s">
        <v>11</v>
      </c>
      <c r="H1" s="143"/>
    </row>
    <row r="2" spans="1:9" ht="15.75" customHeight="1" x14ac:dyDescent="0.25">
      <c r="A2" s="135"/>
      <c r="B2" s="135"/>
      <c r="C2" s="135"/>
      <c r="D2" s="138"/>
      <c r="E2" s="139"/>
      <c r="F2" s="139"/>
      <c r="G2" s="142" t="s">
        <v>12</v>
      </c>
      <c r="H2" s="143"/>
    </row>
    <row r="3" spans="1:9" ht="15.75" customHeight="1" x14ac:dyDescent="0.25">
      <c r="A3" s="135"/>
      <c r="B3" s="135"/>
      <c r="C3" s="135"/>
      <c r="D3" s="140"/>
      <c r="E3" s="141"/>
      <c r="F3" s="141"/>
      <c r="G3" s="142" t="s">
        <v>13</v>
      </c>
      <c r="H3" s="143"/>
    </row>
    <row r="4" spans="1:9" x14ac:dyDescent="0.25">
      <c r="A4" s="150" t="str">
        <f>'Phiếu tính CK'!H6</f>
        <v>Hà Nội, ngày 29 tháng 11 năm 2025</v>
      </c>
      <c r="B4" s="150"/>
      <c r="C4" s="150"/>
      <c r="D4" s="150"/>
      <c r="E4" s="150"/>
      <c r="F4" s="150"/>
      <c r="G4" s="150"/>
      <c r="H4" s="150"/>
    </row>
    <row r="5" spans="1:9" ht="15.75" x14ac:dyDescent="0.25">
      <c r="A5" s="34" t="s">
        <v>37</v>
      </c>
      <c r="B5" s="35"/>
      <c r="C5" s="36"/>
      <c r="D5" s="16"/>
      <c r="E5" s="16"/>
      <c r="F5" s="17"/>
      <c r="G5" s="17"/>
      <c r="H5" s="15"/>
    </row>
    <row r="6" spans="1:9" ht="15.75" x14ac:dyDescent="0.25">
      <c r="A6" s="34" t="s">
        <v>38</v>
      </c>
      <c r="B6" s="35"/>
      <c r="C6" s="35"/>
      <c r="D6" s="15"/>
      <c r="E6" s="18"/>
      <c r="F6" s="19"/>
      <c r="G6" s="18"/>
      <c r="H6" s="15"/>
    </row>
    <row r="7" spans="1:9" ht="15.75" x14ac:dyDescent="0.25">
      <c r="A7" s="18"/>
      <c r="B7" s="18"/>
      <c r="C7" s="18"/>
      <c r="D7" s="18"/>
      <c r="E7" s="18"/>
      <c r="F7" s="18"/>
      <c r="G7" s="18"/>
      <c r="H7" s="18"/>
    </row>
    <row r="8" spans="1:9" ht="15.75" customHeight="1" x14ac:dyDescent="0.25">
      <c r="A8" s="144" t="s">
        <v>0</v>
      </c>
      <c r="B8" s="144" t="s">
        <v>14</v>
      </c>
      <c r="C8" s="146" t="s">
        <v>15</v>
      </c>
      <c r="D8" s="147"/>
      <c r="E8" s="147"/>
      <c r="F8" s="148"/>
      <c r="G8" s="149" t="s">
        <v>8</v>
      </c>
      <c r="H8" s="149"/>
      <c r="I8" s="59"/>
    </row>
    <row r="9" spans="1:9" x14ac:dyDescent="0.25">
      <c r="A9" s="145"/>
      <c r="B9" s="145"/>
      <c r="C9" s="37" t="s">
        <v>16</v>
      </c>
      <c r="D9" s="37" t="s">
        <v>17</v>
      </c>
      <c r="E9" s="37" t="s">
        <v>18</v>
      </c>
      <c r="F9" s="37" t="s">
        <v>19</v>
      </c>
      <c r="G9" s="149"/>
      <c r="H9" s="149"/>
      <c r="I9" s="59"/>
    </row>
    <row r="10" spans="1:9" ht="15.75" customHeight="1" x14ac:dyDescent="0.25">
      <c r="A10" s="38">
        <v>1</v>
      </c>
      <c r="B10" s="39" t="s">
        <v>33</v>
      </c>
      <c r="C10" s="40">
        <v>1000</v>
      </c>
      <c r="D10" s="40">
        <v>850</v>
      </c>
      <c r="E10" s="40">
        <v>549</v>
      </c>
      <c r="F10" s="40">
        <f>D10-E10</f>
        <v>301</v>
      </c>
      <c r="G10" s="130" t="s">
        <v>45</v>
      </c>
      <c r="H10" s="130"/>
      <c r="I10" s="59"/>
    </row>
    <row r="11" spans="1:9" x14ac:dyDescent="0.25">
      <c r="A11" s="38">
        <v>2</v>
      </c>
      <c r="B11" s="41" t="s">
        <v>34</v>
      </c>
      <c r="C11" s="40">
        <v>200</v>
      </c>
      <c r="D11" s="40">
        <v>2</v>
      </c>
      <c r="E11" s="40">
        <v>0</v>
      </c>
      <c r="F11" s="42">
        <f>D11-E11</f>
        <v>2</v>
      </c>
      <c r="G11" s="130" t="s">
        <v>24</v>
      </c>
      <c r="H11" s="130"/>
      <c r="I11" s="59"/>
    </row>
    <row r="12" spans="1:9" x14ac:dyDescent="0.25">
      <c r="A12" s="38">
        <v>3</v>
      </c>
      <c r="B12" s="43" t="s">
        <v>21</v>
      </c>
      <c r="C12" s="40">
        <v>200</v>
      </c>
      <c r="D12" s="40">
        <v>178</v>
      </c>
      <c r="E12" s="40">
        <v>0</v>
      </c>
      <c r="F12" s="42">
        <f t="shared" ref="F12" si="0">D12</f>
        <v>178</v>
      </c>
      <c r="G12" s="130" t="s">
        <v>24</v>
      </c>
      <c r="H12" s="130"/>
      <c r="I12" s="59"/>
    </row>
    <row r="13" spans="1:9" x14ac:dyDescent="0.25">
      <c r="A13" s="38">
        <v>4</v>
      </c>
      <c r="B13" s="43" t="s">
        <v>20</v>
      </c>
      <c r="C13" s="40">
        <v>300</v>
      </c>
      <c r="D13" s="40">
        <v>52</v>
      </c>
      <c r="E13" s="40">
        <v>0</v>
      </c>
      <c r="F13" s="42">
        <f>D13-E13</f>
        <v>52</v>
      </c>
      <c r="G13" s="130" t="s">
        <v>24</v>
      </c>
      <c r="H13" s="130"/>
    </row>
    <row r="14" spans="1:9" x14ac:dyDescent="0.25">
      <c r="A14" s="38">
        <v>5</v>
      </c>
      <c r="B14" s="41" t="s">
        <v>20</v>
      </c>
      <c r="C14" s="40">
        <v>200</v>
      </c>
      <c r="D14" s="40">
        <v>22</v>
      </c>
      <c r="E14" s="40">
        <v>0</v>
      </c>
      <c r="F14" s="42">
        <f>D14-E14</f>
        <v>22</v>
      </c>
      <c r="G14" s="130" t="s">
        <v>24</v>
      </c>
      <c r="H14" s="130"/>
    </row>
    <row r="15" spans="1:9" x14ac:dyDescent="0.25">
      <c r="A15" s="38">
        <v>6</v>
      </c>
      <c r="B15" s="41" t="s">
        <v>32</v>
      </c>
      <c r="C15" s="40">
        <v>30</v>
      </c>
      <c r="D15" s="40">
        <v>2</v>
      </c>
      <c r="E15" s="40">
        <v>0</v>
      </c>
      <c r="F15" s="42">
        <f>D15-E15</f>
        <v>2</v>
      </c>
      <c r="G15" s="130" t="s">
        <v>24</v>
      </c>
      <c r="H15" s="130"/>
    </row>
    <row r="16" spans="1:9" x14ac:dyDescent="0.25">
      <c r="A16" s="38">
        <v>7</v>
      </c>
      <c r="B16" s="41" t="s">
        <v>30</v>
      </c>
      <c r="C16" s="40">
        <v>30</v>
      </c>
      <c r="D16" s="40">
        <v>3</v>
      </c>
      <c r="E16" s="40">
        <v>0</v>
      </c>
      <c r="F16" s="42">
        <v>3</v>
      </c>
      <c r="G16" s="130" t="s">
        <v>24</v>
      </c>
      <c r="H16" s="130"/>
    </row>
    <row r="17" spans="1:8" x14ac:dyDescent="0.25">
      <c r="A17" s="38">
        <v>8</v>
      </c>
      <c r="B17" s="41" t="s">
        <v>29</v>
      </c>
      <c r="C17" s="40"/>
      <c r="D17" s="40"/>
      <c r="E17" s="40">
        <v>25</v>
      </c>
      <c r="F17" s="42"/>
      <c r="G17" s="130"/>
      <c r="H17" s="130"/>
    </row>
    <row r="18" spans="1:8" x14ac:dyDescent="0.25">
      <c r="A18" s="131" t="s">
        <v>22</v>
      </c>
      <c r="B18" s="132"/>
      <c r="C18" s="44">
        <f>SUM(C10:C17)</f>
        <v>1960</v>
      </c>
      <c r="D18" s="44">
        <f>SUM(D10:D17)</f>
        <v>1109</v>
      </c>
      <c r="E18" s="44">
        <f>SUM(E10:E17)</f>
        <v>574</v>
      </c>
      <c r="F18" s="44">
        <f>SUM(F10:F17)</f>
        <v>560</v>
      </c>
      <c r="G18" s="133"/>
      <c r="H18" s="134"/>
    </row>
    <row r="19" spans="1:8" ht="15.75" x14ac:dyDescent="0.25">
      <c r="A19" s="18"/>
      <c r="B19" s="18"/>
      <c r="C19" s="18"/>
      <c r="D19" s="18"/>
      <c r="E19" s="18"/>
      <c r="F19" s="18"/>
      <c r="G19" s="18"/>
      <c r="H19" s="18"/>
    </row>
    <row r="20" spans="1:8" x14ac:dyDescent="0.25">
      <c r="A20" s="129" t="s">
        <v>51</v>
      </c>
      <c r="B20" s="129"/>
      <c r="C20" s="129" t="s">
        <v>49</v>
      </c>
      <c r="D20" s="129"/>
      <c r="E20" s="129" t="s">
        <v>71</v>
      </c>
      <c r="F20" s="129"/>
      <c r="G20" s="101" t="s">
        <v>50</v>
      </c>
      <c r="H20" s="101"/>
    </row>
    <row r="21" spans="1:8" ht="15.75" customHeight="1" x14ac:dyDescent="0.25">
      <c r="A21" s="102" t="s">
        <v>7</v>
      </c>
      <c r="B21" s="102"/>
      <c r="C21" s="102" t="s">
        <v>7</v>
      </c>
      <c r="D21" s="102"/>
      <c r="E21" s="102" t="s">
        <v>7</v>
      </c>
      <c r="F21" s="102"/>
      <c r="G21" s="102" t="s">
        <v>7</v>
      </c>
      <c r="H21" s="102"/>
    </row>
    <row r="22" spans="1:8" x14ac:dyDescent="0.25">
      <c r="A22" s="32"/>
      <c r="B22" s="32"/>
      <c r="C22" s="32"/>
      <c r="D22" s="32"/>
      <c r="E22" s="32"/>
      <c r="F22" s="45"/>
      <c r="G22" s="32"/>
      <c r="H22" s="32"/>
    </row>
    <row r="23" spans="1:8" x14ac:dyDescent="0.25">
      <c r="A23" s="32"/>
      <c r="B23" s="32"/>
      <c r="C23" s="32"/>
      <c r="D23" s="25"/>
      <c r="E23" s="32"/>
      <c r="F23" s="32"/>
      <c r="G23" s="32"/>
      <c r="H23" s="32"/>
    </row>
    <row r="24" spans="1:8" x14ac:dyDescent="0.25">
      <c r="A24" s="46"/>
      <c r="B24" s="46"/>
      <c r="C24" s="46"/>
      <c r="D24" s="46"/>
      <c r="E24" s="46"/>
      <c r="F24" s="47"/>
      <c r="G24" s="46"/>
      <c r="H24" s="46"/>
    </row>
    <row r="25" spans="1:8" x14ac:dyDescent="0.25">
      <c r="A25" s="46"/>
      <c r="B25" s="46"/>
      <c r="C25" s="46"/>
      <c r="D25" s="46"/>
      <c r="E25" s="46"/>
      <c r="F25" s="47"/>
      <c r="G25" s="46"/>
      <c r="H25" s="46"/>
    </row>
    <row r="26" spans="1:8" x14ac:dyDescent="0.25">
      <c r="A26" s="128" t="s">
        <v>6</v>
      </c>
      <c r="B26" s="128"/>
      <c r="C26" s="128" t="s">
        <v>44</v>
      </c>
      <c r="D26" s="128"/>
      <c r="E26" s="128" t="s">
        <v>31</v>
      </c>
      <c r="F26" s="128"/>
      <c r="G26" s="128" t="s">
        <v>10</v>
      </c>
      <c r="H26" s="128"/>
    </row>
    <row r="27" spans="1:8" x14ac:dyDescent="0.25">
      <c r="A27" s="35"/>
      <c r="B27" s="35"/>
      <c r="C27" s="35"/>
      <c r="D27" s="48"/>
      <c r="E27" s="35"/>
      <c r="F27" s="35"/>
      <c r="G27" s="35"/>
      <c r="H27" s="35"/>
    </row>
  </sheetData>
  <mergeCells count="32">
    <mergeCell ref="G10:H10"/>
    <mergeCell ref="A8:A9"/>
    <mergeCell ref="B8:B9"/>
    <mergeCell ref="C8:F8"/>
    <mergeCell ref="G8:H9"/>
    <mergeCell ref="A4:H4"/>
    <mergeCell ref="A1:C3"/>
    <mergeCell ref="D1:F3"/>
    <mergeCell ref="G1:H1"/>
    <mergeCell ref="G2:H2"/>
    <mergeCell ref="G3:H3"/>
    <mergeCell ref="G11:H11"/>
    <mergeCell ref="A18:B18"/>
    <mergeCell ref="G18:H18"/>
    <mergeCell ref="G17:H17"/>
    <mergeCell ref="G13:H13"/>
    <mergeCell ref="G12:H12"/>
    <mergeCell ref="G14:H14"/>
    <mergeCell ref="G15:H15"/>
    <mergeCell ref="G16:H16"/>
    <mergeCell ref="A26:B26"/>
    <mergeCell ref="C26:D26"/>
    <mergeCell ref="E26:F26"/>
    <mergeCell ref="G26:H26"/>
    <mergeCell ref="G20:H20"/>
    <mergeCell ref="G21:H21"/>
    <mergeCell ref="C20:D20"/>
    <mergeCell ref="A20:B20"/>
    <mergeCell ref="A21:B21"/>
    <mergeCell ref="C21:D21"/>
    <mergeCell ref="E20:F20"/>
    <mergeCell ref="E21:F21"/>
  </mergeCells>
  <pageMargins left="0.5" right="1" top="1" bottom="1" header="0" footer="0"/>
  <pageSetup paperSize="9" scale="86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Bảng tính CK</vt:lpstr>
      <vt:lpstr>Phiếu tính CK</vt:lpstr>
      <vt:lpstr>Tồn sản xuất</vt:lpstr>
      <vt:lpstr>'Bảng tính CK'!Print_Area</vt:lpstr>
      <vt:lpstr>'Phiếu tính CK'!Print_Area</vt:lpstr>
      <vt:lpstr>'Tồn sản xuất'!Print_Area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2025-12-01T07:39:29Z</dcterms:modified>
</cp:coreProperties>
</file>