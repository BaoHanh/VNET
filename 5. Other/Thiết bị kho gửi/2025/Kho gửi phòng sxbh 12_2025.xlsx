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73A5DB49-DA58-491F-B3E3-55CC147B798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1" l="1"/>
  <c r="H13" i="1"/>
  <c r="H14" i="1"/>
  <c r="H15" i="1"/>
  <c r="H17" i="1"/>
  <c r="AH20" i="4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E18" i="1" s="1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18" i="1" l="1"/>
  <c r="H18" i="1" s="1"/>
  <c r="F5" i="1"/>
  <c r="H5" i="1" s="1"/>
  <c r="F7" i="1"/>
  <c r="H7" i="1" s="1"/>
  <c r="F10" i="1"/>
  <c r="H10" i="1" s="1"/>
  <c r="F4" i="1"/>
  <c r="H4" i="1" s="1"/>
  <c r="F11" i="1"/>
  <c r="H11" i="1" s="1"/>
  <c r="F12" i="1"/>
  <c r="H12" i="1" s="1"/>
  <c r="F8" i="1"/>
  <c r="H8" i="1" s="1"/>
  <c r="F6" i="1"/>
  <c r="H6" i="1" s="1"/>
  <c r="F9" i="1"/>
  <c r="H9" i="1" s="1"/>
</calcChain>
</file>

<file path=xl/sharedStrings.xml><?xml version="1.0" encoding="utf-8"?>
<sst xmlns="http://schemas.openxmlformats.org/spreadsheetml/2006/main" count="73" uniqueCount="29">
  <si>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</si>
  <si>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</si>
  <si>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</si>
  <si>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</si>
  <si>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</si>
  <si>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</si>
  <si>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</si>
  <si>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</si>
  <si>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</si>
  <si>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</si>
  <si>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</si>
  <si>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</si>
  <si>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</si>
  <si>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</si>
  <si>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</si>
  <si>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</si>
  <si>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</si>
  <si>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</si>
  <si>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</si>
  <si>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</si>
  <si>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</si>
  <si>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</si>
  <si>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</si>
  <si>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</si>
  <si>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</si>
  <si>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>Lỗi</t>
  </si>
  <si>
    <t>Bình thường</t>
  </si>
  <si>
    <t>Danh sách thiết bị gửi trên bảo hành-sản xuất tháng 12</t>
  </si>
  <si>
    <t>VNSH01 (BH)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</si>
</sst>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showZeros="0" tabSelected="1" workbookViewId="0">
      <selection activeCell="E22" sqref="E22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27</v>
      </c>
      <c r="B1" s="9"/>
      <c r="C1" s="9"/>
      <c r="D1" s="9"/>
      <c r="E1" s="9"/>
      <c r="F1" s="9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  <c r="G3" s="2" t="s">
        <v>25</v>
      </c>
      <c r="H3" s="2" t="s">
        <v>26</v>
      </c>
    </row>
    <row r="4" spans="1:8" x14ac:dyDescent="0.25">
      <c r="A4" s="3">
        <v>1</v>
      </c>
      <c r="B4" s="3" t="s">
        <v>2</v>
      </c>
      <c r="C4" s="3">
        <v>8</v>
      </c>
      <c r="D4" s="3">
        <f>Nhập!AH5</f>
        <v>8</v>
      </c>
      <c r="E4" s="3">
        <f>Xuất!AH5+'Hủy tb'!AH5</f>
        <v>6</v>
      </c>
      <c r="F4" s="3">
        <f>C4+D4-E4</f>
        <v>10</v>
      </c>
      <c r="G4" s="3">
        <v>0</v>
      </c>
      <c r="H4" s="3">
        <f>F4-G4</f>
        <v>10</v>
      </c>
    </row>
    <row r="5" spans="1:8" x14ac:dyDescent="0.25">
      <c r="A5" s="3">
        <v>2</v>
      </c>
      <c r="B5" s="3" t="s">
        <v>3</v>
      </c>
      <c r="C5" s="3">
        <v>0</v>
      </c>
      <c r="D5" s="3">
        <f>Nhập!AH6</f>
        <v>322</v>
      </c>
      <c r="E5" s="3">
        <f>Xuất!AH6+'Hủy tb'!AH6</f>
        <v>206</v>
      </c>
      <c r="F5" s="3">
        <f>C5+D5-E5</f>
        <v>116</v>
      </c>
      <c r="G5" s="3">
        <v>5</v>
      </c>
      <c r="H5" s="3">
        <f t="shared" ref="H5:H18" si="0">F5-G5</f>
        <v>111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ref="F6" si="1">C6+D6-E6</f>
        <v>0</v>
      </c>
      <c r="G6" s="3">
        <v>0</v>
      </c>
      <c r="H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  <c r="G7" s="3">
        <v>0</v>
      </c>
      <c r="H7" s="3">
        <f t="shared" si="0"/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2">C8+D8-E8</f>
        <v>0</v>
      </c>
      <c r="G8" s="3">
        <v>0</v>
      </c>
      <c r="H8" s="3">
        <f t="shared" si="0"/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3">C9+D9-E9</f>
        <v>0</v>
      </c>
      <c r="G9" s="3">
        <v>0</v>
      </c>
      <c r="H9" s="3">
        <f t="shared" si="0"/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  <c r="G10" s="3">
        <v>0</v>
      </c>
      <c r="H10" s="3">
        <f t="shared" si="0"/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4">C11+D11-E11</f>
        <v>0</v>
      </c>
      <c r="G11" s="3">
        <v>0</v>
      </c>
      <c r="H11" s="3">
        <f t="shared" si="0"/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5">C12+D12-E12</f>
        <v>0</v>
      </c>
      <c r="G12" s="3">
        <v>0</v>
      </c>
      <c r="H12" s="3">
        <f t="shared" si="0"/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  <c r="G13" s="3">
        <v>0</v>
      </c>
      <c r="H13" s="3">
        <f t="shared" si="0"/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3">
        <v>0</v>
      </c>
      <c r="H14" s="3">
        <f t="shared" si="0"/>
        <v>0</v>
      </c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f t="shared" si="0"/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f>SUM(F16-G16)</f>
        <v>0</v>
      </c>
    </row>
    <row r="17" spans="1:8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f t="shared" si="0"/>
        <v>0</v>
      </c>
    </row>
    <row r="18" spans="1:8" x14ac:dyDescent="0.25">
      <c r="A18" s="3">
        <v>15</v>
      </c>
      <c r="B18" s="3" t="s">
        <v>28</v>
      </c>
      <c r="C18" s="3">
        <v>0</v>
      </c>
      <c r="D18" s="3">
        <v>7</v>
      </c>
      <c r="E18" s="3">
        <f>Xuất!AH18</f>
        <v>1</v>
      </c>
      <c r="F18" s="3">
        <f>C18+D18-E18</f>
        <v>6</v>
      </c>
      <c r="G18" s="3">
        <v>0</v>
      </c>
      <c r="H18" s="3">
        <f t="shared" si="0"/>
        <v>6</v>
      </c>
    </row>
    <row r="22" spans="1:8" x14ac:dyDescent="0.25">
      <c r="B22" s="4"/>
    </row>
    <row r="23" spans="1:8" x14ac:dyDescent="0.25">
      <c r="B23" s="4"/>
    </row>
    <row r="24" spans="1:8" x14ac:dyDescent="0.25">
      <c r="B24" s="4"/>
    </row>
    <row r="25" spans="1:8" x14ac:dyDescent="0.25">
      <c r="B25" s="4"/>
    </row>
    <row r="26" spans="1:8" x14ac:dyDescent="0.25">
      <c r="B26" s="4"/>
    </row>
    <row r="27" spans="1:8" x14ac:dyDescent="0.25">
      <c r="B27" s="4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showZeros="0" topLeftCell="A2" workbookViewId="0">
      <selection activeCell="N5" sqref="N5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</row>
    <row r="3" spans="1:34" x14ac:dyDescent="0.25">
      <c r="A3" s="10" t="s">
        <v>0</v>
      </c>
      <c r="B3" s="10" t="s">
        <v>1</v>
      </c>
      <c r="C3" s="10" t="s">
        <v>10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>
        <v>8</v>
      </c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8</v>
      </c>
    </row>
    <row r="6" spans="1:34" x14ac:dyDescent="0.25">
      <c r="A6" s="3">
        <v>2</v>
      </c>
      <c r="B6" s="8" t="s">
        <v>3</v>
      </c>
      <c r="C6" s="6">
        <v>72</v>
      </c>
      <c r="D6" s="7">
        <v>72</v>
      </c>
      <c r="E6" s="7"/>
      <c r="F6" s="7"/>
      <c r="G6" s="7"/>
      <c r="H6" s="7"/>
      <c r="I6" s="7"/>
      <c r="J6" s="6">
        <v>66</v>
      </c>
      <c r="K6" s="7"/>
      <c r="L6" s="7">
        <v>24</v>
      </c>
      <c r="M6" s="7">
        <v>88</v>
      </c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322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7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>
        <v>7</v>
      </c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7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showZeros="0" topLeftCell="A2" workbookViewId="0">
      <selection activeCell="M27" sqref="M27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</row>
    <row r="3" spans="1:34" x14ac:dyDescent="0.25">
      <c r="A3" s="10" t="s">
        <v>0</v>
      </c>
      <c r="B3" s="10" t="s">
        <v>1</v>
      </c>
      <c r="C3" s="10" t="s">
        <v>23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>
        <v>4</v>
      </c>
      <c r="H5" s="7"/>
      <c r="I5" s="7"/>
      <c r="J5" s="6"/>
      <c r="K5" s="7"/>
      <c r="L5" s="7">
        <v>2</v>
      </c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6</v>
      </c>
    </row>
    <row r="6" spans="1:34" x14ac:dyDescent="0.25">
      <c r="A6" s="3">
        <v>2</v>
      </c>
      <c r="B6" s="8" t="s">
        <v>3</v>
      </c>
      <c r="C6" s="6">
        <v>64</v>
      </c>
      <c r="D6" s="7">
        <v>15</v>
      </c>
      <c r="E6" s="7"/>
      <c r="F6" s="7">
        <v>12</v>
      </c>
      <c r="G6" s="7">
        <v>10</v>
      </c>
      <c r="H6" s="7"/>
      <c r="I6" s="7"/>
      <c r="J6" s="6">
        <v>34</v>
      </c>
      <c r="K6" s="7">
        <v>11</v>
      </c>
      <c r="L6" s="7">
        <v>38</v>
      </c>
      <c r="M6" s="7">
        <v>22</v>
      </c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206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8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/>
      <c r="D18" s="7"/>
      <c r="E18" s="7"/>
      <c r="F18" s="7"/>
      <c r="G18" s="7"/>
      <c r="H18" s="7"/>
      <c r="I18" s="7"/>
      <c r="J18" s="6">
        <v>1</v>
      </c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1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showZeros="0" workbookViewId="0">
      <selection activeCell="AB26" sqref="AB2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3" spans="1:34" x14ac:dyDescent="0.25">
      <c r="A3" s="10" t="s">
        <v>0</v>
      </c>
      <c r="B3" s="10" t="s">
        <v>1</v>
      </c>
      <c r="C3" s="10" t="s">
        <v>10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3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3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3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3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6</v>
      </c>
      <c r="B10" s="3" t="s">
        <v>13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7</v>
      </c>
      <c r="B11" s="3" t="s">
        <v>14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8</v>
      </c>
      <c r="B12" s="3" t="s">
        <v>15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9</v>
      </c>
      <c r="B13" s="3" t="s">
        <v>16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10</v>
      </c>
      <c r="B14" s="7"/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11</v>
      </c>
      <c r="B15" s="7"/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12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13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14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15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  <row r="20" spans="1:34" x14ac:dyDescent="0.25">
      <c r="A20" s="3">
        <v>16</v>
      </c>
      <c r="B20" s="7"/>
      <c r="C20" s="6"/>
      <c r="D20" s="7"/>
      <c r="E20" s="7"/>
      <c r="F20" s="7"/>
      <c r="G20" s="7"/>
      <c r="H20" s="7"/>
      <c r="I20" s="7"/>
      <c r="J20" s="6"/>
      <c r="K20" s="7"/>
      <c r="L20" s="7"/>
      <c r="M20" s="7"/>
      <c r="N20" s="7"/>
      <c r="O20" s="7"/>
      <c r="P20" s="6"/>
      <c r="Q20" s="6"/>
      <c r="R20" s="7"/>
      <c r="S20" s="7"/>
      <c r="T20" s="7"/>
      <c r="U20" s="7"/>
      <c r="V20" s="7"/>
      <c r="W20" s="7"/>
      <c r="X20" s="6"/>
      <c r="Y20" s="7"/>
      <c r="Z20" s="7"/>
      <c r="AA20" s="7"/>
      <c r="AB20" s="7"/>
      <c r="AC20" s="7"/>
      <c r="AD20" s="6"/>
      <c r="AE20" s="6"/>
      <c r="AF20" s="7"/>
      <c r="AG20" s="7"/>
      <c r="AH20" s="7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2025-12-11T12:26:57Z</dcterms:modified>
</cp:coreProperties>
</file>