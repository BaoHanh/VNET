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10E6D8E2-B6DC-4AC8-8474-FE6DB27B393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4" i="1" l="1"/>
  <c r="H24" i="1" s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<sst xmlns="http://schemas.openxmlformats.org/spreadsheetml/2006/main" count="221" uniqueCount="83">
  <si>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</si>
  <si>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</si>
  <si>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</si>
  <si>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</si>
  <si>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</si>
  <si>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</si>
  <si>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</si>
  <si>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</si>
  <si>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</si>
  <si>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</si>
  <si>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</si>
  <si>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</si>
  <si>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</si>
  <si>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</si>
  <si>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</si>
  <si>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</si>
  <si>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</si>
  <si>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</si>
  <si>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</si>
  <si>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</si>
  <si>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</si>
  <si>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</si>
  <si>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</si>
  <si>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</si>
  <si>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</si>
  <si>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</si>
  <si>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</si>
  <si>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</si>
  <si>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</si>
  <si>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</si>
  <si>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</si>
  <si>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</si>
  <si>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</si>
  <si>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</si>
  <si>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</si>
  <si>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</si>
  <si>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</si>
  <si>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</si>
  <si>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</si>
  <si>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</si>
  <si>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</si>
  <si>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</si>
  <si>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</si>
  <si>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</si>
  <si>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</si>
  <si>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</si>
  <si>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</si>
  <si>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</si>
  <si>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</si>
  <si>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</si>
  <si>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</si>
  <si>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</si>
  <si>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</si>
  <si>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</si>
  <si>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</si>
  <si>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</si>
  <si>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</si>
  <si>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</si>
  <si>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</si>
  <si>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</si>
  <si>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</si>
  <si>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</si>
  <si>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</si>
  <si>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</si>
  <si>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</si>
  <si>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</si>
  <si>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</si>
  <si>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</si>
  <si>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</si>
  <si>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</si>
  <si>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</si>
  <si>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</si>
  <si>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</si>
  <si>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</si>
  <si>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</si>
  <si>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</si>
  <si>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</si>
  <si>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</si>
  <si>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</si>
  <si>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</si>
  <si>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</si>
  <si>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</si>
  <si>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6 VNSH02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</si>
</sst>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H8" sqref="H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24</v>
      </c>
      <c r="E3" s="3">
        <f>Xuất!AH4+Huỷ!AH3</f>
        <v>1</v>
      </c>
      <c r="F3" s="3">
        <f>C3+D3-E3</f>
        <v>25</v>
      </c>
      <c r="G3" s="4">
        <v>2</v>
      </c>
      <c r="H3" s="3">
        <f>F3-G3</f>
        <v>23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210</v>
      </c>
      <c r="E4" s="3">
        <f>Xuất!AH5+Huỷ!AH4</f>
        <v>288</v>
      </c>
      <c r="F4" s="3">
        <f>C4+D4-E4</f>
        <v>43</v>
      </c>
      <c r="G4" s="4">
        <v>38</v>
      </c>
      <c r="H4" s="3">
        <f t="shared" ref="H4:H22" si="0">F4-G4</f>
        <v>5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71</v>
      </c>
      <c r="C23" s="3">
        <f>'[1]Nhập xuất tồn'!F23</f>
        <v>3</v>
      </c>
      <c r="D23" s="3">
        <f>SUM(Nhập!AH23)</f>
        <v>0</v>
      </c>
      <c r="E23" s="3">
        <f>SUM(Xuất!AH24)</f>
        <v>0</v>
      </c>
      <c r="F23" s="3">
        <f>SUM(C23+D23)-E23</f>
        <v>3</v>
      </c>
      <c r="G23" s="4"/>
      <c r="H23" s="3">
        <f>SUM(F23-G23)</f>
        <v>3</v>
      </c>
    </row>
    <row r="24" spans="1:8" x14ac:dyDescent="0.25">
      <c r="A24" s="26" t="s">
        <v>5</v>
      </c>
      <c r="B24" s="26"/>
      <c r="C24" s="3">
        <f>SUM(C3:C22)</f>
        <v>134</v>
      </c>
      <c r="D24" s="3">
        <f t="shared" ref="D24:G24" si="2">SUM(D3:D22)</f>
        <v>234</v>
      </c>
      <c r="E24" s="3">
        <f t="shared" si="2"/>
        <v>289</v>
      </c>
      <c r="F24" s="3">
        <f>SUM(F3:F23)</f>
        <v>82</v>
      </c>
      <c r="G24" s="3">
        <f t="shared" si="2"/>
        <v>41</v>
      </c>
      <c r="H24" s="3">
        <f>SUM(H3:H23)</f>
        <v>41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M8" sqref="M8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24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H5" sqref="H5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288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22" workbookViewId="0">
      <selection activeCell="G38" sqref="G38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3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5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3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5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3">
        <v>46078</v>
      </c>
      <c r="B27" s="15" t="s">
        <v>62</v>
      </c>
      <c r="C27" s="15"/>
      <c r="D27" s="15">
        <v>20</v>
      </c>
      <c r="E27" s="15">
        <v>100</v>
      </c>
      <c r="F27" s="15" t="s">
        <v>80</v>
      </c>
      <c r="G27" s="16" t="s">
        <v>74</v>
      </c>
    </row>
    <row r="28" spans="1:7" x14ac:dyDescent="0.25">
      <c r="A28" s="35"/>
      <c r="B28" s="15" t="s">
        <v>50</v>
      </c>
      <c r="C28" s="15"/>
      <c r="D28" s="15"/>
      <c r="E28" s="15">
        <v>30</v>
      </c>
      <c r="F28" s="18" t="s">
        <v>69</v>
      </c>
      <c r="G28" s="16"/>
    </row>
    <row r="29" spans="1:7" x14ac:dyDescent="0.25">
      <c r="A29" s="33">
        <v>46079</v>
      </c>
      <c r="B29" s="15" t="s">
        <v>64</v>
      </c>
      <c r="C29" s="15"/>
      <c r="D29" s="15">
        <v>3</v>
      </c>
      <c r="E29" s="15">
        <v>5</v>
      </c>
      <c r="F29" s="18" t="s">
        <v>69</v>
      </c>
      <c r="G29" s="16"/>
    </row>
    <row r="30" spans="1:7" x14ac:dyDescent="0.25">
      <c r="A30" s="34"/>
      <c r="B30" s="15" t="s">
        <v>70</v>
      </c>
      <c r="C30" s="15"/>
      <c r="D30" s="15"/>
      <c r="E30" s="15">
        <v>1</v>
      </c>
      <c r="F30" s="18" t="s">
        <v>69</v>
      </c>
      <c r="G30" s="16"/>
    </row>
    <row r="31" spans="1:7" x14ac:dyDescent="0.25">
      <c r="A31" s="35"/>
      <c r="B31" s="15" t="s">
        <v>50</v>
      </c>
      <c r="C31" s="15"/>
      <c r="D31" s="15"/>
      <c r="E31" s="15">
        <v>20</v>
      </c>
      <c r="F31" s="15" t="s">
        <v>80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79</v>
      </c>
      <c r="G32" s="16" t="s">
        <v>73</v>
      </c>
    </row>
    <row r="33" spans="1:7" x14ac:dyDescent="0.25">
      <c r="A33" s="33">
        <v>46083</v>
      </c>
      <c r="B33" s="15" t="s">
        <v>48</v>
      </c>
      <c r="C33" s="15"/>
      <c r="D33" s="15"/>
      <c r="E33" s="15">
        <v>10</v>
      </c>
      <c r="F33" s="15" t="s">
        <v>79</v>
      </c>
      <c r="G33" s="16"/>
    </row>
    <row r="34" spans="1:7" x14ac:dyDescent="0.25">
      <c r="A34" s="34"/>
      <c r="B34" s="15" t="s">
        <v>50</v>
      </c>
      <c r="C34" s="15"/>
      <c r="D34" s="15"/>
      <c r="E34" s="15">
        <v>10</v>
      </c>
      <c r="F34" s="15" t="s">
        <v>80</v>
      </c>
      <c r="G34" s="16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77</v>
      </c>
      <c r="G35" s="16"/>
    </row>
    <row r="36" spans="1:7" x14ac:dyDescent="0.25">
      <c r="A36" s="34"/>
      <c r="B36" s="15" t="s">
        <v>75</v>
      </c>
      <c r="C36" s="15"/>
      <c r="D36" s="15"/>
      <c r="E36" s="15">
        <v>30</v>
      </c>
      <c r="F36" s="15" t="s">
        <v>79</v>
      </c>
      <c r="G36" s="16" t="s">
        <v>78</v>
      </c>
    </row>
    <row r="37" spans="1:7" x14ac:dyDescent="0.25">
      <c r="A37" s="34"/>
      <c r="B37" s="15" t="s">
        <v>76</v>
      </c>
      <c r="C37" s="15"/>
      <c r="D37" s="15"/>
      <c r="E37" s="15">
        <v>1</v>
      </c>
      <c r="F37" s="15" t="s">
        <v>77</v>
      </c>
      <c r="G37" s="16"/>
    </row>
    <row r="38" spans="1:7" x14ac:dyDescent="0.25">
      <c r="A38" s="35"/>
      <c r="B38" s="15" t="s">
        <v>62</v>
      </c>
      <c r="C38" s="15"/>
      <c r="D38" s="15"/>
      <c r="E38" s="15">
        <v>50</v>
      </c>
      <c r="F38" s="15" t="s">
        <v>80</v>
      </c>
      <c r="G38" s="16"/>
    </row>
    <row r="39" spans="1:7" x14ac:dyDescent="0.25">
      <c r="A39" s="14">
        <v>46084</v>
      </c>
      <c r="B39" s="15" t="s">
        <v>60</v>
      </c>
      <c r="C39" s="15"/>
      <c r="D39" s="15"/>
      <c r="E39" s="15">
        <v>5</v>
      </c>
      <c r="F39" s="15" t="s">
        <v>79</v>
      </c>
      <c r="G39" s="16"/>
    </row>
    <row r="40" spans="1:7" x14ac:dyDescent="0.25">
      <c r="A40" s="33">
        <v>46085</v>
      </c>
      <c r="B40" s="15" t="s">
        <v>64</v>
      </c>
      <c r="C40" s="15"/>
      <c r="D40" s="15"/>
      <c r="E40" s="15">
        <v>30</v>
      </c>
      <c r="F40" s="15"/>
      <c r="G40" s="16" t="s">
        <v>82</v>
      </c>
    </row>
    <row r="41" spans="1:7" x14ac:dyDescent="0.25">
      <c r="A41" s="35"/>
      <c r="B41" s="15" t="s">
        <v>81</v>
      </c>
      <c r="C41" s="15"/>
      <c r="D41" s="15">
        <v>1</v>
      </c>
      <c r="E41" s="15"/>
      <c r="F41" s="15" t="s">
        <v>80</v>
      </c>
      <c r="G41" s="16"/>
    </row>
    <row r="42" spans="1:7" x14ac:dyDescent="0.25">
      <c r="A42" s="14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38" xr:uid="{171653DB-B967-4059-9CE3-FD13B7B63DBC}"/>
  <mergeCells count="13">
    <mergeCell ref="A40:A41"/>
    <mergeCell ref="A33:A38"/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K11" sqref="K11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24</v>
      </c>
      <c r="E3" s="3">
        <f>SUM('Nhập xuất tồn'!E3)</f>
        <v>1</v>
      </c>
      <c r="F3" s="3">
        <f>SUM(C3+D3-E3)</f>
        <v>25</v>
      </c>
      <c r="G3" s="4">
        <v>1</v>
      </c>
      <c r="H3" s="3">
        <f>SUM(F3-G3)</f>
        <v>24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210</v>
      </c>
      <c r="E4" s="3">
        <f>SUM('Nhập xuất tồn'!E4)</f>
        <v>288</v>
      </c>
      <c r="F4" s="3">
        <f>SUM(C4+D4-E4)</f>
        <v>43</v>
      </c>
      <c r="G4" s="4">
        <v>3</v>
      </c>
      <c r="H4" s="3">
        <f>SUM(F4-G4)</f>
        <v>40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72</v>
      </c>
      <c r="C18" s="3">
        <f>'Nhập xuất tồn'!C23</f>
        <v>3</v>
      </c>
      <c r="D18" s="3">
        <f>'Nhập xuất tồn'!D23</f>
        <v>0</v>
      </c>
      <c r="E18" s="3">
        <f>'Nhập xuất tồn'!E23</f>
        <v>0</v>
      </c>
      <c r="F18" s="3">
        <f>'Nhập xuất tồn'!F23</f>
        <v>3</v>
      </c>
      <c r="G18" s="4">
        <f>'Nhập xuất tồn'!G23</f>
        <v>0</v>
      </c>
      <c r="H18" s="3">
        <f>'Nhập xuất tồn'!H23</f>
        <v>3</v>
      </c>
    </row>
    <row r="19" spans="1:8" x14ac:dyDescent="0.25">
      <c r="A19" s="36" t="s">
        <v>5</v>
      </c>
      <c r="B19" s="36"/>
      <c r="C19" s="10">
        <f>SUM(C3:C17)</f>
        <v>134</v>
      </c>
      <c r="D19" s="10">
        <f>SUM(D3:D17)</f>
        <v>234</v>
      </c>
      <c r="E19" s="10">
        <f>SUM(E3:E17)</f>
        <v>289</v>
      </c>
      <c r="F19" s="10">
        <f>SUM(F3:F18)</f>
        <v>82</v>
      </c>
      <c r="G19" s="11">
        <f>SUM(G3:G17)</f>
        <v>4</v>
      </c>
      <c r="H19" s="10">
        <f>SUM(H3:H18)</f>
        <v>78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2026-03-05T08:37:48Z</dcterms:modified>
</cp:coreProperties>
</file>