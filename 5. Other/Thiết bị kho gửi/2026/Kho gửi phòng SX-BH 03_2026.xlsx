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679C52E-754D-49C2-88A0-B00A79262EA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<sst xmlns="http://schemas.openxmlformats.org/spreadsheetml/2006/main" count="235" uniqueCount="90">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</sst>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L7" sqref="L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88</v>
      </c>
      <c r="B1" s="22"/>
      <c r="C1" s="22"/>
      <c r="D1" s="22"/>
      <c r="E1" s="22"/>
      <c r="F1" s="22"/>
      <c r="G1" s="22"/>
      <c r="H1" s="23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44</v>
      </c>
      <c r="E3" s="3">
        <f>Xuất!AH4+Huỷ!AH3</f>
        <v>34</v>
      </c>
      <c r="F3" s="3">
        <f>C3+D3-E3</f>
        <v>12</v>
      </c>
      <c r="G3" s="4">
        <v>2</v>
      </c>
      <c r="H3" s="3">
        <f>F3-G3</f>
        <v>10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306</v>
      </c>
      <c r="F4" s="3">
        <f>C4+D4-E4</f>
        <v>25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4" t="s">
        <v>5</v>
      </c>
      <c r="B24" s="24"/>
      <c r="C24" s="3">
        <f>SUM(C3:C22)</f>
        <v>134</v>
      </c>
      <c r="D24" s="3">
        <f t="shared" ref="D24:G24" si="2">SUM(D3:D22)</f>
        <v>254</v>
      </c>
      <c r="E24" s="3">
        <f t="shared" si="2"/>
        <v>340</v>
      </c>
      <c r="F24" s="3">
        <f>SUM(F3:F23)</f>
        <v>48</v>
      </c>
      <c r="G24" s="3">
        <f t="shared" si="2"/>
        <v>3</v>
      </c>
      <c r="H24" s="3">
        <f>SUM(H3:H23)</f>
        <v>20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P4" sqref="P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 spans="1:34" x14ac:dyDescent="0.25">
      <c r="A2" s="26" t="s">
        <v>8</v>
      </c>
      <c r="B2" s="26" t="s">
        <v>9</v>
      </c>
      <c r="C2" s="26" t="s">
        <v>13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 t="s">
        <v>5</v>
      </c>
    </row>
    <row r="3" spans="1:34" x14ac:dyDescent="0.25">
      <c r="A3" s="26"/>
      <c r="B3" s="26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6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34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306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V27" sqref="V27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26" t="s">
        <v>12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6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44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2" workbookViewId="0">
      <selection activeCell="D47" sqref="D47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3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3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3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3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3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3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3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3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3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3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3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3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3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3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3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3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0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2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1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0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2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1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0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1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0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2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1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0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2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2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2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2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1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0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1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0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1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0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1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5"/>
      <c r="B49" s="15"/>
      <c r="C49" s="15"/>
      <c r="D49" s="15"/>
      <c r="E49" s="15"/>
      <c r="F49" s="15"/>
      <c r="G49" s="15"/>
    </row>
    <row r="50" spans="1:7" x14ac:dyDescent="0.25">
      <c r="D50" s="16">
        <f>SUM(D2:D32)</f>
        <v>38</v>
      </c>
      <c r="E50" s="16">
        <f>SUM(E2:E32)</f>
        <v>339</v>
      </c>
    </row>
  </sheetData>
  <autoFilter ref="A1:F38" xr:uid="{171653DB-B967-4059-9CE3-FD13B7B63DBC}"/>
  <mergeCells count="15">
    <mergeCell ref="A47:A48"/>
    <mergeCell ref="A21:A23"/>
    <mergeCell ref="A19:A20"/>
    <mergeCell ref="A29:A31"/>
    <mergeCell ref="A15:A16"/>
    <mergeCell ref="A2:A5"/>
    <mergeCell ref="A6:A7"/>
    <mergeCell ref="A8:A9"/>
    <mergeCell ref="A10:A11"/>
    <mergeCell ref="A12:A13"/>
    <mergeCell ref="A43:A44"/>
    <mergeCell ref="A40:A41"/>
    <mergeCell ref="A33:A38"/>
    <mergeCell ref="A27:A28"/>
    <mergeCell ref="A24:A26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6" t="s">
        <v>8</v>
      </c>
      <c r="B1" s="26" t="s">
        <v>9</v>
      </c>
      <c r="C1" s="26" t="s">
        <v>12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 t="s">
        <v>5</v>
      </c>
    </row>
    <row r="2" spans="1:34" x14ac:dyDescent="0.25">
      <c r="A2" s="26"/>
      <c r="B2" s="26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6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K8" sqref="K8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1" t="s">
        <v>88</v>
      </c>
      <c r="B1" s="22"/>
      <c r="C1" s="22"/>
      <c r="D1" s="22"/>
      <c r="E1" s="22"/>
      <c r="F1" s="22"/>
      <c r="G1" s="22"/>
      <c r="H1" s="23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44</v>
      </c>
      <c r="E3" s="3">
        <f>SUM('Nhập xuất tồn'!E3)</f>
        <v>34</v>
      </c>
      <c r="F3" s="3">
        <f>SUM(C3+D3-E3)</f>
        <v>12</v>
      </c>
      <c r="G3" s="4">
        <f>'Nhập xuất tồn'!G3</f>
        <v>2</v>
      </c>
      <c r="H3" s="3">
        <f>SUM(F3-G3)</f>
        <v>10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306</v>
      </c>
      <c r="F4" s="3">
        <f>SUM(C4+D4-E4)</f>
        <v>25</v>
      </c>
      <c r="G4" s="4">
        <f>'Nhập xuất tồn'!G4</f>
        <v>0</v>
      </c>
      <c r="H4" s="3">
        <f>SUM(F4-G4)</f>
        <v>25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4" t="s">
        <v>5</v>
      </c>
      <c r="B19" s="34"/>
      <c r="C19" s="10">
        <f>SUM(C3:C17)</f>
        <v>134</v>
      </c>
      <c r="D19" s="10">
        <f>SUM(D3:D17)</f>
        <v>254</v>
      </c>
      <c r="E19" s="10">
        <f>SUM(E3:E17)</f>
        <v>340</v>
      </c>
      <c r="F19" s="10">
        <f>SUM(F3:F18)</f>
        <v>48</v>
      </c>
      <c r="G19" s="11">
        <f>SUM(G3:G17)</f>
        <v>2</v>
      </c>
      <c r="H19" s="10">
        <f>SUM(H3:H18)</f>
        <v>46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2026-03-16T01:44:18Z</dcterms:modified>
</cp:coreProperties>
</file>