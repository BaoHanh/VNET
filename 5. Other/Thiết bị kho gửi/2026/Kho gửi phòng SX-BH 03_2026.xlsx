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CE38EC1B-D417-4CCE-81EC-B4DAC71A17B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6" l="1"/>
  <c r="C4" i="1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4" i="6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/>
  <c r="H18" i="6" s="1"/>
  <c r="C13" i="6" l="1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F4" i="1"/>
  <c r="H4" i="1" s="1"/>
  <c r="D4" i="6"/>
  <c r="F4" i="6" s="1"/>
  <c r="H4" i="6" s="1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C24" i="1"/>
  <c r="F12" i="1"/>
  <c r="H12" i="1" l="1"/>
  <c r="H24" i="1" s="1"/>
  <c r="F24" i="1"/>
  <c r="C19" i="6"/>
  <c r="F7" i="6"/>
  <c r="H7" i="6" l="1"/>
  <c r="H19" i="6" s="1"/>
  <c r="F19" i="6"/>
</calcChain>
</file>

<file path=xl/sharedStrings.xml><?xml version="1.0" encoding="utf-8"?>
<sst xmlns="http://schemas.openxmlformats.org/spreadsheetml/2006/main" count="202" uniqueCount="76">
  <si>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</si>
  <si>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</si>
  <si>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</si>
  <si>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</si>
  <si>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</si>
  <si>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</si>
  <si>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</si>
  <si>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</si>
  <si>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</si>
  <si>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</si>
  <si>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</si>
  <si>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</si>
  <si>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</si>
  <si>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</si>
  <si>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</si>
  <si>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</si>
  <si>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</si>
  <si>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</si>
  <si>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</si>
  <si>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</si>
  <si>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</si>
  <si>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</si>
  <si>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</si>
  <si>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</si>
  <si>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</si>
  <si>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</si>
  <si>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</si>
  <si>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</si>
  <si>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</si>
  <si>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</si>
  <si>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</si>
  <si>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</si>
  <si>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</si>
  <si>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</si>
  <si>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</si>
  <si>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</si>
  <si>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</si>
  <si>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</si>
  <si>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</si>
  <si>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</si>
  <si>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</si>
  <si>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</si>
  <si>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</si>
  <si>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</si>
  <si>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</si>
  <si>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</si>
  <si>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</si>
  <si>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</si>
  <si>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</si>
  <si>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</si>
  <si>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</si>
  <si>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</si>
  <si>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</si>
  <si>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</si>
  <si>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</si>
  <si>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</si>
  <si>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</si>
  <si>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</si>
  <si>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</si>
  <si>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</si>
  <si>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</si>
  <si>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</si>
  <si>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</si>
  <si>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</si>
  <si>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</si>
  <si>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</si>
  <si>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</si>
  <si>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</si>
  <si>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</si>
  <si>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Chưa trả</t>
  </si>
  <si>
    <t>Đã trả (26/02/26)</t>
  </si>
  <si>
    <t>ĐL Dũng Thu</t>
  </si>
  <si>
    <t>Đã trả (27/02/26)</t>
  </si>
  <si>
    <t>Mắt camera</t>
  </si>
  <si>
    <t>Mắt Camera</t>
  </si>
  <si>
    <t>Chuyển qua tháng 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</si>
</sst>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22</v>
          </cell>
        </row>
        <row r="4">
          <cell r="F4">
            <v>94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N15" sqref="N1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22</v>
      </c>
      <c r="D3" s="3">
        <f>Nhập!AH3</f>
        <v>0</v>
      </c>
      <c r="E3" s="3">
        <f>Xuất!AH4+Huỷ!AH3</f>
        <v>0</v>
      </c>
      <c r="F3" s="3">
        <f>C3+D3-E3</f>
        <v>22</v>
      </c>
      <c r="G3" s="4">
        <v>1</v>
      </c>
      <c r="H3" s="3">
        <f>F3-G3</f>
        <v>21</v>
      </c>
    </row>
    <row r="4" spans="1:8" x14ac:dyDescent="0.25">
      <c r="A4" s="3">
        <v>2</v>
      </c>
      <c r="B4" s="3" t="s">
        <v>1</v>
      </c>
      <c r="C4" s="3">
        <f>'[1]Nhập xuất tồn'!F4</f>
        <v>94</v>
      </c>
      <c r="D4" s="3">
        <f>Nhập!AH4</f>
        <v>0</v>
      </c>
      <c r="E4" s="3">
        <f>Xuất!AH5+Huỷ!AH4</f>
        <v>0</v>
      </c>
      <c r="F4" s="3">
        <f>C4+D4-E4</f>
        <v>94</v>
      </c>
      <c r="G4" s="4">
        <v>16</v>
      </c>
      <c r="H4" s="3">
        <f t="shared" ref="H4:H22" si="0">F4-G4</f>
        <v>78</v>
      </c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73</v>
      </c>
      <c r="C23" s="3">
        <f>'[1]Nhập xuất tồn'!F23</f>
        <v>3</v>
      </c>
      <c r="D23" s="3">
        <f>SUM(Nhập!AH23)</f>
        <v>0</v>
      </c>
      <c r="E23" s="3">
        <f>SUM(Xuất!AH24)</f>
        <v>0</v>
      </c>
      <c r="F23" s="3">
        <f>SUM(C23+D23)-E23</f>
        <v>3</v>
      </c>
      <c r="G23" s="4"/>
      <c r="H23" s="3">
        <f>SUM(F23-G23)</f>
        <v>3</v>
      </c>
    </row>
    <row r="24" spans="1:8" x14ac:dyDescent="0.25">
      <c r="A24" s="26" t="s">
        <v>5</v>
      </c>
      <c r="B24" s="26"/>
      <c r="C24" s="3">
        <f>SUM(C3:C22)</f>
        <v>127</v>
      </c>
      <c r="D24" s="3">
        <f t="shared" ref="D24:G24" si="2">SUM(D3:D22)</f>
        <v>0</v>
      </c>
      <c r="E24" s="3">
        <f t="shared" si="2"/>
        <v>0</v>
      </c>
      <c r="F24" s="3">
        <f>SUM(F3:F23)</f>
        <v>130</v>
      </c>
      <c r="G24" s="3">
        <f t="shared" si="2"/>
        <v>18</v>
      </c>
      <c r="H24" s="3">
        <f>SUM(H3:H23)</f>
        <v>112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AB3" sqref="AB3:AB23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C4" sqref="C4:AG24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0</v>
      </c>
    </row>
    <row r="5" spans="1:34" x14ac:dyDescent="0.25">
      <c r="A5" s="5">
        <v>2</v>
      </c>
      <c r="B5" s="5" t="s">
        <v>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0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73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workbookViewId="0">
      <selection activeCell="J25" sqref="J25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2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2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2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2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2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2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2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2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2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2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2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2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2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2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2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2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3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5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4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3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5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4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x14ac:dyDescent="0.25">
      <c r="A27" s="33">
        <v>46078</v>
      </c>
      <c r="B27" s="15" t="s">
        <v>62</v>
      </c>
      <c r="C27" s="15"/>
      <c r="D27" s="15">
        <v>20</v>
      </c>
      <c r="E27" s="15">
        <v>100</v>
      </c>
      <c r="F27" s="15" t="s">
        <v>69</v>
      </c>
      <c r="G27" s="16" t="s">
        <v>75</v>
      </c>
    </row>
    <row r="28" spans="1:7" x14ac:dyDescent="0.25">
      <c r="A28" s="34"/>
      <c r="B28" s="15" t="s">
        <v>50</v>
      </c>
      <c r="C28" s="15"/>
      <c r="D28" s="15"/>
      <c r="E28" s="15">
        <v>30</v>
      </c>
      <c r="F28" s="18" t="s">
        <v>70</v>
      </c>
      <c r="G28" s="16"/>
    </row>
    <row r="29" spans="1:7" x14ac:dyDescent="0.25">
      <c r="A29" s="33">
        <v>46079</v>
      </c>
      <c r="B29" s="15" t="s">
        <v>64</v>
      </c>
      <c r="C29" s="15"/>
      <c r="D29" s="15">
        <v>3</v>
      </c>
      <c r="E29" s="15">
        <v>5</v>
      </c>
      <c r="F29" s="18" t="s">
        <v>70</v>
      </c>
      <c r="G29" s="16"/>
    </row>
    <row r="30" spans="1:7" x14ac:dyDescent="0.25">
      <c r="A30" s="35"/>
      <c r="B30" s="15" t="s">
        <v>71</v>
      </c>
      <c r="C30" s="15"/>
      <c r="D30" s="15"/>
      <c r="E30" s="15">
        <v>1</v>
      </c>
      <c r="F30" s="18" t="s">
        <v>70</v>
      </c>
      <c r="G30" s="16"/>
    </row>
    <row r="31" spans="1:7" x14ac:dyDescent="0.25">
      <c r="A31" s="34"/>
      <c r="B31" s="15" t="s">
        <v>50</v>
      </c>
      <c r="C31" s="15"/>
      <c r="D31" s="15"/>
      <c r="E31" s="15">
        <v>20</v>
      </c>
      <c r="F31" s="18" t="s">
        <v>72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69</v>
      </c>
      <c r="G32" s="16" t="s">
        <v>75</v>
      </c>
    </row>
    <row r="33" spans="1:7" x14ac:dyDescent="0.25">
      <c r="A33" s="14"/>
      <c r="B33" s="15"/>
      <c r="C33" s="15"/>
      <c r="D33" s="15"/>
      <c r="E33" s="15"/>
      <c r="F33" s="15"/>
      <c r="G33" s="16"/>
    </row>
    <row r="34" spans="1:7" x14ac:dyDescent="0.25">
      <c r="A34" s="14"/>
      <c r="B34" s="15"/>
      <c r="C34" s="15"/>
      <c r="D34" s="15"/>
      <c r="E34" s="15"/>
      <c r="F34" s="15"/>
      <c r="G34" s="16"/>
    </row>
    <row r="35" spans="1:7" x14ac:dyDescent="0.25">
      <c r="A35" s="14"/>
      <c r="B35" s="15"/>
      <c r="C35" s="15"/>
      <c r="D35" s="15"/>
      <c r="E35" s="15"/>
      <c r="F35" s="15"/>
      <c r="G35" s="16"/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14"/>
      <c r="B37" s="15"/>
      <c r="C37" s="15"/>
      <c r="D37" s="15"/>
      <c r="E37" s="15"/>
      <c r="F37" s="15"/>
      <c r="G37" s="16"/>
    </row>
    <row r="38" spans="1:7" x14ac:dyDescent="0.25">
      <c r="A38" s="14"/>
      <c r="B38" s="15"/>
      <c r="C38" s="15"/>
      <c r="D38" s="15"/>
      <c r="E38" s="15"/>
      <c r="F38" s="15"/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4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7" xr:uid="{171653DB-B967-4059-9CE3-FD13B7B63DBC}"/>
  <mergeCells count="11">
    <mergeCell ref="A27:A28"/>
    <mergeCell ref="A24:A26"/>
    <mergeCell ref="A21:A23"/>
    <mergeCell ref="A19:A20"/>
    <mergeCell ref="A29:A31"/>
    <mergeCell ref="A15:A1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B7" sqref="B7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22</v>
      </c>
      <c r="D3" s="3">
        <f>SUM('Nhập xuất tồn'!D3)</f>
        <v>0</v>
      </c>
      <c r="E3" s="3">
        <f>SUM('Nhập xuất tồn'!E3)</f>
        <v>0</v>
      </c>
      <c r="F3" s="3">
        <f>SUM(C3+D3-E3)</f>
        <v>22</v>
      </c>
      <c r="G3" s="4">
        <v>1</v>
      </c>
      <c r="H3" s="3">
        <f>SUM(F3-G3)</f>
        <v>21</v>
      </c>
    </row>
    <row r="4" spans="1:8" x14ac:dyDescent="0.25">
      <c r="A4" s="3">
        <v>2</v>
      </c>
      <c r="B4" s="3" t="s">
        <v>1</v>
      </c>
      <c r="C4" s="3">
        <f>SUM('Nhập xuất tồn'!C4)</f>
        <v>94</v>
      </c>
      <c r="D4" s="3">
        <f>SUM('Nhập xuất tồn'!D4)</f>
        <v>0</v>
      </c>
      <c r="E4" s="3">
        <f>SUM('Nhập xuất tồn'!E4)</f>
        <v>0</v>
      </c>
      <c r="F4" s="3">
        <f>SUM(C4+D4-E4)</f>
        <v>94</v>
      </c>
      <c r="G4" s="4">
        <v>14</v>
      </c>
      <c r="H4" s="3">
        <f>SUM(F4-G4)</f>
        <v>80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74</v>
      </c>
      <c r="C18" s="3">
        <f>'Nhập xuất tồn'!C23</f>
        <v>3</v>
      </c>
      <c r="D18" s="3">
        <f>'Nhập xuất tồn'!D23</f>
        <v>0</v>
      </c>
      <c r="E18" s="3">
        <f>'Nhập xuất tồn'!E23</f>
        <v>0</v>
      </c>
      <c r="F18" s="3">
        <f>'Nhập xuất tồn'!F23</f>
        <v>3</v>
      </c>
      <c r="G18" s="4">
        <f>'Nhập xuất tồn'!G23</f>
        <v>0</v>
      </c>
      <c r="H18" s="3">
        <f>'Nhập xuất tồn'!H23</f>
        <v>3</v>
      </c>
    </row>
    <row r="19" spans="1:8" x14ac:dyDescent="0.25">
      <c r="A19" s="36" t="s">
        <v>5</v>
      </c>
      <c r="B19" s="36"/>
      <c r="C19" s="10">
        <f>SUM(C3:C17)</f>
        <v>127</v>
      </c>
      <c r="D19" s="10">
        <f>SUM(D3:D17)</f>
        <v>0</v>
      </c>
      <c r="E19" s="10">
        <f>SUM(E3:E17)</f>
        <v>0</v>
      </c>
      <c r="F19" s="10">
        <f>SUM(F3:F18)</f>
        <v>130</v>
      </c>
      <c r="G19" s="11">
        <f>SUM(G3:G17)</f>
        <v>15</v>
      </c>
      <c r="H19" s="10">
        <f>SUM(H3:H18)</f>
        <v>115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2026-02-27T10:02:37Z</dcterms:modified>
</cp:coreProperties>
</file>