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21969420-82A6-4961-B6E7-5DF0DC9E9863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J37" i="5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<sst xmlns="http://schemas.openxmlformats.org/spreadsheetml/2006/main" count="245" uniqueCount="94">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</sst>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M9" sqref="M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65</v>
      </c>
      <c r="E3" s="3">
        <f>Xuất!AH4+Huỷ!AH3</f>
        <v>53</v>
      </c>
      <c r="F3" s="3">
        <f>C3+D3-E3</f>
        <v>14</v>
      </c>
      <c r="G3" s="4">
        <v>2</v>
      </c>
      <c r="H3" s="3">
        <f>F3-G3</f>
        <v>12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306</v>
      </c>
      <c r="F4" s="3">
        <f>C4+D4-E4</f>
        <v>26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276</v>
      </c>
      <c r="E24" s="3">
        <f t="shared" si="2"/>
        <v>359</v>
      </c>
      <c r="F24" s="3">
        <f>SUM(F3:F23)</f>
        <v>51</v>
      </c>
      <c r="G24" s="3">
        <f t="shared" si="2"/>
        <v>3</v>
      </c>
      <c r="H24" s="3">
        <f>SUM(H3:H23)</f>
        <v>22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O4" sqref="O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/>
      <c r="W4" s="5">
        <v>9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53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5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tabSelected="1" zoomScale="130" zoomScaleNormal="130" workbookViewId="0">
      <selection activeCell="T3" sqref="T3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65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sheetPr filterMode="1"/>
  <dimension ref="A1:J70"/>
  <sheetViews>
    <sheetView workbookViewId="0">
      <selection activeCell="D48" sqref="D48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hidden="1" x14ac:dyDescent="0.25">
      <c r="A2" s="31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hidden="1" x14ac:dyDescent="0.25">
      <c r="A3" s="31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hidden="1" x14ac:dyDescent="0.25">
      <c r="A4" s="31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hidden="1" x14ac:dyDescent="0.25">
      <c r="A5" s="31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hidden="1" x14ac:dyDescent="0.25">
      <c r="A6" s="31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hidden="1" x14ac:dyDescent="0.25">
      <c r="A7" s="31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hidden="1" x14ac:dyDescent="0.25">
      <c r="A8" s="31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hidden="1" x14ac:dyDescent="0.25">
      <c r="A9" s="31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hidden="1" x14ac:dyDescent="0.25">
      <c r="A10" s="31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hidden="1" x14ac:dyDescent="0.25">
      <c r="A11" s="31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hidden="1" x14ac:dyDescent="0.25">
      <c r="A12" s="31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hidden="1" x14ac:dyDescent="0.25">
      <c r="A13" s="31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hidden="1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hidden="1" x14ac:dyDescent="0.25">
      <c r="A15" s="31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hidden="1" x14ac:dyDescent="0.25">
      <c r="A16" s="31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hidden="1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hidden="1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hidden="1" x14ac:dyDescent="0.25">
      <c r="A19" s="31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hidden="1" x14ac:dyDescent="0.25">
      <c r="A20" s="31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hidden="1" x14ac:dyDescent="0.25">
      <c r="A21" s="32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hidden="1" x14ac:dyDescent="0.25">
      <c r="A22" s="34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hidden="1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hidden="1" x14ac:dyDescent="0.25">
      <c r="A24" s="32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hidden="1" x14ac:dyDescent="0.25">
      <c r="A25" s="34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hidden="1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2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hidden="1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hidden="1" x14ac:dyDescent="0.25">
      <c r="A29" s="32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hidden="1" x14ac:dyDescent="0.25">
      <c r="A30" s="34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10" x14ac:dyDescent="0.25">
      <c r="A33" s="32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10" x14ac:dyDescent="0.25">
      <c r="A34" s="34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10" x14ac:dyDescent="0.25">
      <c r="A35" s="34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10" x14ac:dyDescent="0.25">
      <c r="A36" s="34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10" x14ac:dyDescent="0.25">
      <c r="A37" s="34"/>
      <c r="B37" s="15" t="s">
        <v>75</v>
      </c>
      <c r="C37" s="15"/>
      <c r="D37" s="15"/>
      <c r="E37" s="15">
        <v>1</v>
      </c>
      <c r="F37" s="15" t="s">
        <v>76</v>
      </c>
      <c r="G37" s="15"/>
      <c r="J37" s="13">
        <f>SUM(E27:E51)</f>
        <v>372</v>
      </c>
    </row>
    <row r="38" spans="1:10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10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10" x14ac:dyDescent="0.25">
      <c r="A40" s="32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10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10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10" x14ac:dyDescent="0.25">
      <c r="A43" s="32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10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10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10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10" x14ac:dyDescent="0.25">
      <c r="A47" s="31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10" x14ac:dyDescent="0.25">
      <c r="A48" s="31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hidden="1" x14ac:dyDescent="0.25">
      <c r="A50" s="32">
        <v>46101</v>
      </c>
      <c r="B50" s="15" t="s">
        <v>47</v>
      </c>
      <c r="C50" s="15"/>
      <c r="D50" s="15"/>
      <c r="E50" s="15">
        <v>20</v>
      </c>
      <c r="F50" s="15" t="s">
        <v>91</v>
      </c>
      <c r="G50" s="21"/>
    </row>
    <row r="51" spans="1:7" x14ac:dyDescent="0.25">
      <c r="A51" s="34"/>
      <c r="B51" s="15" t="s">
        <v>74</v>
      </c>
      <c r="C51" s="15"/>
      <c r="D51" s="15">
        <v>9</v>
      </c>
      <c r="E51" s="15"/>
      <c r="F51" s="15" t="s">
        <v>92</v>
      </c>
      <c r="G51" s="21"/>
    </row>
    <row r="52" spans="1:7" hidden="1" x14ac:dyDescent="0.25">
      <c r="A52" s="33"/>
      <c r="B52" s="15" t="s">
        <v>49</v>
      </c>
      <c r="C52" s="15"/>
      <c r="D52" s="15">
        <v>25</v>
      </c>
      <c r="E52" s="15"/>
      <c r="F52" s="15" t="s">
        <v>91</v>
      </c>
      <c r="G52" s="21"/>
    </row>
    <row r="53" spans="1:7" hidden="1" x14ac:dyDescent="0.25">
      <c r="A53" s="15">
        <v>21</v>
      </c>
      <c r="B53" s="15" t="s">
        <v>93</v>
      </c>
      <c r="C53" s="15"/>
      <c r="D53" s="15">
        <v>58</v>
      </c>
      <c r="E53" s="15"/>
      <c r="F53" s="15" t="s">
        <v>91</v>
      </c>
      <c r="G53" s="21"/>
    </row>
    <row r="54" spans="1:7" x14ac:dyDescent="0.25">
      <c r="A54" s="15"/>
      <c r="B54" s="15"/>
      <c r="C54" s="15"/>
      <c r="D54" s="15"/>
      <c r="E54" s="15"/>
      <c r="F54" s="15"/>
      <c r="G54" s="21"/>
    </row>
    <row r="55" spans="1:7" x14ac:dyDescent="0.25">
      <c r="A55" s="15"/>
      <c r="B55" s="15"/>
      <c r="C55" s="15"/>
      <c r="D55" s="15"/>
      <c r="E55" s="15"/>
      <c r="F55" s="15"/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</sheetData>
  <autoFilter ref="A1:F53" xr:uid="{171653DB-B967-4059-9CE3-FD13B7B63DBC}">
    <filterColumn colId="5">
      <filters>
        <filter val="Đã trả (02/03/26)"/>
        <filter val="Đã trả (03/03/26)"/>
        <filter val="Đã trả (04/03/26)"/>
        <filter val="Đã trả (05/03/26)"/>
        <filter val="Đã trả (07/03/26)"/>
        <filter val="Đã trả (09/03/26)"/>
        <filter val="Đã trả (11/03/26)"/>
        <filter val="Đã trả (13/03/26)"/>
        <filter val="Đã trả (19/03/26)"/>
        <filter val="Đã trả (21/03/26)"/>
      </filters>
    </filterColumn>
  </autoFilter>
  <mergeCells count="16">
    <mergeCell ref="A50:A52"/>
    <mergeCell ref="A47:A48"/>
    <mergeCell ref="A21:A23"/>
    <mergeCell ref="A19:A20"/>
    <mergeCell ref="A29:A31"/>
    <mergeCell ref="A15:A16"/>
    <mergeCell ref="A43:A44"/>
    <mergeCell ref="A40:A41"/>
    <mergeCell ref="A33:A38"/>
    <mergeCell ref="A27:A28"/>
    <mergeCell ref="A24:A2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I4" sqref="I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65</v>
      </c>
      <c r="E3" s="3">
        <f>SUM('Nhập xuất tồn'!E3)</f>
        <v>53</v>
      </c>
      <c r="F3" s="3">
        <f>SUM(C3+D3-E3)</f>
        <v>14</v>
      </c>
      <c r="G3" s="4">
        <f>'Nhập xuất tồn'!G3</f>
        <v>2</v>
      </c>
      <c r="H3" s="3">
        <f>SUM(F3-G3)</f>
        <v>12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306</v>
      </c>
      <c r="F4" s="3">
        <f>SUM(C4+D4-E4)</f>
        <v>26</v>
      </c>
      <c r="G4" s="4">
        <f>'Nhập xuất tồn'!G4</f>
        <v>0</v>
      </c>
      <c r="H4" s="3">
        <f>SUM(F4-G4)</f>
        <v>26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276</v>
      </c>
      <c r="E19" s="10">
        <f>SUM(E3:E17)</f>
        <v>359</v>
      </c>
      <c r="F19" s="10">
        <f>SUM(F3:F18)</f>
        <v>51</v>
      </c>
      <c r="G19" s="11">
        <f>SUM(G3:G17)</f>
        <v>2</v>
      </c>
      <c r="H19" s="10">
        <f>SUM(H3:H18)</f>
        <v>49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2026-03-21T10:00:27Z</dcterms:modified>
</cp:coreProperties>
</file>