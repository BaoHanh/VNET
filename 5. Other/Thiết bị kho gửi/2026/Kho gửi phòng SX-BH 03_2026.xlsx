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FAA37613-04AE-4A51-90C0-13645666BA6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<sst xmlns="http://schemas.openxmlformats.org/spreadsheetml/2006/main" count="227" uniqueCount="87">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</sst>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L13" sqref="L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21</v>
      </c>
      <c r="F3" s="3">
        <f>C3+D3-E3</f>
        <v>5</v>
      </c>
      <c r="G3" s="4">
        <v>2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290</v>
      </c>
      <c r="F4" s="3">
        <f>C4+D4-E4</f>
        <v>41</v>
      </c>
      <c r="G4" s="4">
        <v>32</v>
      </c>
      <c r="H4" s="3">
        <f t="shared" ref="H4:H22" si="0">F4-G4</f>
        <v>9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311</v>
      </c>
      <c r="F24" s="3">
        <f>SUM(F3:F23)</f>
        <v>57</v>
      </c>
      <c r="G24" s="3">
        <f t="shared" si="2"/>
        <v>35</v>
      </c>
      <c r="H24" s="3">
        <f>SUM(H3:H23)</f>
        <v>22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N11" sqref="N11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21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290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8" workbookViewId="0">
      <selection activeCell="F45" sqref="F4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5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5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5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5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3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5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3">
        <v>46085</v>
      </c>
      <c r="B40" s="15" t="s">
        <v>64</v>
      </c>
      <c r="C40" s="15"/>
      <c r="D40" s="15"/>
      <c r="E40" s="15">
        <v>30</v>
      </c>
      <c r="F40" s="15" t="s">
        <v>82</v>
      </c>
      <c r="G40" s="16"/>
    </row>
    <row r="41" spans="1:7" x14ac:dyDescent="0.25">
      <c r="A41" s="35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>
        <v>46086</v>
      </c>
      <c r="B42" s="15" t="s">
        <v>62</v>
      </c>
      <c r="C42" s="15"/>
      <c r="D42" s="15">
        <v>20</v>
      </c>
      <c r="E42" s="15"/>
      <c r="F42" s="15" t="s">
        <v>83</v>
      </c>
      <c r="G42" s="16"/>
    </row>
    <row r="43" spans="1:7" x14ac:dyDescent="0.25">
      <c r="A43" s="33">
        <v>46090</v>
      </c>
      <c r="B43" s="15" t="s">
        <v>84</v>
      </c>
      <c r="C43" s="15"/>
      <c r="D43" s="15"/>
      <c r="E43" s="15">
        <v>1</v>
      </c>
      <c r="F43" s="15" t="s">
        <v>86</v>
      </c>
      <c r="G43" s="16"/>
    </row>
    <row r="44" spans="1:7" x14ac:dyDescent="0.25">
      <c r="A44" s="35"/>
      <c r="B44" s="15" t="s">
        <v>85</v>
      </c>
      <c r="C44" s="15"/>
      <c r="D44" s="15"/>
      <c r="E44" s="15">
        <v>1</v>
      </c>
      <c r="F44" s="15" t="s">
        <v>86</v>
      </c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4">
    <mergeCell ref="A43:A44"/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H4" sqref="H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21</v>
      </c>
      <c r="F3" s="3">
        <f>SUM(C3+D3-E3)</f>
        <v>5</v>
      </c>
      <c r="G3" s="4">
        <f>'Nhập xuất tồn'!G3</f>
        <v>2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290</v>
      </c>
      <c r="F4" s="3">
        <f>SUM(C4+D4-E4)</f>
        <v>41</v>
      </c>
      <c r="G4" s="4">
        <f>'Nhập xuất tồn'!G4</f>
        <v>32</v>
      </c>
      <c r="H4" s="3">
        <f>SUM(F4-G4)</f>
        <v>9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311</v>
      </c>
      <c r="F19" s="10">
        <f>SUM(F3:F18)</f>
        <v>57</v>
      </c>
      <c r="G19" s="11">
        <f>SUM(G3:G17)</f>
        <v>34</v>
      </c>
      <c r="H19" s="10">
        <f>SUM(H3:H18)</f>
        <v>23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2026-03-09T09:35:20Z</dcterms:modified>
</cp:coreProperties>
</file>