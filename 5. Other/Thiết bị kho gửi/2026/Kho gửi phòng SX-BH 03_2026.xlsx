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9C5F5EB6-8D1E-4E6F-8DE2-2D71E33DB29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6" l="1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<sst xmlns="http://schemas.openxmlformats.org/spreadsheetml/2006/main" count="233" uniqueCount="90">
  <si>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</si>
  <si>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</si>
  <si>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</si>
  <si>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</si>
  <si>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</si>
  <si>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</si>
  <si>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</si>
  <si>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</si>
  <si>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</si>
  <si>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</si>
  <si>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</si>
  <si>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</si>
  <si>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</si>
  <si>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</si>
  <si>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</si>
  <si>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</si>
  <si>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</si>
  <si>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</si>
  <si>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</si>
  <si>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</si>
  <si>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</si>
  <si>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</si>
  <si>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</si>
  <si>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</si>
  <si>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</si>
  <si>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</si>
  <si>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</si>
  <si>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</si>
  <si>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</si>
  <si>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</si>
  <si>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</si>
  <si>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</si>
  <si>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</si>
  <si>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</si>
  <si>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</si>
  <si>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</si>
  <si>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</si>
  <si>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</si>
  <si>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</si>
  <si>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</si>
  <si>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</si>
  <si>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</si>
  <si>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</si>
  <si>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</si>
  <si>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</si>
  <si>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</si>
  <si>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</si>
  <si>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</si>
  <si>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</si>
  <si>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</si>
  <si>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</si>
  <si>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</si>
  <si>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</si>
  <si>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</si>
  <si>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</si>
  <si>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</si>
  <si>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</si>
  <si>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</si>
  <si>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</si>
  <si>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</si>
  <si>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</si>
  <si>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</si>
  <si>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</si>
  <si>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</si>
  <si>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</si>
  <si>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</si>
  <si>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</si>
  <si>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</si>
  <si>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</si>
  <si>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</si>
  <si>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</si>
  <si>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</si>
  <si>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</si>
  <si>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</si>
  <si>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</si>
  <si>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</si>
  <si>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</si>
  <si>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</si>
  <si>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</si>
  <si>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</si>
  <si>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</si>
  <si>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</si>
  <si>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</si>
  <si>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</si>
  <si>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</si>
  <si>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</si>
  <si>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</si>
  <si>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</si>
  <si>
    <t>Danh Sách Thiết Bị Gửi Trên Bảo Hành - Sản Xuất Tháng 03</t>
  </si>
  <si>
    <t>Chưa trả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</si>
</sst>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tabSelected="1" zoomScale="115" zoomScaleNormal="115" workbookViewId="0">
      <selection activeCell="F6" sqref="F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1" t="s">
        <v>88</v>
      </c>
      <c r="B1" s="22"/>
      <c r="C1" s="22"/>
      <c r="D1" s="22"/>
      <c r="E1" s="22"/>
      <c r="F1" s="22"/>
      <c r="G1" s="22"/>
      <c r="H1" s="23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44</v>
      </c>
      <c r="E3" s="3">
        <f>Xuất!AH4+Huỷ!AH3</f>
        <v>31</v>
      </c>
      <c r="F3" s="3">
        <f>C3+D3-E3</f>
        <v>15</v>
      </c>
      <c r="G3" s="4">
        <v>2</v>
      </c>
      <c r="H3" s="3">
        <f>F3-G3</f>
        <v>13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210</v>
      </c>
      <c r="E4" s="3">
        <f>Xuất!AH5+Huỷ!AH4</f>
        <v>306</v>
      </c>
      <c r="F4" s="3">
        <f>C4+D4-E4</f>
        <v>25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70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4" t="s">
        <v>5</v>
      </c>
      <c r="B24" s="24"/>
      <c r="C24" s="3">
        <f>SUM(C3:C22)</f>
        <v>134</v>
      </c>
      <c r="D24" s="3">
        <f t="shared" ref="D24:G24" si="2">SUM(D3:D22)</f>
        <v>254</v>
      </c>
      <c r="E24" s="3">
        <f t="shared" si="2"/>
        <v>337</v>
      </c>
      <c r="F24" s="3">
        <f>SUM(F3:F23)</f>
        <v>51</v>
      </c>
      <c r="G24" s="3">
        <f t="shared" si="2"/>
        <v>3</v>
      </c>
      <c r="H24" s="3">
        <f>SUM(H3:H23)</f>
        <v>23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O16" sqref="O16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 spans="1:34" x14ac:dyDescent="0.25">
      <c r="A2" s="26" t="s">
        <v>8</v>
      </c>
      <c r="B2" s="26" t="s">
        <v>9</v>
      </c>
      <c r="C2" s="26" t="s">
        <v>13</v>
      </c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 t="s">
        <v>5</v>
      </c>
    </row>
    <row r="3" spans="1:34" x14ac:dyDescent="0.25">
      <c r="A3" s="26"/>
      <c r="B3" s="26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6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>
        <v>10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31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306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70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V27" sqref="V27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26" t="s">
        <v>12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6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>
        <v>20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44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25" workbookViewId="0">
      <selection activeCell="N36" sqref="N36"/>
    </sheetView>
  </sheetViews>
  <sheetFormatPr defaultRowHeight="15" x14ac:dyDescent="0.25"/>
  <cols>
    <col min="1" max="1" width="15.7109375" style="16" customWidth="1"/>
    <col min="2" max="2" width="20.7109375" style="16" customWidth="1"/>
    <col min="3" max="3" width="16.5703125" style="16" customWidth="1"/>
    <col min="4" max="5" width="15.7109375" style="16" customWidth="1"/>
    <col min="6" max="6" width="21.5703125" style="16" customWidth="1"/>
    <col min="7" max="7" width="28" style="13" customWidth="1"/>
    <col min="8" max="16384" width="9.140625" style="13"/>
  </cols>
  <sheetData>
    <row r="1" spans="1:8" x14ac:dyDescent="0.25">
      <c r="A1" s="20" t="s">
        <v>17</v>
      </c>
      <c r="B1" s="20" t="s">
        <v>16</v>
      </c>
      <c r="C1" s="20" t="s">
        <v>35</v>
      </c>
      <c r="D1" s="20" t="s">
        <v>0</v>
      </c>
      <c r="E1" s="20" t="s">
        <v>1</v>
      </c>
      <c r="F1" s="20" t="s">
        <v>15</v>
      </c>
      <c r="G1" s="20" t="s">
        <v>37</v>
      </c>
      <c r="H1" s="12"/>
    </row>
    <row r="2" spans="1:8" x14ac:dyDescent="0.25">
      <c r="A2" s="33">
        <v>46055</v>
      </c>
      <c r="B2" s="15" t="s">
        <v>14</v>
      </c>
      <c r="C2" s="15"/>
      <c r="D2" s="15"/>
      <c r="E2" s="15">
        <v>2</v>
      </c>
      <c r="F2" s="15" t="s">
        <v>38</v>
      </c>
      <c r="G2" s="15"/>
    </row>
    <row r="3" spans="1:8" x14ac:dyDescent="0.25">
      <c r="A3" s="33"/>
      <c r="B3" s="15" t="s">
        <v>39</v>
      </c>
      <c r="C3" s="14"/>
      <c r="D3" s="15">
        <v>2</v>
      </c>
      <c r="E3" s="15"/>
      <c r="F3" s="15" t="s">
        <v>38</v>
      </c>
      <c r="G3" s="15"/>
    </row>
    <row r="4" spans="1:8" x14ac:dyDescent="0.25">
      <c r="A4" s="33"/>
      <c r="B4" s="15" t="s">
        <v>40</v>
      </c>
      <c r="C4" s="15"/>
      <c r="D4" s="15"/>
      <c r="E4" s="15">
        <v>1</v>
      </c>
      <c r="F4" s="15" t="s">
        <v>38</v>
      </c>
      <c r="G4" s="15"/>
    </row>
    <row r="5" spans="1:8" x14ac:dyDescent="0.25">
      <c r="A5" s="33"/>
      <c r="B5" s="15" t="s">
        <v>41</v>
      </c>
      <c r="C5" s="15"/>
      <c r="D5" s="15"/>
      <c r="E5" s="15">
        <v>6</v>
      </c>
      <c r="F5" s="15" t="s">
        <v>44</v>
      </c>
      <c r="G5" s="15"/>
    </row>
    <row r="6" spans="1:8" x14ac:dyDescent="0.25">
      <c r="A6" s="33">
        <v>46056</v>
      </c>
      <c r="B6" s="15" t="s">
        <v>42</v>
      </c>
      <c r="C6" s="15"/>
      <c r="D6" s="15"/>
      <c r="E6" s="15">
        <v>10</v>
      </c>
      <c r="F6" s="15" t="s">
        <v>45</v>
      </c>
      <c r="G6" s="15"/>
    </row>
    <row r="7" spans="1:8" x14ac:dyDescent="0.25">
      <c r="A7" s="33"/>
      <c r="B7" s="15" t="s">
        <v>43</v>
      </c>
      <c r="C7" s="15"/>
      <c r="D7" s="15"/>
      <c r="E7" s="15">
        <v>10</v>
      </c>
      <c r="F7" s="15" t="s">
        <v>44</v>
      </c>
      <c r="G7" s="15"/>
    </row>
    <row r="8" spans="1:8" x14ac:dyDescent="0.25">
      <c r="A8" s="33">
        <v>46057</v>
      </c>
      <c r="B8" s="14" t="s">
        <v>46</v>
      </c>
      <c r="C8" s="14"/>
      <c r="D8" s="15"/>
      <c r="E8" s="15">
        <v>1</v>
      </c>
      <c r="F8" s="15" t="s">
        <v>45</v>
      </c>
      <c r="G8" s="15"/>
    </row>
    <row r="9" spans="1:8" x14ac:dyDescent="0.25">
      <c r="A9" s="33"/>
      <c r="B9" s="15" t="s">
        <v>39</v>
      </c>
      <c r="C9" s="15"/>
      <c r="D9" s="15">
        <v>1</v>
      </c>
      <c r="E9" s="15"/>
      <c r="F9" s="15" t="s">
        <v>45</v>
      </c>
      <c r="G9" s="15"/>
    </row>
    <row r="10" spans="1:8" x14ac:dyDescent="0.25">
      <c r="A10" s="33">
        <v>46058</v>
      </c>
      <c r="B10" s="15" t="s">
        <v>47</v>
      </c>
      <c r="C10" s="15"/>
      <c r="D10" s="15"/>
      <c r="E10" s="15">
        <v>10</v>
      </c>
      <c r="F10" s="15" t="s">
        <v>48</v>
      </c>
      <c r="G10" s="15"/>
    </row>
    <row r="11" spans="1:8" x14ac:dyDescent="0.25">
      <c r="A11" s="33"/>
      <c r="B11" s="15" t="s">
        <v>49</v>
      </c>
      <c r="C11" s="15"/>
      <c r="D11" s="17"/>
      <c r="E11" s="17">
        <v>20</v>
      </c>
      <c r="F11" s="17" t="s">
        <v>51</v>
      </c>
      <c r="G11" s="15"/>
    </row>
    <row r="12" spans="1:8" x14ac:dyDescent="0.25">
      <c r="A12" s="33">
        <v>46059</v>
      </c>
      <c r="B12" s="15" t="s">
        <v>52</v>
      </c>
      <c r="C12" s="15"/>
      <c r="D12" s="15"/>
      <c r="E12" s="15">
        <v>1</v>
      </c>
      <c r="F12" s="17" t="s">
        <v>51</v>
      </c>
      <c r="G12" s="15"/>
    </row>
    <row r="13" spans="1:8" x14ac:dyDescent="0.25">
      <c r="A13" s="33"/>
      <c r="B13" s="15" t="s">
        <v>50</v>
      </c>
      <c r="C13" s="15"/>
      <c r="D13" s="15"/>
      <c r="E13" s="15">
        <v>10</v>
      </c>
      <c r="F13" s="17" t="s">
        <v>51</v>
      </c>
      <c r="G13" s="15"/>
    </row>
    <row r="14" spans="1:8" x14ac:dyDescent="0.25">
      <c r="A14" s="14">
        <v>46060</v>
      </c>
      <c r="B14" s="15" t="s">
        <v>53</v>
      </c>
      <c r="C14" s="15"/>
      <c r="D14" s="15"/>
      <c r="E14" s="15">
        <v>6</v>
      </c>
      <c r="F14" s="17" t="s">
        <v>54</v>
      </c>
      <c r="G14" s="15"/>
    </row>
    <row r="15" spans="1:8" x14ac:dyDescent="0.25">
      <c r="A15" s="33">
        <v>46062</v>
      </c>
      <c r="B15" s="15" t="s">
        <v>49</v>
      </c>
      <c r="C15" s="15"/>
      <c r="D15" s="15"/>
      <c r="E15" s="15">
        <v>20</v>
      </c>
      <c r="F15" s="17" t="s">
        <v>55</v>
      </c>
      <c r="G15" s="15"/>
    </row>
    <row r="16" spans="1:8" ht="30" x14ac:dyDescent="0.25">
      <c r="A16" s="33"/>
      <c r="B16" s="15" t="s">
        <v>41</v>
      </c>
      <c r="C16" s="15"/>
      <c r="D16" s="15"/>
      <c r="E16" s="15">
        <v>12</v>
      </c>
      <c r="F16" s="15" t="s">
        <v>57</v>
      </c>
      <c r="G16" s="15"/>
    </row>
    <row r="17" spans="1:7" x14ac:dyDescent="0.25">
      <c r="A17" s="14">
        <v>46063</v>
      </c>
      <c r="B17" s="15" t="s">
        <v>56</v>
      </c>
      <c r="C17" s="15"/>
      <c r="D17" s="15"/>
      <c r="E17" s="15">
        <v>10</v>
      </c>
      <c r="F17" s="17" t="s">
        <v>58</v>
      </c>
      <c r="G17" s="15"/>
    </row>
    <row r="18" spans="1:7" x14ac:dyDescent="0.25">
      <c r="A18" s="14">
        <v>46064</v>
      </c>
      <c r="B18" s="15" t="s">
        <v>59</v>
      </c>
      <c r="C18" s="15"/>
      <c r="D18" s="15"/>
      <c r="E18" s="15">
        <v>6</v>
      </c>
      <c r="F18" s="17" t="s">
        <v>60</v>
      </c>
      <c r="G18" s="15"/>
    </row>
    <row r="19" spans="1:7" x14ac:dyDescent="0.25">
      <c r="A19" s="33">
        <v>46065</v>
      </c>
      <c r="B19" s="15" t="s">
        <v>61</v>
      </c>
      <c r="C19" s="15"/>
      <c r="D19" s="15">
        <v>12</v>
      </c>
      <c r="E19" s="15"/>
      <c r="F19" s="17" t="s">
        <v>62</v>
      </c>
      <c r="G19" s="15"/>
    </row>
    <row r="20" spans="1:7" x14ac:dyDescent="0.25">
      <c r="A20" s="33"/>
      <c r="B20" s="15" t="s">
        <v>49</v>
      </c>
      <c r="C20" s="15"/>
      <c r="D20" s="15"/>
      <c r="E20" s="15">
        <v>10</v>
      </c>
      <c r="F20" s="17" t="s">
        <v>62</v>
      </c>
      <c r="G20" s="15"/>
    </row>
    <row r="21" spans="1:7" x14ac:dyDescent="0.25">
      <c r="A21" s="30">
        <v>46076</v>
      </c>
      <c r="B21" s="15" t="s">
        <v>63</v>
      </c>
      <c r="C21" s="15"/>
      <c r="D21" s="15"/>
      <c r="E21" s="15">
        <v>1</v>
      </c>
      <c r="F21" s="17" t="s">
        <v>65</v>
      </c>
      <c r="G21" s="15"/>
    </row>
    <row r="22" spans="1:7" x14ac:dyDescent="0.25">
      <c r="A22" s="31"/>
      <c r="B22" s="15" t="s">
        <v>64</v>
      </c>
      <c r="C22" s="15"/>
      <c r="D22" s="15"/>
      <c r="E22" s="15">
        <v>1</v>
      </c>
      <c r="F22" s="17" t="s">
        <v>65</v>
      </c>
      <c r="G22" s="15"/>
    </row>
    <row r="23" spans="1:7" x14ac:dyDescent="0.25">
      <c r="A23" s="32"/>
      <c r="B23" s="15" t="s">
        <v>66</v>
      </c>
      <c r="C23" s="15"/>
      <c r="D23" s="15"/>
      <c r="E23" s="15">
        <v>3</v>
      </c>
      <c r="F23" s="17" t="s">
        <v>65</v>
      </c>
      <c r="G23" s="15"/>
    </row>
    <row r="24" spans="1:7" x14ac:dyDescent="0.25">
      <c r="A24" s="30">
        <v>46077</v>
      </c>
      <c r="B24" s="15" t="s">
        <v>49</v>
      </c>
      <c r="C24" s="15"/>
      <c r="D24" s="15"/>
      <c r="E24" s="15">
        <v>10</v>
      </c>
      <c r="F24" s="17" t="s">
        <v>67</v>
      </c>
      <c r="G24" s="15"/>
    </row>
    <row r="25" spans="1:7" x14ac:dyDescent="0.25">
      <c r="A25" s="31"/>
      <c r="B25" s="15" t="s">
        <v>63</v>
      </c>
      <c r="C25" s="15"/>
      <c r="D25" s="15"/>
      <c r="E25" s="15">
        <v>1</v>
      </c>
      <c r="F25" s="17" t="s">
        <v>67</v>
      </c>
      <c r="G25" s="15"/>
    </row>
    <row r="26" spans="1:7" x14ac:dyDescent="0.25">
      <c r="A26" s="32"/>
      <c r="B26" s="15" t="s">
        <v>14</v>
      </c>
      <c r="C26" s="15"/>
      <c r="D26" s="15"/>
      <c r="E26" s="15">
        <v>2</v>
      </c>
      <c r="F26" s="17" t="s">
        <v>67</v>
      </c>
      <c r="G26" s="15"/>
    </row>
    <row r="27" spans="1:7" ht="30" x14ac:dyDescent="0.25">
      <c r="A27" s="30">
        <v>46078</v>
      </c>
      <c r="B27" s="15" t="s">
        <v>61</v>
      </c>
      <c r="C27" s="15"/>
      <c r="D27" s="15">
        <v>20</v>
      </c>
      <c r="E27" s="15">
        <v>100</v>
      </c>
      <c r="F27" s="15" t="s">
        <v>79</v>
      </c>
      <c r="G27" s="15" t="s">
        <v>73</v>
      </c>
    </row>
    <row r="28" spans="1:7" x14ac:dyDescent="0.25">
      <c r="A28" s="32"/>
      <c r="B28" s="15" t="s">
        <v>49</v>
      </c>
      <c r="C28" s="15"/>
      <c r="D28" s="15"/>
      <c r="E28" s="15">
        <v>30</v>
      </c>
      <c r="F28" s="17" t="s">
        <v>68</v>
      </c>
      <c r="G28" s="15"/>
    </row>
    <row r="29" spans="1:7" x14ac:dyDescent="0.25">
      <c r="A29" s="30">
        <v>46079</v>
      </c>
      <c r="B29" s="15" t="s">
        <v>63</v>
      </c>
      <c r="C29" s="15"/>
      <c r="D29" s="15">
        <v>3</v>
      </c>
      <c r="E29" s="15">
        <v>5</v>
      </c>
      <c r="F29" s="17" t="s">
        <v>68</v>
      </c>
      <c r="G29" s="15"/>
    </row>
    <row r="30" spans="1:7" x14ac:dyDescent="0.25">
      <c r="A30" s="31"/>
      <c r="B30" s="15" t="s">
        <v>69</v>
      </c>
      <c r="C30" s="15"/>
      <c r="D30" s="15"/>
      <c r="E30" s="15">
        <v>1</v>
      </c>
      <c r="F30" s="17" t="s">
        <v>68</v>
      </c>
      <c r="G30" s="15"/>
    </row>
    <row r="31" spans="1:7" x14ac:dyDescent="0.25">
      <c r="A31" s="32"/>
      <c r="B31" s="15" t="s">
        <v>49</v>
      </c>
      <c r="C31" s="15"/>
      <c r="D31" s="15"/>
      <c r="E31" s="15">
        <v>20</v>
      </c>
      <c r="F31" s="15" t="s">
        <v>79</v>
      </c>
      <c r="G31" s="15"/>
    </row>
    <row r="32" spans="1:7" x14ac:dyDescent="0.25">
      <c r="A32" s="14">
        <v>46080</v>
      </c>
      <c r="B32" s="15" t="s">
        <v>47</v>
      </c>
      <c r="C32" s="15"/>
      <c r="D32" s="15"/>
      <c r="E32" s="15">
        <v>30</v>
      </c>
      <c r="F32" s="15" t="s">
        <v>78</v>
      </c>
      <c r="G32" s="15" t="s">
        <v>72</v>
      </c>
    </row>
    <row r="33" spans="1:7" x14ac:dyDescent="0.25">
      <c r="A33" s="30">
        <v>46083</v>
      </c>
      <c r="B33" s="15" t="s">
        <v>47</v>
      </c>
      <c r="C33" s="15"/>
      <c r="D33" s="15"/>
      <c r="E33" s="15">
        <v>10</v>
      </c>
      <c r="F33" s="15" t="s">
        <v>78</v>
      </c>
      <c r="G33" s="15"/>
    </row>
    <row r="34" spans="1:7" x14ac:dyDescent="0.25">
      <c r="A34" s="31"/>
      <c r="B34" s="15" t="s">
        <v>49</v>
      </c>
      <c r="C34" s="15"/>
      <c r="D34" s="15"/>
      <c r="E34" s="15">
        <v>10</v>
      </c>
      <c r="F34" s="15" t="s">
        <v>79</v>
      </c>
      <c r="G34" s="15"/>
    </row>
    <row r="35" spans="1:7" x14ac:dyDescent="0.25">
      <c r="A35" s="31"/>
      <c r="B35" s="15" t="s">
        <v>14</v>
      </c>
      <c r="C35" s="15"/>
      <c r="D35" s="15"/>
      <c r="E35" s="15">
        <v>2</v>
      </c>
      <c r="F35" s="15" t="s">
        <v>76</v>
      </c>
      <c r="G35" s="15"/>
    </row>
    <row r="36" spans="1:7" x14ac:dyDescent="0.25">
      <c r="A36" s="31"/>
      <c r="B36" s="15" t="s">
        <v>74</v>
      </c>
      <c r="C36" s="15"/>
      <c r="D36" s="15"/>
      <c r="E36" s="15">
        <v>30</v>
      </c>
      <c r="F36" s="15" t="s">
        <v>78</v>
      </c>
      <c r="G36" s="15" t="s">
        <v>77</v>
      </c>
    </row>
    <row r="37" spans="1:7" x14ac:dyDescent="0.25">
      <c r="A37" s="31"/>
      <c r="B37" s="15" t="s">
        <v>75</v>
      </c>
      <c r="C37" s="15"/>
      <c r="D37" s="15"/>
      <c r="E37" s="15">
        <v>1</v>
      </c>
      <c r="F37" s="15" t="s">
        <v>76</v>
      </c>
      <c r="G37" s="15"/>
    </row>
    <row r="38" spans="1:7" x14ac:dyDescent="0.25">
      <c r="A38" s="32"/>
      <c r="B38" s="15" t="s">
        <v>61</v>
      </c>
      <c r="C38" s="15"/>
      <c r="D38" s="15"/>
      <c r="E38" s="15">
        <v>50</v>
      </c>
      <c r="F38" s="15" t="s">
        <v>79</v>
      </c>
      <c r="G38" s="15"/>
    </row>
    <row r="39" spans="1:7" x14ac:dyDescent="0.25">
      <c r="A39" s="14">
        <v>46084</v>
      </c>
      <c r="B39" s="15" t="s">
        <v>59</v>
      </c>
      <c r="C39" s="15"/>
      <c r="D39" s="15"/>
      <c r="E39" s="15">
        <v>5</v>
      </c>
      <c r="F39" s="15" t="s">
        <v>78</v>
      </c>
      <c r="G39" s="15"/>
    </row>
    <row r="40" spans="1:7" x14ac:dyDescent="0.25">
      <c r="A40" s="30">
        <v>46085</v>
      </c>
      <c r="B40" s="15" t="s">
        <v>63</v>
      </c>
      <c r="C40" s="15"/>
      <c r="D40" s="15"/>
      <c r="E40" s="15">
        <v>30</v>
      </c>
      <c r="F40" s="15" t="s">
        <v>81</v>
      </c>
      <c r="G40" s="15"/>
    </row>
    <row r="41" spans="1:7" x14ac:dyDescent="0.25">
      <c r="A41" s="32"/>
      <c r="B41" s="15" t="s">
        <v>80</v>
      </c>
      <c r="C41" s="15"/>
      <c r="D41" s="15">
        <v>1</v>
      </c>
      <c r="E41" s="15"/>
      <c r="F41" s="15" t="s">
        <v>79</v>
      </c>
      <c r="G41" s="15"/>
    </row>
    <row r="42" spans="1:7" x14ac:dyDescent="0.25">
      <c r="A42" s="14">
        <v>46086</v>
      </c>
      <c r="B42" s="15" t="s">
        <v>61</v>
      </c>
      <c r="C42" s="15"/>
      <c r="D42" s="15">
        <v>20</v>
      </c>
      <c r="E42" s="15"/>
      <c r="F42" s="15" t="s">
        <v>82</v>
      </c>
      <c r="G42" s="15"/>
    </row>
    <row r="43" spans="1:7" x14ac:dyDescent="0.25">
      <c r="A43" s="30">
        <v>46090</v>
      </c>
      <c r="B43" s="15" t="s">
        <v>83</v>
      </c>
      <c r="C43" s="15"/>
      <c r="D43" s="15"/>
      <c r="E43" s="15">
        <v>1</v>
      </c>
      <c r="F43" s="15" t="s">
        <v>85</v>
      </c>
      <c r="G43" s="15"/>
    </row>
    <row r="44" spans="1:7" x14ac:dyDescent="0.25">
      <c r="A44" s="32"/>
      <c r="B44" s="15" t="s">
        <v>84</v>
      </c>
      <c r="C44" s="15"/>
      <c r="D44" s="15"/>
      <c r="E44" s="15">
        <v>1</v>
      </c>
      <c r="F44" s="15" t="s">
        <v>85</v>
      </c>
      <c r="G44" s="15"/>
    </row>
    <row r="45" spans="1:7" x14ac:dyDescent="0.25">
      <c r="A45" s="14">
        <v>46091</v>
      </c>
      <c r="B45" s="15" t="s">
        <v>86</v>
      </c>
      <c r="C45" s="15"/>
      <c r="D45" s="15"/>
      <c r="E45" s="15">
        <v>10</v>
      </c>
      <c r="F45" s="15" t="s">
        <v>87</v>
      </c>
      <c r="G45" s="15"/>
    </row>
    <row r="46" spans="1:7" x14ac:dyDescent="0.25">
      <c r="A46" s="14">
        <v>46092</v>
      </c>
      <c r="B46" s="15" t="s">
        <v>49</v>
      </c>
      <c r="C46" s="15"/>
      <c r="D46" s="15"/>
      <c r="E46" s="15">
        <v>6</v>
      </c>
      <c r="F46" s="15" t="s">
        <v>87</v>
      </c>
      <c r="G46" s="15"/>
    </row>
    <row r="47" spans="1:7" x14ac:dyDescent="0.25">
      <c r="A47" s="14">
        <v>46094</v>
      </c>
      <c r="B47" s="15" t="s">
        <v>49</v>
      </c>
      <c r="C47" s="15"/>
      <c r="D47" s="15">
        <v>10</v>
      </c>
      <c r="E47" s="15"/>
      <c r="F47" s="15" t="s">
        <v>89</v>
      </c>
      <c r="G47" s="15"/>
    </row>
    <row r="48" spans="1:7" x14ac:dyDescent="0.25">
      <c r="A48" s="15"/>
      <c r="B48" s="15"/>
      <c r="C48" s="15"/>
      <c r="D48" s="15"/>
      <c r="E48" s="15"/>
      <c r="F48" s="15"/>
      <c r="G48" s="15"/>
    </row>
    <row r="49" spans="1:7" x14ac:dyDescent="0.25">
      <c r="A49" s="15"/>
      <c r="B49" s="15"/>
      <c r="C49" s="15"/>
      <c r="D49" s="15"/>
      <c r="E49" s="15"/>
      <c r="F49" s="15"/>
      <c r="G49" s="15"/>
    </row>
    <row r="50" spans="1:7" x14ac:dyDescent="0.25">
      <c r="D50" s="16">
        <f>SUM(D2:D32)</f>
        <v>38</v>
      </c>
      <c r="E50" s="16">
        <f>SUM(E2:E32)</f>
        <v>339</v>
      </c>
    </row>
  </sheetData>
  <autoFilter ref="A1:F38" xr:uid="{171653DB-B967-4059-9CE3-FD13B7B63DBC}"/>
  <mergeCells count="14">
    <mergeCell ref="A43:A44"/>
    <mergeCell ref="A40:A41"/>
    <mergeCell ref="A33:A38"/>
    <mergeCell ref="A27:A28"/>
    <mergeCell ref="A24:A26"/>
    <mergeCell ref="A21:A23"/>
    <mergeCell ref="A19:A20"/>
    <mergeCell ref="A29:A31"/>
    <mergeCell ref="A15:A16"/>
    <mergeCell ref="A2:A5"/>
    <mergeCell ref="A6:A7"/>
    <mergeCell ref="A8:A9"/>
    <mergeCell ref="A10:A11"/>
    <mergeCell ref="A12:A13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6" t="s">
        <v>8</v>
      </c>
      <c r="B1" s="26" t="s">
        <v>9</v>
      </c>
      <c r="C1" s="26" t="s">
        <v>12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 t="s">
        <v>5</v>
      </c>
    </row>
    <row r="2" spans="1:34" x14ac:dyDescent="0.25">
      <c r="A2" s="26"/>
      <c r="B2" s="26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6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C27" sqref="C27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1" t="s">
        <v>88</v>
      </c>
      <c r="B1" s="22"/>
      <c r="C1" s="22"/>
      <c r="D1" s="22"/>
      <c r="E1" s="22"/>
      <c r="F1" s="22"/>
      <c r="G1" s="22"/>
      <c r="H1" s="23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44</v>
      </c>
      <c r="E3" s="3">
        <f>SUM('Nhập xuất tồn'!E3)</f>
        <v>31</v>
      </c>
      <c r="F3" s="3">
        <f>SUM(C3+D3-E3)</f>
        <v>15</v>
      </c>
      <c r="G3" s="4">
        <f>'Nhập xuất tồn'!G3</f>
        <v>2</v>
      </c>
      <c r="H3" s="3">
        <f>SUM(F3-G3)</f>
        <v>13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210</v>
      </c>
      <c r="E4" s="3">
        <f>SUM('Nhập xuất tồn'!E4)</f>
        <v>306</v>
      </c>
      <c r="F4" s="3">
        <f>SUM(C4+D4-E4)</f>
        <v>25</v>
      </c>
      <c r="G4" s="4">
        <f>'Nhập xuất tồn'!G4</f>
        <v>0</v>
      </c>
      <c r="H4" s="3">
        <f>SUM(F4-G4)</f>
        <v>25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71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4" t="s">
        <v>5</v>
      </c>
      <c r="B19" s="34"/>
      <c r="C19" s="10">
        <f>SUM(C3:C17)</f>
        <v>134</v>
      </c>
      <c r="D19" s="10">
        <f>SUM(D3:D17)</f>
        <v>254</v>
      </c>
      <c r="E19" s="10">
        <f>SUM(E3:E17)</f>
        <v>337</v>
      </c>
      <c r="F19" s="10">
        <f>SUM(F3:F18)</f>
        <v>51</v>
      </c>
      <c r="G19" s="11">
        <f>SUM(G3:G17)</f>
        <v>2</v>
      </c>
      <c r="H19" s="10">
        <f>SUM(H3:H18)</f>
        <v>49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2026-03-13T09:08:39Z</dcterms:modified>
</cp:coreProperties>
</file>