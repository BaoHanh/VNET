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760CD15F-E414-4B45-99A5-AA1AD9AB9D0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<sst xmlns="http://schemas.openxmlformats.org/spreadsheetml/2006/main" count="217" uniqueCount="81">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</sst>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M9" sqref="M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8</v>
      </c>
      <c r="E3" s="3">
        <f>Xuất!AH4+Huỷ!AH3</f>
        <v>0</v>
      </c>
      <c r="F3" s="3">
        <f>C3+D3-E3</f>
        <v>10</v>
      </c>
      <c r="G3" s="4">
        <v>1</v>
      </c>
      <c r="H3" s="3">
        <f>F3-G3</f>
        <v>9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176</v>
      </c>
      <c r="E4" s="3">
        <f>Xuất!AH5+Huỷ!AH4</f>
        <v>78</v>
      </c>
      <c r="F4" s="3">
        <f>C4+D4-E4</f>
        <v>219</v>
      </c>
      <c r="G4" s="4">
        <v>16</v>
      </c>
      <c r="H4" s="3">
        <f t="shared" ref="H4:H22" si="0">F4-G4</f>
        <v>203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72</v>
      </c>
      <c r="C23" s="3">
        <f>'[1]Nhập xuất tồn'!F23</f>
        <v>3</v>
      </c>
      <c r="D23" s="3">
        <f>SUM(Nhập!AH23)</f>
        <v>0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184</v>
      </c>
      <c r="E24" s="3">
        <f t="shared" si="2"/>
        <v>78</v>
      </c>
      <c r="F24" s="3">
        <f>SUM(F3:F23)</f>
        <v>243</v>
      </c>
      <c r="G24" s="3">
        <f t="shared" si="2"/>
        <v>18</v>
      </c>
      <c r="H24" s="3">
        <f>SUM(H3:H23)</f>
        <v>225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D4" sqref="D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8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176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J10" sqref="AJ10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0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78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72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19" workbookViewId="0">
      <selection activeCell="G45" sqref="G45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5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5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 t="s">
        <v>75</v>
      </c>
    </row>
    <row r="28" spans="1:7" x14ac:dyDescent="0.25">
      <c r="A28" s="35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5</v>
      </c>
      <c r="F29" s="18" t="s">
        <v>70</v>
      </c>
      <c r="G29" s="16"/>
    </row>
    <row r="30" spans="1:7" x14ac:dyDescent="0.25">
      <c r="A30" s="34"/>
      <c r="B30" s="15" t="s">
        <v>71</v>
      </c>
      <c r="C30" s="15"/>
      <c r="D30" s="15"/>
      <c r="E30" s="15">
        <v>1</v>
      </c>
      <c r="F30" s="18" t="s">
        <v>70</v>
      </c>
      <c r="G30" s="16"/>
    </row>
    <row r="31" spans="1:7" x14ac:dyDescent="0.25">
      <c r="A31" s="35"/>
      <c r="B31" s="15" t="s">
        <v>50</v>
      </c>
      <c r="C31" s="15"/>
      <c r="D31" s="15"/>
      <c r="E31" s="15">
        <v>20</v>
      </c>
      <c r="F31" s="18" t="s">
        <v>69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80</v>
      </c>
      <c r="G32" s="16" t="s">
        <v>74</v>
      </c>
    </row>
    <row r="33" spans="1:7" x14ac:dyDescent="0.25">
      <c r="A33" s="33">
        <v>46083</v>
      </c>
      <c r="B33" s="15" t="s">
        <v>48</v>
      </c>
      <c r="C33" s="15"/>
      <c r="D33" s="15"/>
      <c r="E33" s="15">
        <v>10</v>
      </c>
      <c r="F33" s="15" t="s">
        <v>80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69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78</v>
      </c>
      <c r="G35" s="16"/>
    </row>
    <row r="36" spans="1:7" x14ac:dyDescent="0.25">
      <c r="A36" s="34"/>
      <c r="B36" s="15" t="s">
        <v>76</v>
      </c>
      <c r="C36" s="15"/>
      <c r="D36" s="15"/>
      <c r="E36" s="15">
        <v>30</v>
      </c>
      <c r="F36" s="15" t="s">
        <v>80</v>
      </c>
      <c r="G36" s="16" t="s">
        <v>79</v>
      </c>
    </row>
    <row r="37" spans="1:7" x14ac:dyDescent="0.25">
      <c r="A37" s="34"/>
      <c r="B37" s="15" t="s">
        <v>77</v>
      </c>
      <c r="C37" s="15"/>
      <c r="D37" s="15"/>
      <c r="E37" s="15">
        <v>1</v>
      </c>
      <c r="F37" s="15" t="s">
        <v>78</v>
      </c>
      <c r="G37" s="16"/>
    </row>
    <row r="38" spans="1:7" x14ac:dyDescent="0.25">
      <c r="A38" s="35"/>
      <c r="B38" s="15" t="s">
        <v>62</v>
      </c>
      <c r="C38" s="15"/>
      <c r="D38" s="15"/>
      <c r="E38" s="15">
        <v>50</v>
      </c>
      <c r="F38" s="15" t="s">
        <v>69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80</v>
      </c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2"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J13" sqref="J13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8</v>
      </c>
      <c r="E3" s="3">
        <f>SUM('Nhập xuất tồn'!E3)</f>
        <v>0</v>
      </c>
      <c r="F3" s="3">
        <f>SUM(C3+D3-E3)</f>
        <v>10</v>
      </c>
      <c r="G3" s="4">
        <v>1</v>
      </c>
      <c r="H3" s="3">
        <f>SUM(F3-G3)</f>
        <v>9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176</v>
      </c>
      <c r="E4" s="3">
        <f>SUM('Nhập xuất tồn'!E4)</f>
        <v>78</v>
      </c>
      <c r="F4" s="3">
        <f>SUM(C4+D4-E4)</f>
        <v>219</v>
      </c>
      <c r="G4" s="4">
        <v>14</v>
      </c>
      <c r="H4" s="3">
        <f>SUM(F4-G4)</f>
        <v>205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73</v>
      </c>
      <c r="C18" s="3">
        <f>'Nhập xuất tồn'!C23</f>
        <v>3</v>
      </c>
      <c r="D18" s="3">
        <f>'Nhập xuất tồn'!D23</f>
        <v>0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184</v>
      </c>
      <c r="E19" s="10">
        <f>SUM(E3:E17)</f>
        <v>78</v>
      </c>
      <c r="F19" s="10">
        <f>SUM(F3:F18)</f>
        <v>243</v>
      </c>
      <c r="G19" s="11">
        <f>SUM(G3:G17)</f>
        <v>15</v>
      </c>
      <c r="H19" s="10">
        <f>SUM(H3:H18)</f>
        <v>228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2026-03-03T09:54:09Z</dcterms:modified>
</cp:coreProperties>
</file>