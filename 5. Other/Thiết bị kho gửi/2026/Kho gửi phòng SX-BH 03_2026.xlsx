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047399A1-D306-446F-ACFC-482724E4EE55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3" l="1"/>
  <c r="G4" i="6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Y5" authorId="0" shapeId="0" xr:uid="{1E560BF5-5B73-4A43-81C3-C897C7151622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trả lại kho</t>
        </r>
      </text>
    </comment>
  </commentList>
</comments>
</file>

<file path=xl/sharedStrings.xml><?xml version="1.0" encoding="utf-8"?>
<sst xmlns="http://schemas.openxmlformats.org/spreadsheetml/2006/main" count="247" uniqueCount="95">
  <si>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</si>
  <si>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</si>
  <si>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</si>
  <si>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</si>
  <si>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</si>
  <si>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</si>
  <si>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</si>
  <si>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</si>
  <si>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</si>
  <si>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</si>
  <si>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</si>
  <si>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</si>
  <si>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</si>
  <si>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</si>
  <si>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</si>
  <si>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</si>
  <si>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</si>
  <si>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</si>
  <si>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</si>
  <si>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</si>
  <si>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</si>
  <si>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</si>
  <si>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</si>
  <si>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</si>
  <si>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</si>
  <si>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</si>
  <si>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</si>
  <si>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</si>
  <si>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</si>
  <si>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</si>
  <si>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</si>
  <si>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</si>
  <si>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</si>
  <si>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</si>
  <si>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</si>
  <si>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</si>
  <si>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</si>
  <si>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</si>
  <si>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</si>
  <si>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</si>
  <si>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</si>
  <si>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</si>
  <si>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</si>
  <si>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</si>
  <si>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</si>
  <si>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</si>
  <si>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</si>
  <si>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</si>
  <si>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</si>
  <si>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</si>
  <si>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</si>
  <si>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</si>
  <si>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</si>
  <si>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</si>
  <si>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</si>
  <si>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</si>
  <si>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</si>
  <si>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</si>
  <si>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</si>
  <si>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</si>
  <si>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</si>
  <si>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</si>
  <si>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</si>
  <si>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</si>
  <si>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</si>
  <si>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</si>
  <si>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</si>
  <si>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</si>
  <si>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</si>
  <si>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</si>
  <si>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</si>
  <si>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</si>
  <si>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</si>
  <si>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</si>
  <si>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</si>
  <si>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</si>
  <si>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</si>
  <si>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</si>
  <si>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</si>
  <si>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</si>
  <si>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</si>
  <si>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</si>
  <si>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</si>
  <si>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</si>
  <si>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</si>
  <si>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</si>
  <si>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</si>
  <si>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</si>
  <si>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</si>
  <si>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</si>
  <si>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</si>
  <si>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Chưa trả</t>
  </si>
  <si>
    <t>Đã trả (21/03/26)</t>
  </si>
  <si>
    <t>GSATCOM</t>
  </si>
  <si>
    <t>Đã trả (20/03/26)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</si>
</sst>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K5" sqref="K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142</v>
      </c>
      <c r="E3" s="3">
        <f>Xuất!AH4+Huỷ!AH3</f>
        <v>61</v>
      </c>
      <c r="F3" s="3">
        <f>C3+D3-E3</f>
        <v>83</v>
      </c>
      <c r="G3" s="4">
        <v>2</v>
      </c>
      <c r="H3" s="3">
        <f>F3-G3</f>
        <v>81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311</v>
      </c>
      <c r="F4" s="3">
        <f>C4+D4-E4</f>
        <v>21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353</v>
      </c>
      <c r="E24" s="3">
        <f t="shared" si="2"/>
        <v>372</v>
      </c>
      <c r="F24" s="3">
        <f>SUM(F3:F23)</f>
        <v>115</v>
      </c>
      <c r="G24" s="3">
        <f t="shared" si="2"/>
        <v>3</v>
      </c>
      <c r="H24" s="3">
        <f>SUM(H3:H23)</f>
        <v>91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abSelected="1" topLeftCell="A2" workbookViewId="0">
      <selection activeCell="AJ13" sqref="AJ13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>
        <v>8</v>
      </c>
      <c r="W4" s="5">
        <v>9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61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/>
      <c r="AA5" s="5"/>
      <c r="AB5" s="5"/>
      <c r="AC5" s="5"/>
      <c r="AD5" s="5"/>
      <c r="AE5" s="5"/>
      <c r="AF5" s="5"/>
      <c r="AG5" s="5"/>
      <c r="AH5" s="5">
        <f>SUM(C5:AG5)</f>
        <v>311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6:AH18" si="0">SUM(C6:AG6)</f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N27" sqref="N27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>
        <v>77</v>
      </c>
      <c r="Z3" s="5"/>
      <c r="AA3" s="5"/>
      <c r="AB3" s="5"/>
      <c r="AC3" s="5"/>
      <c r="AD3" s="5"/>
      <c r="AE3" s="5"/>
      <c r="AF3" s="5"/>
      <c r="AG3" s="5"/>
      <c r="AH3" s="5">
        <f>SUM(C3:AG3)</f>
        <v>142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1"/>
  <sheetViews>
    <sheetView topLeftCell="A28" workbookViewId="0">
      <selection activeCell="I48" sqref="I48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1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1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1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1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1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1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1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1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1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1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1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1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1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1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1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1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2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4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2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4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2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2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4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2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4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4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4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2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2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1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1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A50" s="14">
        <v>46100</v>
      </c>
      <c r="B50" s="15" t="s">
        <v>61</v>
      </c>
      <c r="C50" s="15"/>
      <c r="D50" s="15">
        <v>8</v>
      </c>
      <c r="E50" s="15"/>
      <c r="F50" s="15" t="s">
        <v>94</v>
      </c>
      <c r="G50" s="15"/>
    </row>
    <row r="51" spans="1:7" x14ac:dyDescent="0.25">
      <c r="A51" s="32">
        <v>46101</v>
      </c>
      <c r="B51" s="15" t="s">
        <v>47</v>
      </c>
      <c r="C51" s="15"/>
      <c r="D51" s="15"/>
      <c r="E51" s="15">
        <v>20</v>
      </c>
      <c r="F51" s="15" t="s">
        <v>91</v>
      </c>
      <c r="G51" s="21"/>
    </row>
    <row r="52" spans="1:7" x14ac:dyDescent="0.25">
      <c r="A52" s="34"/>
      <c r="B52" s="15" t="s">
        <v>74</v>
      </c>
      <c r="C52" s="15"/>
      <c r="D52" s="15">
        <v>9</v>
      </c>
      <c r="E52" s="15"/>
      <c r="F52" s="15" t="s">
        <v>92</v>
      </c>
      <c r="G52" s="21"/>
    </row>
    <row r="53" spans="1:7" x14ac:dyDescent="0.25">
      <c r="A53" s="33"/>
      <c r="B53" s="15" t="s">
        <v>49</v>
      </c>
      <c r="C53" s="15"/>
      <c r="D53" s="15">
        <v>25</v>
      </c>
      <c r="E53" s="15"/>
      <c r="F53" s="15" t="s">
        <v>91</v>
      </c>
      <c r="G53" s="21"/>
    </row>
    <row r="54" spans="1:7" x14ac:dyDescent="0.25">
      <c r="A54" s="14">
        <v>46102</v>
      </c>
      <c r="B54" s="15" t="s">
        <v>93</v>
      </c>
      <c r="C54" s="15"/>
      <c r="D54" s="15">
        <v>58</v>
      </c>
      <c r="E54" s="15"/>
      <c r="F54" s="15" t="s">
        <v>91</v>
      </c>
      <c r="G54" s="21"/>
    </row>
    <row r="55" spans="1:7" x14ac:dyDescent="0.25">
      <c r="A55" s="15"/>
      <c r="B55" s="15"/>
      <c r="C55" s="15"/>
      <c r="D55" s="15"/>
      <c r="E55" s="15"/>
      <c r="F55" s="15"/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  <row r="71" spans="1:7" x14ac:dyDescent="0.25">
      <c r="A71" s="15"/>
      <c r="B71" s="15"/>
      <c r="C71" s="15"/>
      <c r="D71" s="15"/>
      <c r="E71" s="15"/>
      <c r="F71" s="15"/>
      <c r="G71" s="21"/>
    </row>
  </sheetData>
  <autoFilter ref="A1:F54" xr:uid="{171653DB-B967-4059-9CE3-FD13B7B63DBC}"/>
  <mergeCells count="16">
    <mergeCell ref="A51:A53"/>
    <mergeCell ref="A47:A48"/>
    <mergeCell ref="A21:A23"/>
    <mergeCell ref="A19:A20"/>
    <mergeCell ref="A29:A31"/>
    <mergeCell ref="A15:A16"/>
    <mergeCell ref="A43:A44"/>
    <mergeCell ref="A40:A41"/>
    <mergeCell ref="A33:A38"/>
    <mergeCell ref="A27:A28"/>
    <mergeCell ref="A24:A26"/>
    <mergeCell ref="A2:A5"/>
    <mergeCell ref="A6:A7"/>
    <mergeCell ref="A8:A9"/>
    <mergeCell ref="A10:A11"/>
    <mergeCell ref="A12:A13"/>
  </mergeCells>
  <conditionalFormatting sqref="D2:F1001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142</v>
      </c>
      <c r="E3" s="3">
        <f>SUM('Nhập xuất tồn'!E3)</f>
        <v>61</v>
      </c>
      <c r="F3" s="3">
        <f>SUM(C3+D3-E3)</f>
        <v>83</v>
      </c>
      <c r="G3" s="4">
        <f>'Nhập xuất tồn'!G3</f>
        <v>2</v>
      </c>
      <c r="H3" s="3">
        <f>SUM(F3-G3)</f>
        <v>81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311</v>
      </c>
      <c r="F4" s="3">
        <f>SUM(C4+D4-E4)</f>
        <v>21</v>
      </c>
      <c r="G4" s="4">
        <f>'Nhập xuất tồn'!G4</f>
        <v>0</v>
      </c>
      <c r="H4" s="3">
        <f>SUM(F4-G4)</f>
        <v>21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353</v>
      </c>
      <c r="E19" s="10">
        <f>SUM(E3:E17)</f>
        <v>372</v>
      </c>
      <c r="F19" s="10">
        <f>SUM(F3:F18)</f>
        <v>115</v>
      </c>
      <c r="G19" s="11">
        <f>SUM(G3:G17)</f>
        <v>2</v>
      </c>
      <c r="H19" s="10">
        <f>SUM(H3:H18)</f>
        <v>113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2026-03-24T02:03:12Z</dcterms:modified>
</cp:coreProperties>
</file>