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F6FB1DA5-9798-4243-88C7-CA90B7C6DA8C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4" i="1" l="1"/>
  <c r="H24" i="1" s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<sst xmlns="http://schemas.openxmlformats.org/spreadsheetml/2006/main" count="223" uniqueCount="84">
  <si>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</si>
  <si>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</si>
  <si>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</si>
  <si>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</si>
  <si>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</si>
  <si>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</si>
  <si>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</si>
  <si>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</si>
  <si>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</si>
  <si>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</si>
  <si>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</si>
  <si>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</si>
  <si>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</si>
  <si>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</si>
  <si>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</si>
  <si>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</si>
  <si>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</si>
  <si>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</si>
  <si>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</si>
  <si>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</si>
  <si>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</si>
  <si>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</si>
  <si>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</si>
  <si>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</si>
  <si>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</si>
  <si>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</si>
  <si>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</si>
  <si>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</si>
  <si>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</si>
  <si>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</si>
  <si>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</si>
  <si>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</si>
  <si>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</si>
  <si>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</si>
  <si>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</si>
  <si>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</si>
  <si>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</si>
  <si>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</si>
  <si>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</si>
  <si>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</si>
  <si>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</si>
  <si>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</si>
  <si>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</si>
  <si>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</si>
  <si>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</si>
  <si>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</si>
  <si>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</si>
  <si>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</si>
  <si>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</si>
  <si>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</si>
  <si>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</si>
  <si>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</si>
  <si>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</si>
  <si>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</si>
  <si>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</si>
  <si>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</si>
  <si>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</si>
  <si>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</si>
  <si>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</si>
  <si>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</si>
  <si>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</si>
  <si>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</si>
  <si>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</si>
  <si>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</si>
  <si>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</si>
  <si>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</si>
  <si>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</si>
  <si>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</si>
  <si>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</si>
  <si>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</si>
  <si>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</si>
  <si>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</si>
  <si>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</si>
  <si>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</si>
  <si>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</si>
  <si>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</si>
  <si>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</si>
  <si>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</si>
  <si>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</si>
  <si>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</si>
  <si>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</si>
  <si>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</si>
  <si>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Chưa trả</t>
  </si>
  <si>
    <t>Đã trả (05/03/26)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</si>
</sst>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J28" sqref="J2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24</v>
      </c>
      <c r="E3" s="3">
        <f>Xuất!AH4+Huỷ!AH3</f>
        <v>21</v>
      </c>
      <c r="F3" s="3">
        <f>C3+D3-E3</f>
        <v>5</v>
      </c>
      <c r="G3" s="4">
        <v>2</v>
      </c>
      <c r="H3" s="3">
        <f>F3-G3</f>
        <v>3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288</v>
      </c>
      <c r="F4" s="3">
        <f>C4+D4-E4</f>
        <v>43</v>
      </c>
      <c r="G4" s="4">
        <v>35</v>
      </c>
      <c r="H4" s="3">
        <f t="shared" ref="H4:H22" si="0">F4-G4</f>
        <v>8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71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234</v>
      </c>
      <c r="E24" s="3">
        <f t="shared" si="2"/>
        <v>309</v>
      </c>
      <c r="F24" s="3">
        <f>SUM(F3:F23)</f>
        <v>59</v>
      </c>
      <c r="G24" s="3">
        <f t="shared" si="2"/>
        <v>38</v>
      </c>
      <c r="H24" s="3">
        <f>SUM(H3:H23)</f>
        <v>21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M8" sqref="M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24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Z30" sqref="Z30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21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288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71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10" workbookViewId="0">
      <selection activeCell="G41" sqref="G41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5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5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80</v>
      </c>
      <c r="G27" s="16" t="s">
        <v>74</v>
      </c>
    </row>
    <row r="28" spans="1:7" x14ac:dyDescent="0.25">
      <c r="A28" s="35"/>
      <c r="B28" s="15" t="s">
        <v>50</v>
      </c>
      <c r="C28" s="15"/>
      <c r="D28" s="15"/>
      <c r="E28" s="15">
        <v>30</v>
      </c>
      <c r="F28" s="18" t="s">
        <v>69</v>
      </c>
      <c r="G28" s="16"/>
    </row>
    <row r="29" spans="1:7" x14ac:dyDescent="0.25">
      <c r="A29" s="33">
        <v>46079</v>
      </c>
      <c r="B29" s="15" t="s">
        <v>64</v>
      </c>
      <c r="C29" s="15"/>
      <c r="D29" s="15">
        <v>3</v>
      </c>
      <c r="E29" s="15">
        <v>5</v>
      </c>
      <c r="F29" s="18" t="s">
        <v>69</v>
      </c>
      <c r="G29" s="16"/>
    </row>
    <row r="30" spans="1:7" x14ac:dyDescent="0.25">
      <c r="A30" s="34"/>
      <c r="B30" s="15" t="s">
        <v>70</v>
      </c>
      <c r="C30" s="15"/>
      <c r="D30" s="15"/>
      <c r="E30" s="15">
        <v>1</v>
      </c>
      <c r="F30" s="18" t="s">
        <v>69</v>
      </c>
      <c r="G30" s="16"/>
    </row>
    <row r="31" spans="1:7" x14ac:dyDescent="0.25">
      <c r="A31" s="35"/>
      <c r="B31" s="15" t="s">
        <v>50</v>
      </c>
      <c r="C31" s="15"/>
      <c r="D31" s="15"/>
      <c r="E31" s="15">
        <v>20</v>
      </c>
      <c r="F31" s="15" t="s">
        <v>80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79</v>
      </c>
      <c r="G32" s="16" t="s">
        <v>73</v>
      </c>
    </row>
    <row r="33" spans="1:7" x14ac:dyDescent="0.25">
      <c r="A33" s="33">
        <v>46083</v>
      </c>
      <c r="B33" s="15" t="s">
        <v>48</v>
      </c>
      <c r="C33" s="15"/>
      <c r="D33" s="15"/>
      <c r="E33" s="15">
        <v>10</v>
      </c>
      <c r="F33" s="15" t="s">
        <v>79</v>
      </c>
      <c r="G33" s="16"/>
    </row>
    <row r="34" spans="1:7" x14ac:dyDescent="0.25">
      <c r="A34" s="34"/>
      <c r="B34" s="15" t="s">
        <v>50</v>
      </c>
      <c r="C34" s="15"/>
      <c r="D34" s="15"/>
      <c r="E34" s="15">
        <v>10</v>
      </c>
      <c r="F34" s="15" t="s">
        <v>80</v>
      </c>
      <c r="G34" s="16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77</v>
      </c>
      <c r="G35" s="16"/>
    </row>
    <row r="36" spans="1:7" x14ac:dyDescent="0.25">
      <c r="A36" s="34"/>
      <c r="B36" s="15" t="s">
        <v>75</v>
      </c>
      <c r="C36" s="15"/>
      <c r="D36" s="15"/>
      <c r="E36" s="15">
        <v>30</v>
      </c>
      <c r="F36" s="15" t="s">
        <v>79</v>
      </c>
      <c r="G36" s="16" t="s">
        <v>78</v>
      </c>
    </row>
    <row r="37" spans="1:7" x14ac:dyDescent="0.25">
      <c r="A37" s="34"/>
      <c r="B37" s="15" t="s">
        <v>76</v>
      </c>
      <c r="C37" s="15"/>
      <c r="D37" s="15"/>
      <c r="E37" s="15">
        <v>1</v>
      </c>
      <c r="F37" s="15" t="s">
        <v>77</v>
      </c>
      <c r="G37" s="16"/>
    </row>
    <row r="38" spans="1:7" x14ac:dyDescent="0.25">
      <c r="A38" s="35"/>
      <c r="B38" s="15" t="s">
        <v>62</v>
      </c>
      <c r="C38" s="15"/>
      <c r="D38" s="15"/>
      <c r="E38" s="15">
        <v>50</v>
      </c>
      <c r="F38" s="15" t="s">
        <v>80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79</v>
      </c>
      <c r="G39" s="16"/>
    </row>
    <row r="40" spans="1:7" x14ac:dyDescent="0.25">
      <c r="A40" s="33">
        <v>46085</v>
      </c>
      <c r="B40" s="15" t="s">
        <v>64</v>
      </c>
      <c r="C40" s="15"/>
      <c r="D40" s="15"/>
      <c r="E40" s="15">
        <v>30</v>
      </c>
      <c r="F40" s="15" t="s">
        <v>83</v>
      </c>
      <c r="G40" s="16"/>
    </row>
    <row r="41" spans="1:7" x14ac:dyDescent="0.25">
      <c r="A41" s="35"/>
      <c r="B41" s="15" t="s">
        <v>81</v>
      </c>
      <c r="C41" s="15"/>
      <c r="D41" s="15">
        <v>1</v>
      </c>
      <c r="E41" s="15"/>
      <c r="F41" s="15" t="s">
        <v>80</v>
      </c>
      <c r="G41" s="16"/>
    </row>
    <row r="42" spans="1:7" x14ac:dyDescent="0.25">
      <c r="A42" s="14">
        <v>46086</v>
      </c>
      <c r="B42" s="15" t="s">
        <v>62</v>
      </c>
      <c r="C42" s="15"/>
      <c r="D42" s="15">
        <v>20</v>
      </c>
      <c r="E42" s="15"/>
      <c r="F42" s="15" t="s">
        <v>82</v>
      </c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3">
    <mergeCell ref="A40:A41"/>
    <mergeCell ref="A33:A38"/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tabSelected="1" zoomScale="145" zoomScaleNormal="145" workbookViewId="0">
      <selection activeCell="J16" sqref="J16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24</v>
      </c>
      <c r="E3" s="3">
        <f>SUM('Nhập xuất tồn'!E3)</f>
        <v>21</v>
      </c>
      <c r="F3" s="3">
        <f>SUM(C3+D3-E3)</f>
        <v>5</v>
      </c>
      <c r="G3" s="4">
        <v>1</v>
      </c>
      <c r="H3" s="3">
        <f>SUM(F3-G3)</f>
        <v>4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288</v>
      </c>
      <c r="F4" s="3">
        <f>SUM(C4+D4-E4)</f>
        <v>43</v>
      </c>
      <c r="G4" s="4">
        <v>3</v>
      </c>
      <c r="H4" s="3">
        <f>SUM(F4-G4)</f>
        <v>40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72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234</v>
      </c>
      <c r="E19" s="10">
        <f>SUM(E3:E17)</f>
        <v>309</v>
      </c>
      <c r="F19" s="10">
        <f>SUM(F3:F18)</f>
        <v>59</v>
      </c>
      <c r="G19" s="11">
        <f>SUM(G3:G17)</f>
        <v>4</v>
      </c>
      <c r="H19" s="10">
        <f>SUM(H3:H18)</f>
        <v>55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2026-03-07T03:36:04Z</dcterms:modified>
</cp:coreProperties>
</file>