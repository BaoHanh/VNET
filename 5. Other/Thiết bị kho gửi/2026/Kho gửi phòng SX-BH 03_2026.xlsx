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Thiết bị kho gửi\2026\"/>
    </mc:Choice>
  </mc:AlternateContent>
  <xr:revisionPtr revIDLastSave="0" documentId="13_ncr:1_{D8A664EB-5D16-4792-802C-1C460ABE2F64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Nhập xuất tồn" sheetId="1" r:id="rId1"/>
    <sheet name="Nhập" sheetId="2" r:id="rId2"/>
    <sheet name="Xuất" sheetId="3" r:id="rId3"/>
    <sheet name="Huỷ" sheetId="4" r:id="rId4"/>
    <sheet name="Ghi chú" sheetId="5" r:id="rId5"/>
    <sheet name="Chốt kho" sheetId="6" r:id="rId6"/>
  </sheets>
  <externalReferences>
    <externalReference r:id="rId7"/>
  </externalReferences>
  <definedNames>
    <definedName name="_xlnm._FilterDatabase" localSheetId="4" hidden="1">'Ghi chú'!$A$1:$F$7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3" i="1"/>
  <c r="C14" i="1"/>
  <c r="C15" i="1"/>
  <c r="C16" i="1"/>
  <c r="C17" i="1"/>
  <c r="C18" i="1"/>
  <c r="C19" i="1"/>
  <c r="C20" i="1"/>
  <c r="C21" i="1"/>
  <c r="C22" i="1"/>
  <c r="C23" i="1"/>
  <c r="C18" i="6" s="1"/>
  <c r="C3" i="1"/>
  <c r="AH14" i="2"/>
  <c r="D50" i="5" l="1"/>
  <c r="E50" i="5"/>
  <c r="G18" i="6"/>
  <c r="D18" i="6"/>
  <c r="D23" i="1"/>
  <c r="AH24" i="3"/>
  <c r="E23" i="1" s="1"/>
  <c r="AH23" i="2"/>
  <c r="E17" i="6"/>
  <c r="E13" i="6"/>
  <c r="E22" i="1"/>
  <c r="E21" i="1"/>
  <c r="E16" i="6" s="1"/>
  <c r="E20" i="1"/>
  <c r="E15" i="6" s="1"/>
  <c r="E19" i="1"/>
  <c r="E14" i="6" s="1"/>
  <c r="E18" i="1"/>
  <c r="C4" i="6"/>
  <c r="C5" i="6"/>
  <c r="C6" i="6"/>
  <c r="C9" i="6"/>
  <c r="C10" i="6"/>
  <c r="C8" i="6"/>
  <c r="C11" i="6"/>
  <c r="C12" i="6"/>
  <c r="C3" i="6"/>
  <c r="C15" i="6"/>
  <c r="C16" i="6"/>
  <c r="E18" i="6" l="1"/>
  <c r="F23" i="1"/>
  <c r="F18" i="6" s="1"/>
  <c r="H23" i="1" l="1"/>
  <c r="H18" i="6" s="1"/>
  <c r="C13" i="6"/>
  <c r="C14" i="6" l="1"/>
  <c r="AH13" i="2"/>
  <c r="G24" i="1"/>
  <c r="G19" i="6"/>
  <c r="C17" i="6"/>
  <c r="D11" i="6"/>
  <c r="D15" i="6"/>
  <c r="F15" i="6" s="1"/>
  <c r="H15" i="6" s="1"/>
  <c r="D16" i="6"/>
  <c r="F16" i="6" s="1"/>
  <c r="H16" i="6" s="1"/>
  <c r="D17" i="6"/>
  <c r="D13" i="1"/>
  <c r="D14" i="1"/>
  <c r="D15" i="1"/>
  <c r="D16" i="1"/>
  <c r="D20" i="1"/>
  <c r="F20" i="1" s="1"/>
  <c r="D21" i="1"/>
  <c r="F21" i="1" s="1"/>
  <c r="D22" i="1"/>
  <c r="F22" i="1" s="1"/>
  <c r="H22" i="1" s="1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" i="4"/>
  <c r="F17" i="6" l="1"/>
  <c r="H17" i="6" s="1"/>
  <c r="H20" i="1"/>
  <c r="D8" i="6"/>
  <c r="H21" i="1"/>
  <c r="AH5" i="3"/>
  <c r="E4" i="1" s="1"/>
  <c r="E4" i="6" s="1"/>
  <c r="AH6" i="3"/>
  <c r="AH7" i="3"/>
  <c r="AH8" i="3"/>
  <c r="E7" i="1" s="1"/>
  <c r="AH9" i="3"/>
  <c r="E8" i="1" s="1"/>
  <c r="AH10" i="3"/>
  <c r="E9" i="1" s="1"/>
  <c r="AH11" i="3"/>
  <c r="E10" i="1" s="1"/>
  <c r="E9" i="6" s="1"/>
  <c r="AH12" i="3"/>
  <c r="E11" i="1" s="1"/>
  <c r="E10" i="6" s="1"/>
  <c r="AH13" i="3"/>
  <c r="E12" i="1" s="1"/>
  <c r="AH14" i="3"/>
  <c r="AH15" i="3"/>
  <c r="AH16" i="3"/>
  <c r="E15" i="1" s="1"/>
  <c r="AH17" i="3"/>
  <c r="E16" i="1" s="1"/>
  <c r="E11" i="6" s="1"/>
  <c r="AH18" i="3"/>
  <c r="E17" i="1" s="1"/>
  <c r="E12" i="6" s="1"/>
  <c r="AH4" i="3"/>
  <c r="E3" i="1" s="1"/>
  <c r="AH8" i="2"/>
  <c r="AH9" i="2"/>
  <c r="AH10" i="2"/>
  <c r="AH11" i="2"/>
  <c r="D11" i="1" s="1"/>
  <c r="AH12" i="2"/>
  <c r="D12" i="1" s="1"/>
  <c r="AH17" i="2"/>
  <c r="D12" i="6" s="1"/>
  <c r="AH18" i="2"/>
  <c r="D13" i="6" s="1"/>
  <c r="AH19" i="2"/>
  <c r="D14" i="6" s="1"/>
  <c r="AH4" i="2"/>
  <c r="AH5" i="2"/>
  <c r="AH6" i="2"/>
  <c r="AH7" i="2"/>
  <c r="D7" i="1" s="1"/>
  <c r="AH3" i="2"/>
  <c r="E6" i="6" l="1"/>
  <c r="E6" i="1"/>
  <c r="F15" i="1"/>
  <c r="H15" i="1" s="1"/>
  <c r="E14" i="1"/>
  <c r="E7" i="6"/>
  <c r="F14" i="1"/>
  <c r="H14" i="1" s="1"/>
  <c r="E13" i="1"/>
  <c r="E8" i="6" s="1"/>
  <c r="F8" i="6" s="1"/>
  <c r="H8" i="6" s="1"/>
  <c r="E5" i="1"/>
  <c r="E5" i="6"/>
  <c r="F16" i="1"/>
  <c r="H16" i="1" s="1"/>
  <c r="F11" i="6"/>
  <c r="H11" i="6" s="1"/>
  <c r="F13" i="6"/>
  <c r="H13" i="6" s="1"/>
  <c r="F7" i="1"/>
  <c r="H7" i="1" s="1"/>
  <c r="F11" i="1"/>
  <c r="H11" i="1" s="1"/>
  <c r="D10" i="6"/>
  <c r="F10" i="6" s="1"/>
  <c r="H10" i="6" s="1"/>
  <c r="E3" i="6"/>
  <c r="D4" i="1"/>
  <c r="D6" i="1"/>
  <c r="D6" i="6"/>
  <c r="D5" i="1"/>
  <c r="D5" i="6"/>
  <c r="D18" i="1"/>
  <c r="D17" i="1"/>
  <c r="F17" i="1" s="1"/>
  <c r="H17" i="1" s="1"/>
  <c r="F12" i="6"/>
  <c r="H12" i="6" s="1"/>
  <c r="D10" i="1"/>
  <c r="D19" i="1"/>
  <c r="F14" i="6"/>
  <c r="H14" i="6" s="1"/>
  <c r="D9" i="1"/>
  <c r="D3" i="1"/>
  <c r="D8" i="1"/>
  <c r="E24" i="1" l="1"/>
  <c r="F13" i="1"/>
  <c r="H13" i="1" s="1"/>
  <c r="E19" i="6"/>
  <c r="F5" i="6"/>
  <c r="H5" i="6" s="1"/>
  <c r="F5" i="1"/>
  <c r="H5" i="1" s="1"/>
  <c r="F6" i="6"/>
  <c r="H6" i="6" s="1"/>
  <c r="F9" i="1"/>
  <c r="H9" i="1" s="1"/>
  <c r="F6" i="1"/>
  <c r="H6" i="1" s="1"/>
  <c r="F18" i="1"/>
  <c r="H18" i="1" s="1"/>
  <c r="F8" i="1"/>
  <c r="H8" i="1" s="1"/>
  <c r="D7" i="6"/>
  <c r="F19" i="1"/>
  <c r="H19" i="1" s="1"/>
  <c r="F4" i="1"/>
  <c r="H4" i="1" s="1"/>
  <c r="D4" i="6"/>
  <c r="F4" i="6" s="1"/>
  <c r="H4" i="6" s="1"/>
  <c r="D3" i="6"/>
  <c r="F3" i="6" s="1"/>
  <c r="D24" i="1"/>
  <c r="F3" i="1"/>
  <c r="F10" i="1"/>
  <c r="D9" i="6"/>
  <c r="F9" i="6" s="1"/>
  <c r="H9" i="6" s="1"/>
  <c r="H10" i="1" l="1"/>
  <c r="D19" i="6"/>
  <c r="H3" i="1"/>
  <c r="H3" i="6"/>
  <c r="C12" i="1" l="1"/>
  <c r="C7" i="6" l="1"/>
  <c r="C24" i="1"/>
  <c r="F12" i="1"/>
  <c r="H12" i="1" l="1"/>
  <c r="H24" i="1" s="1"/>
  <c r="F24" i="1"/>
  <c r="C19" i="6"/>
  <c r="F7" i="6"/>
  <c r="H7" i="6" l="1"/>
  <c r="H19" i="6" s="1"/>
  <c r="F19" i="6"/>
</calcChain>
</file>

<file path=xl/sharedStrings.xml><?xml version="1.0" encoding="utf-8"?>
<sst xmlns="http://schemas.openxmlformats.org/spreadsheetml/2006/main" count="212" uniqueCount="78">
  <si>
    <t>VNSH01</t>
  </si>
  <si>
    <t>VNSH02</t>
  </si>
  <si>
    <t>Nhập</t>
  </si>
  <si>
    <t>Xuất</t>
  </si>
  <si>
    <t>Tồn</t>
  </si>
  <si>
    <t>Tổng</t>
  </si>
  <si>
    <t>Lỗi</t>
  </si>
  <si>
    <t>VNSH01 (BH)</t>
  </si>
  <si>
    <t>STT</t>
  </si>
  <si>
    <t>Tên Sản Phẩm</t>
  </si>
  <si>
    <t>Đầu Kỳ</t>
  </si>
  <si>
    <t>Bình Thường</t>
  </si>
  <si>
    <t>Ngày Nhập</t>
  </si>
  <si>
    <t>Ngày Xuất</t>
  </si>
  <si>
    <t>Victory</t>
  </si>
  <si>
    <t>Trạng thái</t>
  </si>
  <si>
    <t>Đại lý</t>
  </si>
  <si>
    <t>Ngày</t>
  </si>
  <si>
    <t>TG102-E4G</t>
  </si>
  <si>
    <t>TG102-E4G ESIM</t>
  </si>
  <si>
    <t>TG102LE-4G(51 Nâng cấp)</t>
  </si>
  <si>
    <t>TG102LE-4G(51)</t>
  </si>
  <si>
    <t>TG102LE-4G(55)</t>
  </si>
  <si>
    <t>TG102LE-4G(56)</t>
  </si>
  <si>
    <t>TG102LE-4G(56 ESIM)</t>
  </si>
  <si>
    <t>TG102LE-4G(60)</t>
  </si>
  <si>
    <t>TG102LE-4G(60 ESIM)</t>
  </si>
  <si>
    <t>TG102LE-4G(77)</t>
  </si>
  <si>
    <t>TG102LE-4G(77 ESIM)</t>
  </si>
  <si>
    <t>CardReder</t>
  </si>
  <si>
    <t>ACT-01 (Bản cũ)</t>
  </si>
  <si>
    <t>ACT-01 (Bản mới)</t>
  </si>
  <si>
    <t>HUB_H1</t>
  </si>
  <si>
    <t>HUB_H2</t>
  </si>
  <si>
    <t>Vỏ Hộp LE</t>
  </si>
  <si>
    <t>TG102LE-4G</t>
  </si>
  <si>
    <t>TG102LE-4G(ESIM)</t>
  </si>
  <si>
    <t>Ghi chú</t>
  </si>
  <si>
    <t>Danh Sách Thiết Bị Gửi Trên Bảo Hành - Sản Xuất Tháng 02</t>
  </si>
  <si>
    <t>Đã trả (02/02/26)</t>
  </si>
  <si>
    <t>GPS Global</t>
  </si>
  <si>
    <t>ĐL Hải Yến</t>
  </si>
  <si>
    <t>ĐL SEA</t>
  </si>
  <si>
    <t>ĐL Anh Tuấn BG</t>
  </si>
  <si>
    <t>Tuyên Hằng</t>
  </si>
  <si>
    <t>Đã trả (03/02/26)</t>
  </si>
  <si>
    <t>Đã trả (04/02/26)</t>
  </si>
  <si>
    <t>ĐL TranTai</t>
  </si>
  <si>
    <t>Thành Tâm Nha Trang</t>
  </si>
  <si>
    <t>Đã trả (05/02/26)</t>
  </si>
  <si>
    <t>Anh Tuấn BG</t>
  </si>
  <si>
    <t>Anh San Lạng Sơn</t>
  </si>
  <si>
    <t>Đã trả (06/02/26)</t>
  </si>
  <si>
    <t>KL VNET</t>
  </si>
  <si>
    <t>Anh Ttrực</t>
  </si>
  <si>
    <t>Đã trả (07/02/26)</t>
  </si>
  <si>
    <t>Đã trả (09/02/26)</t>
  </si>
  <si>
    <t>Maxconnect</t>
  </si>
  <si>
    <t>Đã trả 6 bộ (09/02/26) và 6 bộ (10/02/26)</t>
  </si>
  <si>
    <t>Đã trả (10/02/26)</t>
  </si>
  <si>
    <t>Anh Thái QN</t>
  </si>
  <si>
    <t>Đã trả (11/02/26)</t>
  </si>
  <si>
    <t>Anh Tuấn NB</t>
  </si>
  <si>
    <t>Đã trả (13/02/26)</t>
  </si>
  <si>
    <t>Anh Trực</t>
  </si>
  <si>
    <t>ĐL Nguyễn Nam</t>
  </si>
  <si>
    <t>Đã trả (23/02/26)</t>
  </si>
  <si>
    <t>LED 3AE</t>
  </si>
  <si>
    <t>Đã trả (24/02/26)</t>
  </si>
  <si>
    <t>Chưa trả</t>
  </si>
  <si>
    <t>Đã trả (26/02/26)</t>
  </si>
  <si>
    <t>ĐL Dũng Thu</t>
  </si>
  <si>
    <t>Mắt camera</t>
  </si>
  <si>
    <t>Mắt Camera</t>
  </si>
  <si>
    <t>Chuyển qua tháng 03/2026</t>
  </si>
  <si>
    <t>Chuyển qua tháng 03/2026, 20 VNSH01 đã trả</t>
  </si>
  <si>
    <t>SEA</t>
  </si>
  <si>
    <t>dlrantai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</si>
</sst>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2" fillId="0" borderId="6" xfId="0" applyNumberFormat="1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left" vertical="center" wrapText="1"/>
    </xf>
    <xf numFmtId="14" fontId="2" fillId="0" borderId="7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NET\5.%20Other\Thi&#7871;t%20b&#7883;%20kho%20g&#7917;i\2026\Kho%20g&#7917;i%20ph&#242;ng%20SX-BH%2002_2026.xlsx" TargetMode="External"/><Relationship Id="rId1" Type="http://schemas.openxmlformats.org/officeDocument/2006/relationships/externalLinkPath" Target="Kho%20g&#7917;i%20ph&#242;ng%20SX-BH%2002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ập xuất tồn"/>
      <sheetName val="Nhập"/>
      <sheetName val="Xuất"/>
      <sheetName val="Huỷ"/>
      <sheetName val="Ghi chú"/>
      <sheetName val="Chốt kho"/>
    </sheetNames>
    <sheetDataSet>
      <sheetData sheetId="0">
        <row r="3">
          <cell r="F3">
            <v>2</v>
          </cell>
        </row>
        <row r="4">
          <cell r="F4">
            <v>120</v>
          </cell>
        </row>
        <row r="5">
          <cell r="F5">
            <v>0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1</v>
          </cell>
        </row>
        <row r="11">
          <cell r="F11">
            <v>1</v>
          </cell>
        </row>
        <row r="12">
          <cell r="F12">
            <v>1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1</v>
          </cell>
        </row>
        <row r="20">
          <cell r="F20">
            <v>1</v>
          </cell>
        </row>
        <row r="21">
          <cell r="F21">
            <v>0</v>
          </cell>
        </row>
        <row r="22">
          <cell r="F22">
            <v>6</v>
          </cell>
        </row>
        <row r="23">
          <cell r="F23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Zeros="0" zoomScale="115" zoomScaleNormal="115" workbookViewId="0">
      <selection activeCell="K7" sqref="K7"/>
    </sheetView>
  </sheetViews>
  <sheetFormatPr defaultColWidth="8.85546875" defaultRowHeight="15" x14ac:dyDescent="0.25"/>
  <cols>
    <col min="1" max="1" width="8" style="1" customWidth="1"/>
    <col min="2" max="2" width="28.7109375" style="1" customWidth="1"/>
    <col min="3" max="3" width="14.28515625" style="1" customWidth="1"/>
    <col min="4" max="5" width="13.7109375" style="1" customWidth="1"/>
    <col min="6" max="6" width="13.42578125" style="1" customWidth="1"/>
    <col min="7" max="7" width="10.140625" style="1" customWidth="1"/>
    <col min="8" max="8" width="15" style="1" customWidth="1"/>
    <col min="9" max="16384" width="8.85546875" style="1"/>
  </cols>
  <sheetData>
    <row r="1" spans="1:8" ht="15.75" x14ac:dyDescent="0.25">
      <c r="A1" s="23" t="s">
        <v>38</v>
      </c>
      <c r="B1" s="24"/>
      <c r="C1" s="24"/>
      <c r="D1" s="24"/>
      <c r="E1" s="24"/>
      <c r="F1" s="24"/>
      <c r="G1" s="24"/>
      <c r="H1" s="25"/>
    </row>
    <row r="2" spans="1:8" x14ac:dyDescent="0.25">
      <c r="A2" s="19" t="s">
        <v>8</v>
      </c>
      <c r="B2" s="19" t="s">
        <v>9</v>
      </c>
      <c r="C2" s="19" t="s">
        <v>10</v>
      </c>
      <c r="D2" s="19" t="s">
        <v>2</v>
      </c>
      <c r="E2" s="19" t="s">
        <v>3</v>
      </c>
      <c r="F2" s="19" t="s">
        <v>4</v>
      </c>
      <c r="G2" s="20" t="s">
        <v>6</v>
      </c>
      <c r="H2" s="19" t="s">
        <v>11</v>
      </c>
    </row>
    <row r="3" spans="1:8" x14ac:dyDescent="0.25">
      <c r="A3" s="3">
        <v>1</v>
      </c>
      <c r="B3" s="3" t="s">
        <v>0</v>
      </c>
      <c r="C3" s="3">
        <f>'[1]Nhập xuất tồn'!F3</f>
        <v>2</v>
      </c>
      <c r="D3" s="3">
        <f>Nhập!AH3</f>
        <v>0</v>
      </c>
      <c r="E3" s="3">
        <f>Xuất!AH4+Huỷ!AH3</f>
        <v>0</v>
      </c>
      <c r="F3" s="3">
        <f>C3+D3-E3</f>
        <v>2</v>
      </c>
      <c r="G3" s="4">
        <v>1</v>
      </c>
      <c r="H3" s="3">
        <f>F3-G3</f>
        <v>1</v>
      </c>
    </row>
    <row r="4" spans="1:8" x14ac:dyDescent="0.25">
      <c r="A4" s="3">
        <v>2</v>
      </c>
      <c r="B4" s="3" t="s">
        <v>1</v>
      </c>
      <c r="C4" s="3">
        <f>'[1]Nhập xuất tồn'!F4</f>
        <v>120</v>
      </c>
      <c r="D4" s="3">
        <f>Nhập!AH4</f>
        <v>72</v>
      </c>
      <c r="E4" s="3">
        <f>Xuất!AH5+Huỷ!AH4</f>
        <v>0</v>
      </c>
      <c r="F4" s="3">
        <f>C4+D4-E4</f>
        <v>192</v>
      </c>
      <c r="G4" s="4">
        <v>16</v>
      </c>
      <c r="H4" s="3">
        <f t="shared" ref="H4:H22" si="0">F4-G4</f>
        <v>176</v>
      </c>
    </row>
    <row r="5" spans="1:8" x14ac:dyDescent="0.25">
      <c r="A5" s="3">
        <v>3</v>
      </c>
      <c r="B5" s="3" t="s">
        <v>18</v>
      </c>
      <c r="C5" s="3">
        <f>'[1]Nhập xuất tồn'!F5</f>
        <v>0</v>
      </c>
      <c r="D5" s="3">
        <f>Nhập!AH5</f>
        <v>0</v>
      </c>
      <c r="E5" s="3">
        <f>Xuất!AH6+Huỷ!AH5</f>
        <v>0</v>
      </c>
      <c r="F5" s="3">
        <f t="shared" ref="F5:F22" si="1">C5+D5-E5</f>
        <v>0</v>
      </c>
      <c r="G5" s="4">
        <v>0</v>
      </c>
      <c r="H5" s="3">
        <f t="shared" si="0"/>
        <v>0</v>
      </c>
    </row>
    <row r="6" spans="1:8" x14ac:dyDescent="0.25">
      <c r="A6" s="3">
        <v>4</v>
      </c>
      <c r="B6" s="3" t="s">
        <v>19</v>
      </c>
      <c r="C6" s="3">
        <f>'[1]Nhập xuất tồn'!F6</f>
        <v>0</v>
      </c>
      <c r="D6" s="3">
        <f>Nhập!AH6</f>
        <v>0</v>
      </c>
      <c r="E6" s="3">
        <f>Xuất!AH7</f>
        <v>0</v>
      </c>
      <c r="F6" s="3">
        <f t="shared" si="1"/>
        <v>0</v>
      </c>
      <c r="G6" s="4">
        <v>0</v>
      </c>
      <c r="H6" s="3">
        <f t="shared" si="0"/>
        <v>0</v>
      </c>
    </row>
    <row r="7" spans="1:8" x14ac:dyDescent="0.25">
      <c r="A7" s="3">
        <v>5</v>
      </c>
      <c r="B7" s="3" t="s">
        <v>20</v>
      </c>
      <c r="C7" s="3">
        <f>'[1]Nhập xuất tồn'!F7</f>
        <v>0</v>
      </c>
      <c r="D7" s="3">
        <f>Nhập!AH7</f>
        <v>0</v>
      </c>
      <c r="E7" s="3">
        <f>Xuất!AH8</f>
        <v>0</v>
      </c>
      <c r="F7" s="3">
        <f t="shared" si="1"/>
        <v>0</v>
      </c>
      <c r="G7" s="4">
        <v>0</v>
      </c>
      <c r="H7" s="3">
        <f t="shared" si="0"/>
        <v>0</v>
      </c>
    </row>
    <row r="8" spans="1:8" x14ac:dyDescent="0.25">
      <c r="A8" s="3">
        <v>6</v>
      </c>
      <c r="B8" s="3" t="s">
        <v>21</v>
      </c>
      <c r="C8" s="3">
        <f>'[1]Nhập xuất tồn'!F8</f>
        <v>0</v>
      </c>
      <c r="D8" s="3">
        <f>Nhập!AH8</f>
        <v>0</v>
      </c>
      <c r="E8" s="3">
        <f>Xuất!AH9</f>
        <v>0</v>
      </c>
      <c r="F8" s="3">
        <f t="shared" si="1"/>
        <v>0</v>
      </c>
      <c r="G8" s="4">
        <v>0</v>
      </c>
      <c r="H8" s="3">
        <f t="shared" si="0"/>
        <v>0</v>
      </c>
    </row>
    <row r="9" spans="1:8" x14ac:dyDescent="0.25">
      <c r="A9" s="3">
        <v>7</v>
      </c>
      <c r="B9" s="3" t="s">
        <v>22</v>
      </c>
      <c r="C9" s="3">
        <f>'[1]Nhập xuất tồn'!F9</f>
        <v>0</v>
      </c>
      <c r="D9" s="3">
        <f>Nhập!AH9</f>
        <v>0</v>
      </c>
      <c r="E9" s="3">
        <f>Xuất!AH10</f>
        <v>0</v>
      </c>
      <c r="F9" s="3">
        <f t="shared" si="1"/>
        <v>0</v>
      </c>
      <c r="G9" s="4">
        <v>0</v>
      </c>
      <c r="H9" s="3">
        <f t="shared" si="0"/>
        <v>0</v>
      </c>
    </row>
    <row r="10" spans="1:8" x14ac:dyDescent="0.25">
      <c r="A10" s="3">
        <v>8</v>
      </c>
      <c r="B10" s="3" t="s">
        <v>23</v>
      </c>
      <c r="C10" s="3">
        <f>'[1]Nhập xuất tồn'!F10</f>
        <v>1</v>
      </c>
      <c r="D10" s="3">
        <f>Nhập!AH10</f>
        <v>0</v>
      </c>
      <c r="E10" s="3">
        <f>Xuất!AH11</f>
        <v>0</v>
      </c>
      <c r="F10" s="3">
        <f t="shared" si="1"/>
        <v>1</v>
      </c>
      <c r="G10" s="4">
        <v>0</v>
      </c>
      <c r="H10" s="3">
        <f t="shared" si="0"/>
        <v>1</v>
      </c>
    </row>
    <row r="11" spans="1:8" x14ac:dyDescent="0.25">
      <c r="A11" s="3">
        <v>9</v>
      </c>
      <c r="B11" s="3" t="s">
        <v>24</v>
      </c>
      <c r="C11" s="3">
        <f>'[1]Nhập xuất tồn'!F11</f>
        <v>1</v>
      </c>
      <c r="D11" s="3">
        <f>Nhập!AH11</f>
        <v>0</v>
      </c>
      <c r="E11" s="3">
        <f>Xuất!AH12</f>
        <v>0</v>
      </c>
      <c r="F11" s="3">
        <f t="shared" si="1"/>
        <v>1</v>
      </c>
      <c r="G11" s="4">
        <v>0</v>
      </c>
      <c r="H11" s="3">
        <f t="shared" si="0"/>
        <v>1</v>
      </c>
    </row>
    <row r="12" spans="1:8" x14ac:dyDescent="0.25">
      <c r="A12" s="3">
        <v>10</v>
      </c>
      <c r="B12" s="3" t="s">
        <v>25</v>
      </c>
      <c r="C12" s="3">
        <f>'[1]Nhập xuất tồn'!F12</f>
        <v>1</v>
      </c>
      <c r="D12" s="3">
        <f>Nhập!AH12</f>
        <v>0</v>
      </c>
      <c r="E12" s="3">
        <f>Xuất!AH13</f>
        <v>0</v>
      </c>
      <c r="F12" s="3">
        <f t="shared" si="1"/>
        <v>1</v>
      </c>
      <c r="G12" s="4">
        <v>0</v>
      </c>
      <c r="H12" s="3">
        <f t="shared" si="0"/>
        <v>1</v>
      </c>
    </row>
    <row r="13" spans="1:8" x14ac:dyDescent="0.25">
      <c r="A13" s="3">
        <v>11</v>
      </c>
      <c r="B13" s="3" t="s">
        <v>26</v>
      </c>
      <c r="C13" s="3">
        <f>'[1]Nhập xuất tồn'!F13</f>
        <v>0</v>
      </c>
      <c r="D13" s="3">
        <f>Nhập!AH13</f>
        <v>0</v>
      </c>
      <c r="E13" s="3">
        <f>Xuất!AH14</f>
        <v>0</v>
      </c>
      <c r="F13" s="3">
        <f t="shared" si="1"/>
        <v>0</v>
      </c>
      <c r="G13" s="4">
        <v>0</v>
      </c>
      <c r="H13" s="3">
        <f t="shared" si="0"/>
        <v>0</v>
      </c>
    </row>
    <row r="14" spans="1:8" x14ac:dyDescent="0.25">
      <c r="A14" s="3">
        <v>12</v>
      </c>
      <c r="B14" s="3" t="s">
        <v>27</v>
      </c>
      <c r="C14" s="3">
        <f>'[1]Nhập xuất tồn'!F14</f>
        <v>0</v>
      </c>
      <c r="D14" s="3">
        <f>Nhập!AH14</f>
        <v>0</v>
      </c>
      <c r="E14" s="3">
        <f>Xuất!AH15</f>
        <v>0</v>
      </c>
      <c r="F14" s="3">
        <f t="shared" si="1"/>
        <v>0</v>
      </c>
      <c r="G14" s="4">
        <v>0</v>
      </c>
      <c r="H14" s="3">
        <f t="shared" si="0"/>
        <v>0</v>
      </c>
    </row>
    <row r="15" spans="1:8" x14ac:dyDescent="0.25">
      <c r="A15" s="3">
        <v>13</v>
      </c>
      <c r="B15" s="3" t="s">
        <v>28</v>
      </c>
      <c r="C15" s="3">
        <f>'[1]Nhập xuất tồn'!F15</f>
        <v>0</v>
      </c>
      <c r="D15" s="3">
        <f>Nhập!AH15</f>
        <v>0</v>
      </c>
      <c r="E15" s="3">
        <f>Xuất!AH16</f>
        <v>0</v>
      </c>
      <c r="F15" s="3">
        <f t="shared" si="1"/>
        <v>0</v>
      </c>
      <c r="G15" s="4">
        <v>0</v>
      </c>
      <c r="H15" s="3">
        <f t="shared" si="0"/>
        <v>0</v>
      </c>
    </row>
    <row r="16" spans="1:8" x14ac:dyDescent="0.25">
      <c r="A16" s="3">
        <v>14</v>
      </c>
      <c r="B16" s="3" t="s">
        <v>29</v>
      </c>
      <c r="C16" s="3">
        <f>'[1]Nhập xuất tồn'!F16</f>
        <v>0</v>
      </c>
      <c r="D16" s="3">
        <f>Nhập!AH16</f>
        <v>0</v>
      </c>
      <c r="E16" s="3">
        <f>Xuất!AH17</f>
        <v>0</v>
      </c>
      <c r="F16" s="3">
        <f t="shared" si="1"/>
        <v>0</v>
      </c>
      <c r="G16" s="4"/>
      <c r="H16" s="3">
        <f t="shared" si="0"/>
        <v>0</v>
      </c>
    </row>
    <row r="17" spans="1:8" x14ac:dyDescent="0.25">
      <c r="A17" s="3">
        <v>15</v>
      </c>
      <c r="B17" s="3" t="s">
        <v>30</v>
      </c>
      <c r="C17" s="3">
        <f>'[1]Nhập xuất tồn'!F17</f>
        <v>0</v>
      </c>
      <c r="D17" s="3">
        <f>Nhập!AH17</f>
        <v>0</v>
      </c>
      <c r="E17" s="3">
        <f>Xuất!AH18</f>
        <v>0</v>
      </c>
      <c r="F17" s="3">
        <f t="shared" si="1"/>
        <v>0</v>
      </c>
      <c r="G17" s="4"/>
      <c r="H17" s="3">
        <f t="shared" si="0"/>
        <v>0</v>
      </c>
    </row>
    <row r="18" spans="1:8" x14ac:dyDescent="0.25">
      <c r="A18" s="3">
        <v>16</v>
      </c>
      <c r="B18" s="3" t="s">
        <v>31</v>
      </c>
      <c r="C18" s="3">
        <f>'[1]Nhập xuất tồn'!F18</f>
        <v>0</v>
      </c>
      <c r="D18" s="3">
        <f>Nhập!AH18</f>
        <v>0</v>
      </c>
      <c r="E18" s="3">
        <f>Xuất!AH19</f>
        <v>0</v>
      </c>
      <c r="F18" s="3">
        <f t="shared" si="1"/>
        <v>0</v>
      </c>
      <c r="G18" s="4"/>
      <c r="H18" s="3">
        <f t="shared" si="0"/>
        <v>0</v>
      </c>
    </row>
    <row r="19" spans="1:8" x14ac:dyDescent="0.25">
      <c r="A19" s="3">
        <v>17</v>
      </c>
      <c r="B19" s="3" t="s">
        <v>32</v>
      </c>
      <c r="C19" s="3">
        <f>'[1]Nhập xuất tồn'!F19</f>
        <v>1</v>
      </c>
      <c r="D19" s="3">
        <f>Nhập!AH19</f>
        <v>0</v>
      </c>
      <c r="E19" s="3">
        <f>Xuất!AH20</f>
        <v>0</v>
      </c>
      <c r="F19" s="3">
        <f t="shared" si="1"/>
        <v>1</v>
      </c>
      <c r="G19" s="4"/>
      <c r="H19" s="3">
        <f t="shared" si="0"/>
        <v>1</v>
      </c>
    </row>
    <row r="20" spans="1:8" x14ac:dyDescent="0.25">
      <c r="A20" s="3">
        <v>18</v>
      </c>
      <c r="B20" s="3" t="s">
        <v>33</v>
      </c>
      <c r="C20" s="3">
        <f>'[1]Nhập xuất tồn'!F20</f>
        <v>1</v>
      </c>
      <c r="D20" s="3">
        <f>Nhập!AH20</f>
        <v>0</v>
      </c>
      <c r="E20" s="3">
        <f>Xuất!AH21</f>
        <v>0</v>
      </c>
      <c r="F20" s="3">
        <f t="shared" si="1"/>
        <v>1</v>
      </c>
      <c r="G20" s="4">
        <v>1</v>
      </c>
      <c r="H20" s="3">
        <f t="shared" si="0"/>
        <v>0</v>
      </c>
    </row>
    <row r="21" spans="1:8" x14ac:dyDescent="0.25">
      <c r="A21" s="3">
        <v>19</v>
      </c>
      <c r="B21" s="3" t="s">
        <v>34</v>
      </c>
      <c r="C21" s="3">
        <f>'[1]Nhập xuất tồn'!F21</f>
        <v>0</v>
      </c>
      <c r="D21" s="3">
        <f>Nhập!AH21</f>
        <v>0</v>
      </c>
      <c r="E21" s="3">
        <f>Xuất!AH22</f>
        <v>0</v>
      </c>
      <c r="F21" s="3">
        <f t="shared" si="1"/>
        <v>0</v>
      </c>
      <c r="G21" s="4">
        <v>0</v>
      </c>
      <c r="H21" s="3">
        <f t="shared" si="0"/>
        <v>0</v>
      </c>
    </row>
    <row r="22" spans="1:8" x14ac:dyDescent="0.25">
      <c r="A22" s="3">
        <v>20</v>
      </c>
      <c r="B22" s="3" t="s">
        <v>7</v>
      </c>
      <c r="C22" s="3">
        <f>'[1]Nhập xuất tồn'!F22</f>
        <v>6</v>
      </c>
      <c r="D22" s="3">
        <f>Nhập!AH22</f>
        <v>0</v>
      </c>
      <c r="E22" s="3">
        <f>Xuất!AH23</f>
        <v>0</v>
      </c>
      <c r="F22" s="3">
        <f t="shared" si="1"/>
        <v>6</v>
      </c>
      <c r="G22" s="4">
        <v>0</v>
      </c>
      <c r="H22" s="3">
        <f t="shared" si="0"/>
        <v>6</v>
      </c>
    </row>
    <row r="23" spans="1:8" x14ac:dyDescent="0.25">
      <c r="A23" s="3">
        <v>21</v>
      </c>
      <c r="B23" s="3" t="s">
        <v>72</v>
      </c>
      <c r="C23" s="3">
        <f>'[1]Nhập xuất tồn'!F23</f>
        <v>3</v>
      </c>
      <c r="D23" s="3">
        <f>SUM(Nhập!AH23)</f>
        <v>0</v>
      </c>
      <c r="E23" s="3">
        <f>SUM(Xuất!AH24)</f>
        <v>0</v>
      </c>
      <c r="F23" s="3">
        <f>SUM(C23+D23)-E23</f>
        <v>3</v>
      </c>
      <c r="G23" s="4"/>
      <c r="H23" s="3">
        <f>SUM(F23-G23)</f>
        <v>3</v>
      </c>
    </row>
    <row r="24" spans="1:8" x14ac:dyDescent="0.25">
      <c r="A24" s="26" t="s">
        <v>5</v>
      </c>
      <c r="B24" s="26"/>
      <c r="C24" s="3">
        <f>SUM(C3:C22)</f>
        <v>133</v>
      </c>
      <c r="D24" s="3">
        <f t="shared" ref="D24:G24" si="2">SUM(D3:D22)</f>
        <v>72</v>
      </c>
      <c r="E24" s="3">
        <f t="shared" si="2"/>
        <v>0</v>
      </c>
      <c r="F24" s="3">
        <f>SUM(F3:F23)</f>
        <v>208</v>
      </c>
      <c r="G24" s="3">
        <f t="shared" si="2"/>
        <v>18</v>
      </c>
      <c r="H24" s="3">
        <f>SUM(H3:H23)</f>
        <v>190</v>
      </c>
    </row>
    <row r="27" spans="1:8" x14ac:dyDescent="0.25">
      <c r="B27" s="2"/>
    </row>
    <row r="28" spans="1:8" x14ac:dyDescent="0.25">
      <c r="B28" s="2"/>
    </row>
    <row r="29" spans="1:8" x14ac:dyDescent="0.25">
      <c r="B29" s="2"/>
    </row>
    <row r="30" spans="1:8" x14ac:dyDescent="0.25">
      <c r="B30" s="2"/>
    </row>
    <row r="31" spans="1:8" x14ac:dyDescent="0.25">
      <c r="B31" s="2"/>
    </row>
    <row r="32" spans="1:8" x14ac:dyDescent="0.25">
      <c r="B32" s="2"/>
    </row>
  </sheetData>
  <mergeCells count="2">
    <mergeCell ref="A1:H1"/>
    <mergeCell ref="A24:B2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3"/>
  <sheetViews>
    <sheetView showZeros="0" zoomScale="130" zoomScaleNormal="130" workbookViewId="0">
      <selection activeCell="K14" sqref="K14"/>
    </sheetView>
  </sheetViews>
  <sheetFormatPr defaultColWidth="8.85546875" defaultRowHeight="15" x14ac:dyDescent="0.25"/>
  <cols>
    <col min="1" max="1" width="6.5703125" style="7" customWidth="1"/>
    <col min="2" max="2" width="27.5703125" style="7" customWidth="1"/>
    <col min="3" max="34" width="5.28515625" style="7" customWidth="1"/>
    <col min="35" max="16384" width="8.85546875" style="7"/>
  </cols>
  <sheetData>
    <row r="1" spans="1:34" x14ac:dyDescent="0.25">
      <c r="A1" s="27" t="s">
        <v>8</v>
      </c>
      <c r="B1" s="28" t="s">
        <v>9</v>
      </c>
      <c r="C1" s="30" t="s">
        <v>12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 t="s">
        <v>5</v>
      </c>
    </row>
    <row r="2" spans="1:34" x14ac:dyDescent="0.25">
      <c r="A2" s="27"/>
      <c r="B2" s="29"/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5">
        <v>31</v>
      </c>
      <c r="AH2" s="30"/>
    </row>
    <row r="3" spans="1:34" x14ac:dyDescent="0.25">
      <c r="A3" s="5">
        <v>1</v>
      </c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>
        <f>SUM(C3:AG3)</f>
        <v>0</v>
      </c>
    </row>
    <row r="4" spans="1:34" x14ac:dyDescent="0.25">
      <c r="A4" s="5">
        <v>2</v>
      </c>
      <c r="B4" s="5" t="s">
        <v>1</v>
      </c>
      <c r="C4" s="5"/>
      <c r="D4" s="5">
        <v>72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>
        <f t="shared" ref="AH4:AH19" si="0">SUM(C4:AG4)</f>
        <v>72</v>
      </c>
    </row>
    <row r="5" spans="1:34" x14ac:dyDescent="0.25">
      <c r="A5" s="5">
        <v>3</v>
      </c>
      <c r="B5" s="5" t="s">
        <v>18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f t="shared" si="0"/>
        <v>0</v>
      </c>
    </row>
    <row r="6" spans="1:34" x14ac:dyDescent="0.25">
      <c r="A6" s="5">
        <v>4</v>
      </c>
      <c r="B6" s="5" t="s">
        <v>19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f t="shared" si="0"/>
        <v>0</v>
      </c>
    </row>
    <row r="7" spans="1:34" x14ac:dyDescent="0.25">
      <c r="A7" s="5">
        <v>5</v>
      </c>
      <c r="B7" s="5" t="s">
        <v>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f t="shared" si="0"/>
        <v>0</v>
      </c>
    </row>
    <row r="8" spans="1:34" x14ac:dyDescent="0.25">
      <c r="A8" s="5">
        <v>6</v>
      </c>
      <c r="B8" s="5" t="s">
        <v>21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f t="shared" si="0"/>
        <v>0</v>
      </c>
    </row>
    <row r="9" spans="1:34" x14ac:dyDescent="0.25">
      <c r="A9" s="5">
        <v>7</v>
      </c>
      <c r="B9" s="5" t="s">
        <v>22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f t="shared" si="0"/>
        <v>0</v>
      </c>
    </row>
    <row r="10" spans="1:34" x14ac:dyDescent="0.25">
      <c r="A10" s="5">
        <v>8</v>
      </c>
      <c r="B10" s="5" t="s">
        <v>23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f t="shared" si="0"/>
        <v>0</v>
      </c>
    </row>
    <row r="11" spans="1:34" x14ac:dyDescent="0.25">
      <c r="A11" s="5">
        <v>9</v>
      </c>
      <c r="B11" s="5" t="s">
        <v>24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f t="shared" si="0"/>
        <v>0</v>
      </c>
    </row>
    <row r="12" spans="1:34" x14ac:dyDescent="0.25">
      <c r="A12" s="5">
        <v>10</v>
      </c>
      <c r="B12" s="5" t="s">
        <v>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f t="shared" si="0"/>
        <v>0</v>
      </c>
    </row>
    <row r="13" spans="1:34" x14ac:dyDescent="0.25">
      <c r="A13" s="5">
        <v>11</v>
      </c>
      <c r="B13" s="5" t="s">
        <v>26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f t="shared" si="0"/>
        <v>0</v>
      </c>
    </row>
    <row r="14" spans="1:34" x14ac:dyDescent="0.25">
      <c r="A14" s="5">
        <v>12</v>
      </c>
      <c r="B14" s="5" t="s">
        <v>27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f>SUM(C14:AG14)</f>
        <v>0</v>
      </c>
    </row>
    <row r="15" spans="1:34" x14ac:dyDescent="0.25">
      <c r="A15" s="5">
        <v>13</v>
      </c>
      <c r="B15" s="5" t="s">
        <v>28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x14ac:dyDescent="0.25">
      <c r="A16" s="5">
        <v>14</v>
      </c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x14ac:dyDescent="0.25">
      <c r="A17" s="5">
        <v>15</v>
      </c>
      <c r="B17" s="5" t="s">
        <v>30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f t="shared" si="0"/>
        <v>0</v>
      </c>
    </row>
    <row r="18" spans="1:34" x14ac:dyDescent="0.25">
      <c r="A18" s="5">
        <v>16</v>
      </c>
      <c r="B18" s="5" t="s">
        <v>31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f t="shared" si="0"/>
        <v>0</v>
      </c>
    </row>
    <row r="19" spans="1:34" x14ac:dyDescent="0.25">
      <c r="A19" s="5">
        <v>17</v>
      </c>
      <c r="B19" s="5" t="s">
        <v>32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f t="shared" si="0"/>
        <v>0</v>
      </c>
    </row>
    <row r="20" spans="1:34" x14ac:dyDescent="0.25">
      <c r="A20" s="5">
        <v>18</v>
      </c>
      <c r="B20" s="5" t="s">
        <v>33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25">
      <c r="A21" s="5">
        <v>19</v>
      </c>
      <c r="B21" s="5" t="s">
        <v>34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25">
      <c r="A22" s="5">
        <v>20</v>
      </c>
      <c r="B22" s="5" t="s">
        <v>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25">
      <c r="A23" s="6">
        <v>21</v>
      </c>
      <c r="B23" s="6" t="s">
        <v>72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f>SUM(C23:AG23)</f>
        <v>0</v>
      </c>
    </row>
  </sheetData>
  <mergeCells count="4">
    <mergeCell ref="A1:A2"/>
    <mergeCell ref="B1:B2"/>
    <mergeCell ref="AH1:AH2"/>
    <mergeCell ref="C1:AG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4"/>
  <sheetViews>
    <sheetView showZeros="0" topLeftCell="A2" workbookViewId="0">
      <selection activeCell="N30" sqref="N30"/>
    </sheetView>
  </sheetViews>
  <sheetFormatPr defaultColWidth="8.85546875" defaultRowHeight="15" x14ac:dyDescent="0.25"/>
  <cols>
    <col min="1" max="1" width="6.5703125" style="8" customWidth="1"/>
    <col min="2" max="2" width="26.28515625" style="8" customWidth="1"/>
    <col min="3" max="34" width="5.28515625" style="8" customWidth="1"/>
    <col min="35" max="16384" width="8.85546875" style="8"/>
  </cols>
  <sheetData>
    <row r="1" spans="1:34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 spans="1:34" x14ac:dyDescent="0.25">
      <c r="A2" s="30" t="s">
        <v>8</v>
      </c>
      <c r="B2" s="30" t="s">
        <v>9</v>
      </c>
      <c r="C2" s="30" t="s">
        <v>13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 t="s">
        <v>5</v>
      </c>
    </row>
    <row r="3" spans="1:34" x14ac:dyDescent="0.25">
      <c r="A3" s="30"/>
      <c r="B3" s="30"/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29</v>
      </c>
      <c r="AF3" s="5">
        <v>30</v>
      </c>
      <c r="AG3" s="5">
        <v>31</v>
      </c>
      <c r="AH3" s="30"/>
    </row>
    <row r="4" spans="1:34" x14ac:dyDescent="0.25">
      <c r="A4" s="5">
        <v>1</v>
      </c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>
        <f>SUM(C4:AG4)</f>
        <v>0</v>
      </c>
    </row>
    <row r="5" spans="1:34" x14ac:dyDescent="0.25">
      <c r="A5" s="5">
        <v>2</v>
      </c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f t="shared" ref="AH5:AH18" si="0">SUM(C5:AG5)</f>
        <v>0</v>
      </c>
    </row>
    <row r="6" spans="1:34" x14ac:dyDescent="0.25">
      <c r="A6" s="5">
        <v>3</v>
      </c>
      <c r="B6" s="5" t="s">
        <v>18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f t="shared" si="0"/>
        <v>0</v>
      </c>
    </row>
    <row r="7" spans="1:34" x14ac:dyDescent="0.25">
      <c r="A7" s="5">
        <v>4</v>
      </c>
      <c r="B7" s="5" t="s">
        <v>19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f t="shared" si="0"/>
        <v>0</v>
      </c>
    </row>
    <row r="8" spans="1:34" x14ac:dyDescent="0.25">
      <c r="A8" s="5">
        <v>5</v>
      </c>
      <c r="B8" s="5" t="s">
        <v>20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f t="shared" si="0"/>
        <v>0</v>
      </c>
    </row>
    <row r="9" spans="1:34" x14ac:dyDescent="0.25">
      <c r="A9" s="5">
        <v>6</v>
      </c>
      <c r="B9" s="5" t="s">
        <v>21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f t="shared" si="0"/>
        <v>0</v>
      </c>
    </row>
    <row r="10" spans="1:34" x14ac:dyDescent="0.25">
      <c r="A10" s="5">
        <v>7</v>
      </c>
      <c r="B10" s="5" t="s">
        <v>22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f t="shared" si="0"/>
        <v>0</v>
      </c>
    </row>
    <row r="11" spans="1:34" x14ac:dyDescent="0.25">
      <c r="A11" s="5">
        <v>8</v>
      </c>
      <c r="B11" s="5" t="s">
        <v>23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f t="shared" si="0"/>
        <v>0</v>
      </c>
    </row>
    <row r="12" spans="1:34" x14ac:dyDescent="0.25">
      <c r="A12" s="5">
        <v>9</v>
      </c>
      <c r="B12" s="5" t="s">
        <v>24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f t="shared" si="0"/>
        <v>0</v>
      </c>
    </row>
    <row r="13" spans="1:34" x14ac:dyDescent="0.25">
      <c r="A13" s="5">
        <v>10</v>
      </c>
      <c r="B13" s="5" t="s">
        <v>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f t="shared" si="0"/>
        <v>0</v>
      </c>
    </row>
    <row r="14" spans="1:34" x14ac:dyDescent="0.25">
      <c r="A14" s="5">
        <v>11</v>
      </c>
      <c r="B14" s="5" t="s">
        <v>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f t="shared" si="0"/>
        <v>0</v>
      </c>
    </row>
    <row r="15" spans="1:34" x14ac:dyDescent="0.25">
      <c r="A15" s="5">
        <v>12</v>
      </c>
      <c r="B15" s="5" t="s">
        <v>27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f t="shared" si="0"/>
        <v>0</v>
      </c>
    </row>
    <row r="16" spans="1:34" x14ac:dyDescent="0.25">
      <c r="A16" s="5">
        <v>13</v>
      </c>
      <c r="B16" s="5" t="s">
        <v>28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f t="shared" si="0"/>
        <v>0</v>
      </c>
    </row>
    <row r="17" spans="1:34" x14ac:dyDescent="0.25">
      <c r="A17" s="5">
        <v>14</v>
      </c>
      <c r="B17" s="5" t="s">
        <v>29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f t="shared" si="0"/>
        <v>0</v>
      </c>
    </row>
    <row r="18" spans="1:34" x14ac:dyDescent="0.25">
      <c r="A18" s="5">
        <v>15</v>
      </c>
      <c r="B18" s="5" t="s">
        <v>30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f t="shared" si="0"/>
        <v>0</v>
      </c>
    </row>
    <row r="19" spans="1:34" x14ac:dyDescent="0.25">
      <c r="A19" s="5">
        <v>16</v>
      </c>
      <c r="B19" s="5" t="s">
        <v>31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x14ac:dyDescent="0.25">
      <c r="A20" s="5">
        <v>17</v>
      </c>
      <c r="B20" s="5" t="s">
        <v>32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x14ac:dyDescent="0.25">
      <c r="A21" s="5">
        <v>18</v>
      </c>
      <c r="B21" s="5" t="s">
        <v>33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x14ac:dyDescent="0.25">
      <c r="A22" s="5">
        <v>19</v>
      </c>
      <c r="B22" s="5" t="s">
        <v>34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x14ac:dyDescent="0.25">
      <c r="A23" s="5">
        <v>20</v>
      </c>
      <c r="B23" s="5" t="s">
        <v>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x14ac:dyDescent="0.25">
      <c r="A24" s="5">
        <v>21</v>
      </c>
      <c r="B24" s="5" t="s">
        <v>72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f>SUM(C24:AG24)</f>
        <v>0</v>
      </c>
    </row>
  </sheetData>
  <mergeCells count="5">
    <mergeCell ref="A1:AH1"/>
    <mergeCell ref="A2:A3"/>
    <mergeCell ref="B2:B3"/>
    <mergeCell ref="C2:AG2"/>
    <mergeCell ref="AH2:A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2"/>
  <sheetViews>
    <sheetView showZeros="0" zoomScale="130" zoomScaleNormal="130" workbookViewId="0">
      <selection activeCell="O11" sqref="O11"/>
    </sheetView>
  </sheetViews>
  <sheetFormatPr defaultColWidth="8.85546875" defaultRowHeight="15" x14ac:dyDescent="0.25"/>
  <cols>
    <col min="1" max="1" width="6.5703125" style="8" customWidth="1"/>
    <col min="2" max="2" width="24.28515625" style="8" customWidth="1"/>
    <col min="3" max="34" width="5.28515625" style="8" customWidth="1"/>
    <col min="35" max="16384" width="8.85546875" style="8"/>
  </cols>
  <sheetData>
    <row r="1" spans="1:34" x14ac:dyDescent="0.25">
      <c r="A1" s="30" t="s">
        <v>8</v>
      </c>
      <c r="B1" s="30" t="s">
        <v>9</v>
      </c>
      <c r="C1" s="30" t="s">
        <v>12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 t="s">
        <v>5</v>
      </c>
    </row>
    <row r="2" spans="1:34" x14ac:dyDescent="0.25">
      <c r="A2" s="30"/>
      <c r="B2" s="30"/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5">
        <v>31</v>
      </c>
      <c r="AH2" s="30"/>
    </row>
    <row r="3" spans="1:34" x14ac:dyDescent="0.25">
      <c r="A3" s="5">
        <v>1</v>
      </c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>
        <f>SUM(C3:AG3)</f>
        <v>0</v>
      </c>
    </row>
    <row r="4" spans="1:34" x14ac:dyDescent="0.25">
      <c r="A4" s="5">
        <v>2</v>
      </c>
      <c r="B4" s="5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>
        <f t="shared" ref="AH4:AH18" si="0">SUM(C4:AG4)</f>
        <v>0</v>
      </c>
    </row>
    <row r="5" spans="1:34" x14ac:dyDescent="0.25">
      <c r="A5" s="5">
        <v>3</v>
      </c>
      <c r="B5" s="5" t="s">
        <v>18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f t="shared" si="0"/>
        <v>0</v>
      </c>
    </row>
    <row r="6" spans="1:34" x14ac:dyDescent="0.25">
      <c r="A6" s="5">
        <v>4</v>
      </c>
      <c r="B6" s="5" t="s">
        <v>19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f t="shared" si="0"/>
        <v>0</v>
      </c>
    </row>
    <row r="7" spans="1:34" x14ac:dyDescent="0.25">
      <c r="A7" s="5">
        <v>5</v>
      </c>
      <c r="B7" s="5" t="s">
        <v>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f t="shared" si="0"/>
        <v>0</v>
      </c>
    </row>
    <row r="8" spans="1:34" x14ac:dyDescent="0.25">
      <c r="A8" s="5">
        <v>6</v>
      </c>
      <c r="B8" s="5" t="s">
        <v>21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f t="shared" si="0"/>
        <v>0</v>
      </c>
    </row>
    <row r="9" spans="1:34" x14ac:dyDescent="0.25">
      <c r="A9" s="5">
        <v>7</v>
      </c>
      <c r="B9" s="5" t="s">
        <v>22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f t="shared" si="0"/>
        <v>0</v>
      </c>
    </row>
    <row r="10" spans="1:34" x14ac:dyDescent="0.25">
      <c r="A10" s="5">
        <v>8</v>
      </c>
      <c r="B10" s="5" t="s">
        <v>23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f t="shared" si="0"/>
        <v>0</v>
      </c>
    </row>
    <row r="11" spans="1:34" x14ac:dyDescent="0.25">
      <c r="A11" s="5">
        <v>9</v>
      </c>
      <c r="B11" s="5" t="s">
        <v>24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f t="shared" si="0"/>
        <v>0</v>
      </c>
    </row>
    <row r="12" spans="1:34" x14ac:dyDescent="0.25">
      <c r="A12" s="5">
        <v>10</v>
      </c>
      <c r="B12" s="5" t="s">
        <v>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f t="shared" si="0"/>
        <v>0</v>
      </c>
    </row>
    <row r="13" spans="1:34" x14ac:dyDescent="0.25">
      <c r="A13" s="5">
        <v>11</v>
      </c>
      <c r="B13" s="5" t="s">
        <v>26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f t="shared" si="0"/>
        <v>0</v>
      </c>
    </row>
    <row r="14" spans="1:34" x14ac:dyDescent="0.25">
      <c r="A14" s="5">
        <v>12</v>
      </c>
      <c r="B14" s="5" t="s">
        <v>27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f t="shared" si="0"/>
        <v>0</v>
      </c>
    </row>
    <row r="15" spans="1:34" x14ac:dyDescent="0.25">
      <c r="A15" s="5">
        <v>13</v>
      </c>
      <c r="B15" s="5" t="s">
        <v>28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f t="shared" si="0"/>
        <v>0</v>
      </c>
    </row>
    <row r="16" spans="1:34" x14ac:dyDescent="0.25">
      <c r="A16" s="5">
        <v>14</v>
      </c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f t="shared" si="0"/>
        <v>0</v>
      </c>
    </row>
    <row r="17" spans="1:34" x14ac:dyDescent="0.25">
      <c r="A17" s="5">
        <v>15</v>
      </c>
      <c r="B17" s="5" t="s">
        <v>30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f t="shared" si="0"/>
        <v>0</v>
      </c>
    </row>
    <row r="18" spans="1:34" x14ac:dyDescent="0.25">
      <c r="A18" s="5">
        <v>16</v>
      </c>
      <c r="B18" s="5" t="s">
        <v>31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f t="shared" si="0"/>
        <v>0</v>
      </c>
    </row>
    <row r="19" spans="1:34" x14ac:dyDescent="0.25">
      <c r="A19" s="5"/>
      <c r="B19" s="5" t="s">
        <v>32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x14ac:dyDescent="0.25">
      <c r="A20" s="5"/>
      <c r="B20" s="5" t="s">
        <v>33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x14ac:dyDescent="0.25">
      <c r="A21" s="5"/>
      <c r="B21" s="5" t="s">
        <v>34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x14ac:dyDescent="0.25">
      <c r="A22" s="5"/>
      <c r="B22" s="5" t="s">
        <v>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</sheetData>
  <mergeCells count="4">
    <mergeCell ref="A1:A2"/>
    <mergeCell ref="B1:B2"/>
    <mergeCell ref="C1:AG1"/>
    <mergeCell ref="AH1:A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1F44-131D-46D9-8F20-A11BD47AE60F}">
  <dimension ref="A1:H50"/>
  <sheetViews>
    <sheetView tabSelected="1" topLeftCell="A4" workbookViewId="0">
      <selection activeCell="M14" sqref="M14"/>
    </sheetView>
  </sheetViews>
  <sheetFormatPr defaultRowHeight="15" x14ac:dyDescent="0.25"/>
  <cols>
    <col min="1" max="1" width="15.7109375" style="17" customWidth="1"/>
    <col min="2" max="2" width="20.7109375" style="17" customWidth="1"/>
    <col min="3" max="3" width="16.5703125" style="17" customWidth="1"/>
    <col min="4" max="5" width="15.7109375" style="17" customWidth="1"/>
    <col min="6" max="6" width="21.5703125" style="17" customWidth="1"/>
    <col min="7" max="7" width="28" style="13" customWidth="1"/>
    <col min="8" max="16384" width="9.140625" style="13"/>
  </cols>
  <sheetData>
    <row r="1" spans="1:8" x14ac:dyDescent="0.25">
      <c r="A1" s="21" t="s">
        <v>17</v>
      </c>
      <c r="B1" s="21" t="s">
        <v>16</v>
      </c>
      <c r="C1" s="21" t="s">
        <v>35</v>
      </c>
      <c r="D1" s="21" t="s">
        <v>0</v>
      </c>
      <c r="E1" s="21" t="s">
        <v>1</v>
      </c>
      <c r="F1" s="21" t="s">
        <v>15</v>
      </c>
      <c r="G1" s="22" t="s">
        <v>37</v>
      </c>
      <c r="H1" s="12"/>
    </row>
    <row r="2" spans="1:8" x14ac:dyDescent="0.25">
      <c r="A2" s="35">
        <v>46055</v>
      </c>
      <c r="B2" s="15" t="s">
        <v>14</v>
      </c>
      <c r="C2" s="15"/>
      <c r="D2" s="15"/>
      <c r="E2" s="15">
        <v>2</v>
      </c>
      <c r="F2" s="15" t="s">
        <v>39</v>
      </c>
      <c r="G2" s="16"/>
    </row>
    <row r="3" spans="1:8" x14ac:dyDescent="0.25">
      <c r="A3" s="35"/>
      <c r="B3" s="15" t="s">
        <v>40</v>
      </c>
      <c r="C3" s="14"/>
      <c r="D3" s="15">
        <v>2</v>
      </c>
      <c r="E3" s="15"/>
      <c r="F3" s="15" t="s">
        <v>39</v>
      </c>
      <c r="G3" s="16"/>
    </row>
    <row r="4" spans="1:8" x14ac:dyDescent="0.25">
      <c r="A4" s="35"/>
      <c r="B4" s="15" t="s">
        <v>41</v>
      </c>
      <c r="C4" s="15"/>
      <c r="D4" s="15"/>
      <c r="E4" s="15">
        <v>1</v>
      </c>
      <c r="F4" s="15" t="s">
        <v>39</v>
      </c>
      <c r="G4" s="16"/>
    </row>
    <row r="5" spans="1:8" x14ac:dyDescent="0.25">
      <c r="A5" s="35"/>
      <c r="B5" s="15" t="s">
        <v>42</v>
      </c>
      <c r="C5" s="15"/>
      <c r="D5" s="15"/>
      <c r="E5" s="15">
        <v>6</v>
      </c>
      <c r="F5" s="15" t="s">
        <v>45</v>
      </c>
      <c r="G5" s="16"/>
    </row>
    <row r="6" spans="1:8" x14ac:dyDescent="0.25">
      <c r="A6" s="35">
        <v>46056</v>
      </c>
      <c r="B6" s="15" t="s">
        <v>43</v>
      </c>
      <c r="C6" s="15"/>
      <c r="D6" s="15"/>
      <c r="E6" s="15">
        <v>10</v>
      </c>
      <c r="F6" s="15" t="s">
        <v>46</v>
      </c>
      <c r="G6" s="16"/>
    </row>
    <row r="7" spans="1:8" x14ac:dyDescent="0.25">
      <c r="A7" s="35"/>
      <c r="B7" s="15" t="s">
        <v>44</v>
      </c>
      <c r="C7" s="15"/>
      <c r="D7" s="15"/>
      <c r="E7" s="15">
        <v>10</v>
      </c>
      <c r="F7" s="15" t="s">
        <v>45</v>
      </c>
      <c r="G7" s="16"/>
    </row>
    <row r="8" spans="1:8" x14ac:dyDescent="0.25">
      <c r="A8" s="35">
        <v>46057</v>
      </c>
      <c r="B8" s="14" t="s">
        <v>47</v>
      </c>
      <c r="C8" s="14"/>
      <c r="D8" s="15"/>
      <c r="E8" s="15">
        <v>1</v>
      </c>
      <c r="F8" s="15" t="s">
        <v>46</v>
      </c>
      <c r="G8" s="16"/>
    </row>
    <row r="9" spans="1:8" x14ac:dyDescent="0.25">
      <c r="A9" s="35"/>
      <c r="B9" s="15" t="s">
        <v>40</v>
      </c>
      <c r="C9" s="15"/>
      <c r="D9" s="15">
        <v>1</v>
      </c>
      <c r="E9" s="15"/>
      <c r="F9" s="15" t="s">
        <v>46</v>
      </c>
      <c r="G9" s="16"/>
    </row>
    <row r="10" spans="1:8" x14ac:dyDescent="0.25">
      <c r="A10" s="35">
        <v>46058</v>
      </c>
      <c r="B10" s="15" t="s">
        <v>48</v>
      </c>
      <c r="C10" s="15"/>
      <c r="D10" s="15"/>
      <c r="E10" s="15">
        <v>10</v>
      </c>
      <c r="F10" s="15" t="s">
        <v>49</v>
      </c>
      <c r="G10" s="16"/>
    </row>
    <row r="11" spans="1:8" x14ac:dyDescent="0.25">
      <c r="A11" s="35"/>
      <c r="B11" s="15" t="s">
        <v>50</v>
      </c>
      <c r="C11" s="15"/>
      <c r="D11" s="18"/>
      <c r="E11" s="18">
        <v>20</v>
      </c>
      <c r="F11" s="18" t="s">
        <v>52</v>
      </c>
      <c r="G11" s="16"/>
    </row>
    <row r="12" spans="1:8" x14ac:dyDescent="0.25">
      <c r="A12" s="35">
        <v>46059</v>
      </c>
      <c r="B12" s="15" t="s">
        <v>53</v>
      </c>
      <c r="C12" s="15"/>
      <c r="D12" s="15"/>
      <c r="E12" s="15">
        <v>1</v>
      </c>
      <c r="F12" s="18" t="s">
        <v>52</v>
      </c>
      <c r="G12" s="16"/>
    </row>
    <row r="13" spans="1:8" x14ac:dyDescent="0.25">
      <c r="A13" s="35"/>
      <c r="B13" s="15" t="s">
        <v>51</v>
      </c>
      <c r="C13" s="15"/>
      <c r="D13" s="15"/>
      <c r="E13" s="15">
        <v>10</v>
      </c>
      <c r="F13" s="18" t="s">
        <v>52</v>
      </c>
      <c r="G13" s="16"/>
    </row>
    <row r="14" spans="1:8" x14ac:dyDescent="0.25">
      <c r="A14" s="14">
        <v>46060</v>
      </c>
      <c r="B14" s="15" t="s">
        <v>54</v>
      </c>
      <c r="C14" s="15"/>
      <c r="D14" s="15"/>
      <c r="E14" s="15">
        <v>6</v>
      </c>
      <c r="F14" s="18" t="s">
        <v>55</v>
      </c>
      <c r="G14" s="16"/>
    </row>
    <row r="15" spans="1:8" x14ac:dyDescent="0.25">
      <c r="A15" s="35">
        <v>46062</v>
      </c>
      <c r="B15" s="15" t="s">
        <v>50</v>
      </c>
      <c r="C15" s="15"/>
      <c r="D15" s="15"/>
      <c r="E15" s="15">
        <v>20</v>
      </c>
      <c r="F15" s="18" t="s">
        <v>56</v>
      </c>
      <c r="G15" s="16"/>
    </row>
    <row r="16" spans="1:8" ht="30" x14ac:dyDescent="0.25">
      <c r="A16" s="35"/>
      <c r="B16" s="15" t="s">
        <v>42</v>
      </c>
      <c r="C16" s="15"/>
      <c r="D16" s="15"/>
      <c r="E16" s="15">
        <v>12</v>
      </c>
      <c r="F16" s="15" t="s">
        <v>58</v>
      </c>
      <c r="G16" s="16"/>
    </row>
    <row r="17" spans="1:7" x14ac:dyDescent="0.25">
      <c r="A17" s="14">
        <v>46063</v>
      </c>
      <c r="B17" s="15" t="s">
        <v>57</v>
      </c>
      <c r="C17" s="15"/>
      <c r="D17" s="15"/>
      <c r="E17" s="15">
        <v>10</v>
      </c>
      <c r="F17" s="18" t="s">
        <v>59</v>
      </c>
      <c r="G17" s="16"/>
    </row>
    <row r="18" spans="1:7" x14ac:dyDescent="0.25">
      <c r="A18" s="14">
        <v>46064</v>
      </c>
      <c r="B18" s="15" t="s">
        <v>60</v>
      </c>
      <c r="C18" s="15"/>
      <c r="D18" s="15"/>
      <c r="E18" s="15">
        <v>6</v>
      </c>
      <c r="F18" s="18" t="s">
        <v>61</v>
      </c>
      <c r="G18" s="16"/>
    </row>
    <row r="19" spans="1:7" x14ac:dyDescent="0.25">
      <c r="A19" s="35">
        <v>46065</v>
      </c>
      <c r="B19" s="15" t="s">
        <v>62</v>
      </c>
      <c r="C19" s="15"/>
      <c r="D19" s="15">
        <v>12</v>
      </c>
      <c r="E19" s="15"/>
      <c r="F19" s="18" t="s">
        <v>63</v>
      </c>
      <c r="G19" s="16"/>
    </row>
    <row r="20" spans="1:7" x14ac:dyDescent="0.25">
      <c r="A20" s="35"/>
      <c r="B20" s="15" t="s">
        <v>50</v>
      </c>
      <c r="C20" s="15"/>
      <c r="D20" s="15"/>
      <c r="E20" s="15">
        <v>10</v>
      </c>
      <c r="F20" s="18" t="s">
        <v>63</v>
      </c>
      <c r="G20" s="16"/>
    </row>
    <row r="21" spans="1:7" x14ac:dyDescent="0.25">
      <c r="A21" s="32">
        <v>46076</v>
      </c>
      <c r="B21" s="15" t="s">
        <v>64</v>
      </c>
      <c r="C21" s="15"/>
      <c r="D21" s="15"/>
      <c r="E21" s="15">
        <v>1</v>
      </c>
      <c r="F21" s="18" t="s">
        <v>66</v>
      </c>
      <c r="G21" s="16"/>
    </row>
    <row r="22" spans="1:7" x14ac:dyDescent="0.25">
      <c r="A22" s="34"/>
      <c r="B22" s="15" t="s">
        <v>65</v>
      </c>
      <c r="C22" s="15"/>
      <c r="D22" s="15"/>
      <c r="E22" s="15">
        <v>1</v>
      </c>
      <c r="F22" s="18" t="s">
        <v>66</v>
      </c>
      <c r="G22" s="16"/>
    </row>
    <row r="23" spans="1:7" x14ac:dyDescent="0.25">
      <c r="A23" s="33"/>
      <c r="B23" s="15" t="s">
        <v>67</v>
      </c>
      <c r="C23" s="15"/>
      <c r="D23" s="15"/>
      <c r="E23" s="15">
        <v>3</v>
      </c>
      <c r="F23" s="18" t="s">
        <v>66</v>
      </c>
      <c r="G23" s="16"/>
    </row>
    <row r="24" spans="1:7" x14ac:dyDescent="0.25">
      <c r="A24" s="32">
        <v>46077</v>
      </c>
      <c r="B24" s="15" t="s">
        <v>50</v>
      </c>
      <c r="C24" s="15"/>
      <c r="D24" s="15"/>
      <c r="E24" s="15">
        <v>10</v>
      </c>
      <c r="F24" s="18" t="s">
        <v>68</v>
      </c>
      <c r="G24" s="16"/>
    </row>
    <row r="25" spans="1:7" x14ac:dyDescent="0.25">
      <c r="A25" s="34"/>
      <c r="B25" s="15" t="s">
        <v>64</v>
      </c>
      <c r="C25" s="15"/>
      <c r="D25" s="15"/>
      <c r="E25" s="15">
        <v>1</v>
      </c>
      <c r="F25" s="18" t="s">
        <v>68</v>
      </c>
      <c r="G25" s="16"/>
    </row>
    <row r="26" spans="1:7" x14ac:dyDescent="0.25">
      <c r="A26" s="33"/>
      <c r="B26" s="15" t="s">
        <v>14</v>
      </c>
      <c r="C26" s="15"/>
      <c r="D26" s="15"/>
      <c r="E26" s="15">
        <v>2</v>
      </c>
      <c r="F26" s="18" t="s">
        <v>68</v>
      </c>
      <c r="G26" s="16"/>
    </row>
    <row r="27" spans="1:7" ht="30" x14ac:dyDescent="0.25">
      <c r="A27" s="32">
        <v>46078</v>
      </c>
      <c r="B27" s="15" t="s">
        <v>62</v>
      </c>
      <c r="C27" s="15"/>
      <c r="D27" s="15">
        <v>20</v>
      </c>
      <c r="E27" s="15">
        <v>100</v>
      </c>
      <c r="F27" s="15" t="s">
        <v>69</v>
      </c>
      <c r="G27" s="16" t="s">
        <v>75</v>
      </c>
    </row>
    <row r="28" spans="1:7" x14ac:dyDescent="0.25">
      <c r="A28" s="33"/>
      <c r="B28" s="15" t="s">
        <v>50</v>
      </c>
      <c r="C28" s="15"/>
      <c r="D28" s="15"/>
      <c r="E28" s="15">
        <v>30</v>
      </c>
      <c r="F28" s="18" t="s">
        <v>70</v>
      </c>
      <c r="G28" s="16"/>
    </row>
    <row r="29" spans="1:7" x14ac:dyDescent="0.25">
      <c r="A29" s="32">
        <v>46079</v>
      </c>
      <c r="B29" s="15" t="s">
        <v>64</v>
      </c>
      <c r="C29" s="15"/>
      <c r="D29" s="15">
        <v>3</v>
      </c>
      <c r="E29" s="15">
        <v>5</v>
      </c>
      <c r="F29" s="18" t="s">
        <v>70</v>
      </c>
      <c r="G29" s="16"/>
    </row>
    <row r="30" spans="1:7" x14ac:dyDescent="0.25">
      <c r="A30" s="34"/>
      <c r="B30" s="15" t="s">
        <v>71</v>
      </c>
      <c r="C30" s="15"/>
      <c r="D30" s="15"/>
      <c r="E30" s="15">
        <v>1</v>
      </c>
      <c r="F30" s="18" t="s">
        <v>70</v>
      </c>
      <c r="G30" s="16"/>
    </row>
    <row r="31" spans="1:7" x14ac:dyDescent="0.25">
      <c r="A31" s="33"/>
      <c r="B31" s="15" t="s">
        <v>50</v>
      </c>
      <c r="C31" s="15"/>
      <c r="D31" s="15"/>
      <c r="E31" s="15">
        <v>20</v>
      </c>
      <c r="F31" s="18" t="s">
        <v>69</v>
      </c>
      <c r="G31" s="16"/>
    </row>
    <row r="32" spans="1:7" x14ac:dyDescent="0.25">
      <c r="A32" s="14">
        <v>46080</v>
      </c>
      <c r="B32" s="15" t="s">
        <v>48</v>
      </c>
      <c r="C32" s="15"/>
      <c r="D32" s="15"/>
      <c r="E32" s="15">
        <v>30</v>
      </c>
      <c r="F32" s="15" t="s">
        <v>69</v>
      </c>
      <c r="G32" s="16" t="s">
        <v>74</v>
      </c>
    </row>
    <row r="33" spans="1:7" x14ac:dyDescent="0.25">
      <c r="A33" s="32">
        <v>46083</v>
      </c>
      <c r="B33" s="15" t="s">
        <v>48</v>
      </c>
      <c r="C33" s="15"/>
      <c r="D33" s="15"/>
      <c r="E33" s="15">
        <v>10</v>
      </c>
      <c r="F33" s="15" t="s">
        <v>69</v>
      </c>
      <c r="G33" s="16"/>
    </row>
    <row r="34" spans="1:7" x14ac:dyDescent="0.25">
      <c r="A34" s="34"/>
      <c r="B34" s="15" t="s">
        <v>50</v>
      </c>
      <c r="C34" s="15"/>
      <c r="D34" s="15"/>
      <c r="E34" s="15">
        <v>10</v>
      </c>
      <c r="F34" s="15" t="s">
        <v>69</v>
      </c>
      <c r="G34" s="16"/>
    </row>
    <row r="35" spans="1:7" x14ac:dyDescent="0.25">
      <c r="A35" s="34"/>
      <c r="B35" s="15" t="s">
        <v>14</v>
      </c>
      <c r="C35" s="15"/>
      <c r="D35" s="15"/>
      <c r="E35" s="15">
        <v>2</v>
      </c>
      <c r="F35" s="15" t="s">
        <v>69</v>
      </c>
      <c r="G35" s="16"/>
    </row>
    <row r="36" spans="1:7" x14ac:dyDescent="0.25">
      <c r="A36" s="34"/>
      <c r="B36" s="15" t="s">
        <v>76</v>
      </c>
      <c r="C36" s="15"/>
      <c r="D36" s="15"/>
      <c r="E36" s="15">
        <v>30</v>
      </c>
      <c r="F36" s="15" t="s">
        <v>69</v>
      </c>
      <c r="G36" s="16"/>
    </row>
    <row r="37" spans="1:7" x14ac:dyDescent="0.25">
      <c r="A37" s="33"/>
      <c r="B37" s="15" t="s">
        <v>77</v>
      </c>
      <c r="C37" s="15"/>
      <c r="D37" s="15"/>
      <c r="E37" s="15">
        <v>1</v>
      </c>
      <c r="F37" s="15" t="s">
        <v>69</v>
      </c>
      <c r="G37" s="16"/>
    </row>
    <row r="38" spans="1:7" x14ac:dyDescent="0.25">
      <c r="A38" s="14"/>
      <c r="B38" s="15"/>
      <c r="C38" s="15"/>
      <c r="D38" s="15"/>
      <c r="E38" s="15"/>
      <c r="F38" s="15"/>
      <c r="G38" s="16"/>
    </row>
    <row r="39" spans="1:7" x14ac:dyDescent="0.25">
      <c r="A39" s="14"/>
      <c r="B39" s="15"/>
      <c r="C39" s="15"/>
      <c r="D39" s="15"/>
      <c r="E39" s="15"/>
      <c r="F39" s="15"/>
      <c r="G39" s="16"/>
    </row>
    <row r="40" spans="1:7" x14ac:dyDescent="0.25">
      <c r="A40" s="14"/>
      <c r="B40" s="15"/>
      <c r="C40" s="15"/>
      <c r="D40" s="15"/>
      <c r="E40" s="15"/>
      <c r="F40" s="15"/>
      <c r="G40" s="16"/>
    </row>
    <row r="41" spans="1:7" x14ac:dyDescent="0.25">
      <c r="A41" s="14"/>
      <c r="B41" s="15"/>
      <c r="C41" s="15"/>
      <c r="D41" s="15"/>
      <c r="E41" s="15"/>
      <c r="F41" s="15"/>
      <c r="G41" s="16"/>
    </row>
    <row r="42" spans="1:7" x14ac:dyDescent="0.25">
      <c r="A42" s="14"/>
      <c r="B42" s="15"/>
      <c r="C42" s="15"/>
      <c r="D42" s="15"/>
      <c r="E42" s="15"/>
      <c r="F42" s="15"/>
      <c r="G42" s="16"/>
    </row>
    <row r="43" spans="1:7" x14ac:dyDescent="0.25">
      <c r="A43" s="15"/>
      <c r="B43" s="15"/>
      <c r="C43" s="15"/>
      <c r="D43" s="15"/>
      <c r="E43" s="15"/>
      <c r="F43" s="15"/>
      <c r="G43" s="16"/>
    </row>
    <row r="44" spans="1:7" x14ac:dyDescent="0.25">
      <c r="A44" s="15"/>
      <c r="B44" s="15"/>
      <c r="C44" s="15"/>
      <c r="D44" s="15"/>
      <c r="E44" s="15"/>
      <c r="F44" s="15"/>
      <c r="G44" s="16"/>
    </row>
    <row r="45" spans="1:7" x14ac:dyDescent="0.25">
      <c r="A45" s="15"/>
      <c r="B45" s="15"/>
      <c r="C45" s="15"/>
      <c r="D45" s="15"/>
      <c r="E45" s="15"/>
      <c r="F45" s="15"/>
      <c r="G45" s="16"/>
    </row>
    <row r="46" spans="1:7" x14ac:dyDescent="0.25">
      <c r="A46" s="15"/>
      <c r="B46" s="15"/>
      <c r="C46" s="15"/>
      <c r="D46" s="15"/>
      <c r="E46" s="15"/>
      <c r="F46" s="15"/>
      <c r="G46" s="16"/>
    </row>
    <row r="47" spans="1:7" x14ac:dyDescent="0.25">
      <c r="A47" s="15"/>
      <c r="B47" s="15"/>
      <c r="C47" s="15"/>
      <c r="D47" s="15"/>
      <c r="E47" s="15"/>
      <c r="F47" s="15"/>
      <c r="G47" s="16"/>
    </row>
    <row r="48" spans="1:7" x14ac:dyDescent="0.25">
      <c r="A48" s="15"/>
      <c r="B48" s="15"/>
      <c r="C48" s="15"/>
      <c r="D48" s="15"/>
      <c r="E48" s="15"/>
      <c r="F48" s="15"/>
      <c r="G48" s="16"/>
    </row>
    <row r="49" spans="1:7" x14ac:dyDescent="0.25">
      <c r="A49" s="15"/>
      <c r="B49" s="15"/>
      <c r="C49" s="15"/>
      <c r="D49" s="15"/>
      <c r="E49" s="15"/>
      <c r="F49" s="15"/>
      <c r="G49" s="16"/>
    </row>
    <row r="50" spans="1:7" x14ac:dyDescent="0.25">
      <c r="D50" s="17">
        <f>SUM(D2:D32)</f>
        <v>38</v>
      </c>
      <c r="E50" s="17">
        <f>SUM(E2:E32)</f>
        <v>339</v>
      </c>
    </row>
  </sheetData>
  <autoFilter ref="A1:F7" xr:uid="{171653DB-B967-4059-9CE3-FD13B7B63DBC}"/>
  <mergeCells count="12">
    <mergeCell ref="A33:A37"/>
    <mergeCell ref="A15:A16"/>
    <mergeCell ref="A2:A5"/>
    <mergeCell ref="A6:A7"/>
    <mergeCell ref="A8:A9"/>
    <mergeCell ref="A10:A11"/>
    <mergeCell ref="A12:A13"/>
    <mergeCell ref="A27:A28"/>
    <mergeCell ref="A24:A26"/>
    <mergeCell ref="A21:A23"/>
    <mergeCell ref="A19:A20"/>
    <mergeCell ref="A29:A31"/>
  </mergeCells>
  <conditionalFormatting sqref="D2:F1000">
    <cfRule type="expression" dxfId="1" priority="1">
      <formula>ISNUMBER(SEARCH("Đã trả",$F2))</formula>
    </cfRule>
    <cfRule type="expression" dxfId="0" priority="2">
      <formula>ISNUMBER(SEARCH("Chưa trả",$F2))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2FD3-91FF-42CA-8178-C2AD22F246DD}">
  <dimension ref="A1:H20"/>
  <sheetViews>
    <sheetView showZeros="0" zoomScale="145" zoomScaleNormal="145" workbookViewId="0">
      <selection activeCell="K9" sqref="K9"/>
    </sheetView>
  </sheetViews>
  <sheetFormatPr defaultRowHeight="15" x14ac:dyDescent="0.25"/>
  <cols>
    <col min="1" max="1" width="6.42578125" customWidth="1"/>
    <col min="2" max="2" width="22.28515625" customWidth="1"/>
    <col min="4" max="5" width="10.140625" bestFit="1" customWidth="1"/>
    <col min="8" max="8" width="14.42578125" customWidth="1"/>
  </cols>
  <sheetData>
    <row r="1" spans="1:8" ht="15.75" x14ac:dyDescent="0.25">
      <c r="A1" s="23" t="s">
        <v>38</v>
      </c>
      <c r="B1" s="24"/>
      <c r="C1" s="24"/>
      <c r="D1" s="24"/>
      <c r="E1" s="24"/>
      <c r="F1" s="24"/>
      <c r="G1" s="24"/>
      <c r="H1" s="25"/>
    </row>
    <row r="2" spans="1:8" x14ac:dyDescent="0.25">
      <c r="A2" s="19" t="s">
        <v>8</v>
      </c>
      <c r="B2" s="19" t="s">
        <v>9</v>
      </c>
      <c r="C2" s="19" t="s">
        <v>10</v>
      </c>
      <c r="D2" s="19" t="s">
        <v>2</v>
      </c>
      <c r="E2" s="19" t="s">
        <v>3</v>
      </c>
      <c r="F2" s="19" t="s">
        <v>4</v>
      </c>
      <c r="G2" s="20" t="s">
        <v>6</v>
      </c>
      <c r="H2" s="19" t="s">
        <v>11</v>
      </c>
    </row>
    <row r="3" spans="1:8" x14ac:dyDescent="0.25">
      <c r="A3" s="3">
        <v>1</v>
      </c>
      <c r="B3" s="3" t="s">
        <v>0</v>
      </c>
      <c r="C3" s="3">
        <f>SUM('Nhập xuất tồn'!C3)</f>
        <v>2</v>
      </c>
      <c r="D3" s="3">
        <f>SUM('Nhập xuất tồn'!D3)</f>
        <v>0</v>
      </c>
      <c r="E3" s="3">
        <f>SUM('Nhập xuất tồn'!E3)</f>
        <v>0</v>
      </c>
      <c r="F3" s="3">
        <f>SUM(C3+D3-E3)</f>
        <v>2</v>
      </c>
      <c r="G3" s="4">
        <v>1</v>
      </c>
      <c r="H3" s="3">
        <f>SUM(F3-G3)</f>
        <v>1</v>
      </c>
    </row>
    <row r="4" spans="1:8" x14ac:dyDescent="0.25">
      <c r="A4" s="3">
        <v>2</v>
      </c>
      <c r="B4" s="3" t="s">
        <v>1</v>
      </c>
      <c r="C4" s="3">
        <f>SUM('Nhập xuất tồn'!C4)</f>
        <v>120</v>
      </c>
      <c r="D4" s="3">
        <f>SUM('Nhập xuất tồn'!D4)</f>
        <v>72</v>
      </c>
      <c r="E4" s="3">
        <f>SUM('Nhập xuất tồn'!E4)</f>
        <v>0</v>
      </c>
      <c r="F4" s="3">
        <f>SUM(C4+D4-E4)</f>
        <v>192</v>
      </c>
      <c r="G4" s="4">
        <v>14</v>
      </c>
      <c r="H4" s="3">
        <f>SUM(F4-G4)</f>
        <v>178</v>
      </c>
    </row>
    <row r="5" spans="1:8" x14ac:dyDescent="0.25">
      <c r="A5" s="3">
        <v>3</v>
      </c>
      <c r="B5" s="3" t="s">
        <v>18</v>
      </c>
      <c r="C5" s="3">
        <f>SUM('Nhập xuất tồn'!C5)</f>
        <v>0</v>
      </c>
      <c r="D5" s="3">
        <f>Nhập!AH5</f>
        <v>0</v>
      </c>
      <c r="E5" s="3">
        <f>Xuất!AH6+Huỷ!AH5</f>
        <v>0</v>
      </c>
      <c r="F5" s="3">
        <f t="shared" ref="F5:F16" si="0">C5+D5-E5</f>
        <v>0</v>
      </c>
      <c r="G5" s="4">
        <v>0</v>
      </c>
      <c r="H5" s="3">
        <f>SUM(F5-G5)</f>
        <v>0</v>
      </c>
    </row>
    <row r="6" spans="1:8" x14ac:dyDescent="0.25">
      <c r="A6" s="3">
        <v>4</v>
      </c>
      <c r="B6" s="3" t="s">
        <v>19</v>
      </c>
      <c r="C6" s="3">
        <f>SUM('Nhập xuất tồn'!C6)</f>
        <v>0</v>
      </c>
      <c r="D6" s="3">
        <f>Nhập!AH6</f>
        <v>0</v>
      </c>
      <c r="E6" s="3">
        <f>Xuất!AH7</f>
        <v>0</v>
      </c>
      <c r="F6" s="3">
        <f t="shared" si="0"/>
        <v>0</v>
      </c>
      <c r="G6" s="4">
        <v>0</v>
      </c>
      <c r="H6" s="3">
        <f>SUM(F6-G6)</f>
        <v>0</v>
      </c>
    </row>
    <row r="7" spans="1:8" x14ac:dyDescent="0.25">
      <c r="A7" s="3">
        <v>5</v>
      </c>
      <c r="B7" s="3" t="s">
        <v>35</v>
      </c>
      <c r="C7" s="3">
        <f>SUM('Nhập xuất tồn'!C7,'Nhập xuất tồn'!C8,'Nhập xuất tồn'!C9,'Nhập xuất tồn'!C12,'Nhập xuất tồn'!C14)</f>
        <v>1</v>
      </c>
      <c r="D7" s="3">
        <f>SUM('Nhập xuất tồn'!D7,'Nhập xuất tồn'!D8,'Nhập xuất tồn'!D9,'Nhập xuất tồn'!D12,'Nhập xuất tồn'!D14)</f>
        <v>0</v>
      </c>
      <c r="E7" s="3">
        <f>SUM('Nhập xuất tồn'!E7,'Nhập xuất tồn'!E8,'Nhập xuất tồn'!E9,'Nhập xuất tồn'!E12,'Nhập xuất tồn'!E14)</f>
        <v>0</v>
      </c>
      <c r="F7" s="3">
        <f>SUM((C7+D7)-E7)</f>
        <v>1</v>
      </c>
      <c r="G7" s="4">
        <v>0</v>
      </c>
      <c r="H7" s="3">
        <f t="shared" ref="H7:H17" si="1">SUM(F7-G7)</f>
        <v>1</v>
      </c>
    </row>
    <row r="8" spans="1:8" x14ac:dyDescent="0.25">
      <c r="A8" s="3">
        <v>6</v>
      </c>
      <c r="B8" s="3" t="s">
        <v>36</v>
      </c>
      <c r="C8" s="3">
        <f>SUM('Nhập xuất tồn'!C13,'Nhập xuất tồn'!C15)</f>
        <v>0</v>
      </c>
      <c r="D8" s="3">
        <f>SUM('Nhập xuất tồn'!D13,'Nhập xuất tồn'!D15)</f>
        <v>0</v>
      </c>
      <c r="E8" s="3">
        <f>SUM('Nhập xuất tồn'!E13,'Nhập xuất tồn'!E15)</f>
        <v>0</v>
      </c>
      <c r="F8" s="3">
        <f t="shared" si="0"/>
        <v>0</v>
      </c>
      <c r="G8" s="4">
        <v>0</v>
      </c>
      <c r="H8" s="3">
        <f t="shared" si="1"/>
        <v>0</v>
      </c>
    </row>
    <row r="9" spans="1:8" x14ac:dyDescent="0.25">
      <c r="A9" s="3">
        <v>7</v>
      </c>
      <c r="B9" s="3" t="s">
        <v>23</v>
      </c>
      <c r="C9" s="3">
        <f>SUM('Nhập xuất tồn'!C10)</f>
        <v>1</v>
      </c>
      <c r="D9" s="3">
        <f>SUM('Nhập xuất tồn'!D10)</f>
        <v>0</v>
      </c>
      <c r="E9" s="3">
        <f>SUM('Nhập xuất tồn'!E10)</f>
        <v>0</v>
      </c>
      <c r="F9" s="3">
        <f t="shared" si="0"/>
        <v>1</v>
      </c>
      <c r="G9" s="4">
        <v>0</v>
      </c>
      <c r="H9" s="3">
        <f t="shared" si="1"/>
        <v>1</v>
      </c>
    </row>
    <row r="10" spans="1:8" x14ac:dyDescent="0.25">
      <c r="A10" s="3">
        <v>8</v>
      </c>
      <c r="B10" s="3" t="s">
        <v>24</v>
      </c>
      <c r="C10" s="3">
        <f>SUM('Nhập xuất tồn'!C11)</f>
        <v>1</v>
      </c>
      <c r="D10" s="3">
        <f>SUM('Nhập xuất tồn'!D11)</f>
        <v>0</v>
      </c>
      <c r="E10" s="3">
        <f>SUM('Nhập xuất tồn'!E11)</f>
        <v>0</v>
      </c>
      <c r="F10" s="3">
        <f t="shared" si="0"/>
        <v>1</v>
      </c>
      <c r="G10" s="4">
        <v>0</v>
      </c>
      <c r="H10" s="3">
        <f t="shared" si="1"/>
        <v>1</v>
      </c>
    </row>
    <row r="11" spans="1:8" x14ac:dyDescent="0.25">
      <c r="A11" s="3">
        <v>14</v>
      </c>
      <c r="B11" s="3" t="s">
        <v>29</v>
      </c>
      <c r="C11" s="3">
        <f>SUM('Nhập xuất tồn'!C16)</f>
        <v>0</v>
      </c>
      <c r="D11" s="3">
        <f>SUM('Nhập xuất tồn'!D16)</f>
        <v>0</v>
      </c>
      <c r="E11" s="3">
        <f>SUM('Nhập xuất tồn'!E16)</f>
        <v>0</v>
      </c>
      <c r="F11" s="3">
        <f t="shared" si="0"/>
        <v>0</v>
      </c>
      <c r="G11" s="4"/>
      <c r="H11" s="3">
        <f t="shared" si="1"/>
        <v>0</v>
      </c>
    </row>
    <row r="12" spans="1:8" x14ac:dyDescent="0.25">
      <c r="A12" s="3">
        <v>15</v>
      </c>
      <c r="B12" s="3" t="s">
        <v>30</v>
      </c>
      <c r="C12" s="3">
        <f>SUM('Nhập xuất tồn'!C17)</f>
        <v>0</v>
      </c>
      <c r="D12" s="3">
        <f>Nhập!AH17</f>
        <v>0</v>
      </c>
      <c r="E12" s="3">
        <f>SUM('Nhập xuất tồn'!E17)</f>
        <v>0</v>
      </c>
      <c r="F12" s="3">
        <f t="shared" si="0"/>
        <v>0</v>
      </c>
      <c r="G12" s="4"/>
      <c r="H12" s="3">
        <f t="shared" si="1"/>
        <v>0</v>
      </c>
    </row>
    <row r="13" spans="1:8" x14ac:dyDescent="0.25">
      <c r="A13" s="3">
        <v>16</v>
      </c>
      <c r="B13" s="3" t="s">
        <v>31</v>
      </c>
      <c r="C13" s="3">
        <f>SUM('Nhập xuất tồn'!C18)</f>
        <v>0</v>
      </c>
      <c r="D13" s="3">
        <f>Nhập!AH18</f>
        <v>0</v>
      </c>
      <c r="E13" s="3">
        <f>SUM('Nhập xuất tồn'!E18)</f>
        <v>0</v>
      </c>
      <c r="F13" s="3">
        <f t="shared" si="0"/>
        <v>0</v>
      </c>
      <c r="G13" s="4"/>
      <c r="H13" s="3">
        <f t="shared" si="1"/>
        <v>0</v>
      </c>
    </row>
    <row r="14" spans="1:8" x14ac:dyDescent="0.25">
      <c r="A14" s="3">
        <v>17</v>
      </c>
      <c r="B14" s="3" t="s">
        <v>32</v>
      </c>
      <c r="C14" s="3">
        <f>SUM('Nhập xuất tồn'!C19)</f>
        <v>1</v>
      </c>
      <c r="D14" s="3">
        <f>Nhập!AH19</f>
        <v>0</v>
      </c>
      <c r="E14" s="3">
        <f>SUM('Nhập xuất tồn'!E19)</f>
        <v>0</v>
      </c>
      <c r="F14" s="3">
        <f t="shared" si="0"/>
        <v>1</v>
      </c>
      <c r="G14" s="4"/>
      <c r="H14" s="3">
        <f t="shared" si="1"/>
        <v>1</v>
      </c>
    </row>
    <row r="15" spans="1:8" x14ac:dyDescent="0.25">
      <c r="A15" s="3">
        <v>18</v>
      </c>
      <c r="B15" s="3" t="s">
        <v>33</v>
      </c>
      <c r="C15" s="3">
        <f>SUM('Nhập xuất tồn'!C20)</f>
        <v>1</v>
      </c>
      <c r="D15" s="3">
        <f>Nhập!AH20</f>
        <v>0</v>
      </c>
      <c r="E15" s="3">
        <f>SUM('Nhập xuất tồn'!E20)</f>
        <v>0</v>
      </c>
      <c r="F15" s="3">
        <f t="shared" si="0"/>
        <v>1</v>
      </c>
      <c r="G15" s="4"/>
      <c r="H15" s="3">
        <f t="shared" si="1"/>
        <v>1</v>
      </c>
    </row>
    <row r="16" spans="1:8" x14ac:dyDescent="0.25">
      <c r="A16" s="3">
        <v>19</v>
      </c>
      <c r="B16" s="3" t="s">
        <v>34</v>
      </c>
      <c r="C16" s="3">
        <f>SUM('Nhập xuất tồn'!C21)</f>
        <v>0</v>
      </c>
      <c r="D16" s="3">
        <f>Nhập!AH21</f>
        <v>0</v>
      </c>
      <c r="E16" s="3">
        <f>SUM('Nhập xuất tồn'!E21)</f>
        <v>0</v>
      </c>
      <c r="F16" s="3">
        <f t="shared" si="0"/>
        <v>0</v>
      </c>
      <c r="G16" s="4">
        <v>0</v>
      </c>
      <c r="H16" s="3">
        <f t="shared" si="1"/>
        <v>0</v>
      </c>
    </row>
    <row r="17" spans="1:8" x14ac:dyDescent="0.25">
      <c r="A17" s="3">
        <v>20</v>
      </c>
      <c r="B17" s="3" t="s">
        <v>7</v>
      </c>
      <c r="C17" s="3">
        <f>SUM('Nhập xuất tồn'!C22)</f>
        <v>6</v>
      </c>
      <c r="D17" s="3">
        <f>Nhập!AH22</f>
        <v>0</v>
      </c>
      <c r="E17" s="3">
        <f>SUM('Nhập xuất tồn'!E22)</f>
        <v>0</v>
      </c>
      <c r="F17" s="3">
        <f>SUM(C17+D17-E17)</f>
        <v>6</v>
      </c>
      <c r="G17" s="4">
        <v>0</v>
      </c>
      <c r="H17" s="3">
        <f t="shared" si="1"/>
        <v>6</v>
      </c>
    </row>
    <row r="18" spans="1:8" x14ac:dyDescent="0.25">
      <c r="A18" s="3">
        <v>21</v>
      </c>
      <c r="B18" s="3" t="s">
        <v>73</v>
      </c>
      <c r="C18" s="3">
        <f>'Nhập xuất tồn'!C23</f>
        <v>3</v>
      </c>
      <c r="D18" s="3">
        <f>'Nhập xuất tồn'!D23</f>
        <v>0</v>
      </c>
      <c r="E18" s="3">
        <f>'Nhập xuất tồn'!E23</f>
        <v>0</v>
      </c>
      <c r="F18" s="3">
        <f>'Nhập xuất tồn'!F23</f>
        <v>3</v>
      </c>
      <c r="G18" s="4">
        <f>'Nhập xuất tồn'!G23</f>
        <v>0</v>
      </c>
      <c r="H18" s="3">
        <f>'Nhập xuất tồn'!H23</f>
        <v>3</v>
      </c>
    </row>
    <row r="19" spans="1:8" x14ac:dyDescent="0.25">
      <c r="A19" s="36" t="s">
        <v>5</v>
      </c>
      <c r="B19" s="36"/>
      <c r="C19" s="10">
        <f>SUM(C3:C17)</f>
        <v>133</v>
      </c>
      <c r="D19" s="10">
        <f>SUM(D3:D17)</f>
        <v>72</v>
      </c>
      <c r="E19" s="10">
        <f>SUM(E3:E17)</f>
        <v>0</v>
      </c>
      <c r="F19" s="10">
        <f>SUM(F3:F18)</f>
        <v>208</v>
      </c>
      <c r="G19" s="11">
        <f>SUM(G3:G17)</f>
        <v>15</v>
      </c>
      <c r="H19" s="10">
        <f>SUM(H3:H18)</f>
        <v>193</v>
      </c>
    </row>
    <row r="20" spans="1:8" x14ac:dyDescent="0.25">
      <c r="F20" s="9"/>
    </row>
  </sheetData>
  <mergeCells count="2">
    <mergeCell ref="A1:H1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Nhập xuất tồn</vt:lpstr>
      <vt:lpstr>Nhập</vt:lpstr>
      <vt:lpstr>Xuất</vt:lpstr>
      <vt:lpstr>Huỷ</vt:lpstr>
      <vt:lpstr>Ghi chú</vt:lpstr>
      <vt:lpstr>Chốt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KT-KHO</dc:creator>
  <cp:lastModifiedBy>TungNM</cp:lastModifiedBy>
  <dcterms:created xsi:type="dcterms:W3CDTF">2015-06-05T18:17:20Z</dcterms:created>
  <dcterms:modified xsi:type="dcterms:W3CDTF">2026-03-02T03:07:43Z</dcterms:modified>
</cp:coreProperties>
</file>