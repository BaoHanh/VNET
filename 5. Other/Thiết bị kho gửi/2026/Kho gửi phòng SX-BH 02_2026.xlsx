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1966EE7B-0405-48EC-A1B9-525742278291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17" i="6"/>
  <c r="E15" i="6"/>
  <c r="E14" i="6"/>
  <c r="E12" i="6"/>
  <c r="E13" i="6"/>
  <c r="E11" i="6"/>
  <c r="E10" i="6"/>
  <c r="E8" i="6"/>
  <c r="E7" i="6"/>
  <c r="E6" i="6"/>
  <c r="E22" i="1"/>
  <c r="E21" i="1"/>
  <c r="E20" i="1"/>
  <c r="E19" i="1"/>
  <c r="E18" i="1"/>
  <c r="E16" i="1"/>
  <c r="E15" i="1"/>
  <c r="E14" i="1"/>
  <c r="E13" i="1"/>
  <c r="E12" i="1"/>
  <c r="E11" i="1"/>
  <c r="E9" i="1"/>
  <c r="E8" i="1"/>
  <c r="E7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1"/>
  <c r="C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AH9" i="3"/>
  <c r="AH10" i="3"/>
  <c r="AH11" i="3"/>
  <c r="E10" i="1" s="1"/>
  <c r="E9" i="6" s="1"/>
  <c r="AH12" i="3"/>
  <c r="AH13" i="3"/>
  <c r="F13" i="1" s="1"/>
  <c r="H13" i="1" s="1"/>
  <c r="AH14" i="3"/>
  <c r="F14" i="1" s="1"/>
  <c r="H14" i="1" s="1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5" i="1" l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23" i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18" i="6" l="1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F25" i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<sst xmlns="http://schemas.openxmlformats.org/spreadsheetml/2006/main" count="160" uniqueCount="56">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</sst>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6" sqref="K1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'[1]Nhập xuất tồn'!F3</f>
        <v>3</v>
      </c>
      <c r="D3" s="4">
        <f>Nhập!AH3</f>
        <v>16</v>
      </c>
      <c r="E3" s="4">
        <f>Xuất!AH4+Huỷ!AH3</f>
        <v>3</v>
      </c>
      <c r="F3" s="4">
        <f>C3+D3-E3</f>
        <v>16</v>
      </c>
      <c r="G3" s="6">
        <v>1</v>
      </c>
      <c r="H3" s="4">
        <f>F3-G3</f>
        <v>15</v>
      </c>
    </row>
    <row r="4" spans="1:8" x14ac:dyDescent="0.25">
      <c r="A4" s="4">
        <v>2</v>
      </c>
      <c r="B4" s="4" t="s">
        <v>1</v>
      </c>
      <c r="C4" s="4">
        <f>'[1]Nhập xuất tồn'!F4</f>
        <v>87</v>
      </c>
      <c r="D4" s="4">
        <f>Nhập!AH4</f>
        <v>72</v>
      </c>
      <c r="E4" s="4">
        <f>Xuất!AH5+Huỷ!AH4</f>
        <v>71</v>
      </c>
      <c r="F4" s="4">
        <f>C4+D4-E4</f>
        <v>88</v>
      </c>
      <c r="G4" s="6">
        <v>16</v>
      </c>
      <c r="H4" s="4">
        <f t="shared" ref="H4:H22" si="0">F4-G4</f>
        <v>72</v>
      </c>
    </row>
    <row r="5" spans="1:8" x14ac:dyDescent="0.25">
      <c r="A5" s="4">
        <v>3</v>
      </c>
      <c r="B5" s="4" t="s">
        <v>18</v>
      </c>
      <c r="C5" s="4">
        <f>'[1]Nhập xuất tồn'!F5</f>
        <v>5</v>
      </c>
      <c r="D5" s="4">
        <f>Nhập!AH5</f>
        <v>0</v>
      </c>
      <c r="E5" s="4">
        <f>Xuất!AH6+Huỷ!AH5</f>
        <v>5</v>
      </c>
      <c r="F5" s="4">
        <f t="shared" ref="F5:F22" si="1">C5+D5-E5</f>
        <v>0</v>
      </c>
      <c r="G5" s="6">
        <v>0</v>
      </c>
      <c r="H5" s="4">
        <f t="shared" si="0"/>
        <v>0</v>
      </c>
    </row>
    <row r="6" spans="1:8" x14ac:dyDescent="0.25">
      <c r="A6" s="4">
        <v>4</v>
      </c>
      <c r="B6" s="4" t="s">
        <v>19</v>
      </c>
      <c r="C6" s="4">
        <f>'[1]Nhập xuất tồn'!F6</f>
        <v>3</v>
      </c>
      <c r="D6" s="4">
        <f>Nhập!AH6</f>
        <v>0</v>
      </c>
      <c r="E6" s="4">
        <f>Xuất!AH7</f>
        <v>3</v>
      </c>
      <c r="F6" s="4">
        <f t="shared" si="1"/>
        <v>0</v>
      </c>
      <c r="G6" s="6">
        <v>0</v>
      </c>
      <c r="H6" s="4">
        <f t="shared" si="0"/>
        <v>0</v>
      </c>
    </row>
    <row r="7" spans="1:8" x14ac:dyDescent="0.25">
      <c r="A7" s="4">
        <v>5</v>
      </c>
      <c r="B7" s="4" t="s">
        <v>20</v>
      </c>
      <c r="C7" s="4">
        <f>'[1]Nhập xuất tồn'!F7</f>
        <v>19</v>
      </c>
      <c r="D7" s="4">
        <f>Nhập!AH7</f>
        <v>0</v>
      </c>
      <c r="E7" s="4">
        <f>Xuất!AH8</f>
        <v>1</v>
      </c>
      <c r="F7" s="4">
        <f t="shared" si="1"/>
        <v>18</v>
      </c>
      <c r="G7" s="6">
        <v>0</v>
      </c>
      <c r="H7" s="4">
        <f t="shared" si="0"/>
        <v>18</v>
      </c>
    </row>
    <row r="8" spans="1:8" x14ac:dyDescent="0.25">
      <c r="A8" s="4">
        <v>6</v>
      </c>
      <c r="B8" s="4" t="s">
        <v>21</v>
      </c>
      <c r="C8" s="4">
        <f>'[1]Nhập xuất tồn'!F8</f>
        <v>3</v>
      </c>
      <c r="D8" s="4">
        <f>Nhập!AH8</f>
        <v>0</v>
      </c>
      <c r="E8" s="4">
        <f>Xuất!AH9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22</v>
      </c>
      <c r="C9" s="4">
        <f>'[1]Nhập xuất tồn'!F9</f>
        <v>6</v>
      </c>
      <c r="D9" s="4">
        <f>Nhập!AH9</f>
        <v>0</v>
      </c>
      <c r="E9" s="4">
        <f>Xuất!AH10</f>
        <v>1</v>
      </c>
      <c r="F9" s="4">
        <f t="shared" si="1"/>
        <v>5</v>
      </c>
      <c r="G9" s="6">
        <v>0</v>
      </c>
      <c r="H9" s="4">
        <f t="shared" si="0"/>
        <v>5</v>
      </c>
    </row>
    <row r="10" spans="1:8" x14ac:dyDescent="0.25">
      <c r="A10" s="4">
        <v>8</v>
      </c>
      <c r="B10" s="4" t="s">
        <v>23</v>
      </c>
      <c r="C10" s="4">
        <f>'[1]Nhập xuất tồn'!F10</f>
        <v>8</v>
      </c>
      <c r="D10" s="4">
        <f>Nhập!AH10</f>
        <v>0</v>
      </c>
      <c r="E10" s="4">
        <f>Xuất!AH11</f>
        <v>7</v>
      </c>
      <c r="F10" s="4">
        <f t="shared" si="1"/>
        <v>1</v>
      </c>
      <c r="G10" s="6">
        <v>0</v>
      </c>
      <c r="H10" s="4">
        <f t="shared" si="0"/>
        <v>1</v>
      </c>
    </row>
    <row r="11" spans="1:8" x14ac:dyDescent="0.25">
      <c r="A11" s="4">
        <v>9</v>
      </c>
      <c r="B11" s="4" t="s">
        <v>24</v>
      </c>
      <c r="C11" s="4">
        <f>'[1]Nhập xuất tồn'!F11</f>
        <v>1</v>
      </c>
      <c r="D11" s="4">
        <f>Nhập!AH11</f>
        <v>0</v>
      </c>
      <c r="E11" s="4">
        <f>Xuất!AH12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25</v>
      </c>
      <c r="C12" s="4">
        <f>'[1]Nhập xuất tồn'!F12</f>
        <v>1</v>
      </c>
      <c r="D12" s="4">
        <f>Nhập!AH12</f>
        <v>0</v>
      </c>
      <c r="E12" s="4">
        <f>Xuất!AH13</f>
        <v>1</v>
      </c>
      <c r="F12" s="4">
        <f t="shared" si="1"/>
        <v>0</v>
      </c>
      <c r="G12" s="6">
        <v>0</v>
      </c>
      <c r="H12" s="4">
        <f t="shared" si="0"/>
        <v>0</v>
      </c>
    </row>
    <row r="13" spans="1:8" x14ac:dyDescent="0.25">
      <c r="A13" s="4">
        <v>11</v>
      </c>
      <c r="B13" s="4" t="s">
        <v>26</v>
      </c>
      <c r="C13" s="4">
        <f>'[1]Nhập xuất tồn'!F13</f>
        <v>4</v>
      </c>
      <c r="D13" s="4">
        <f>Nhập!AH13</f>
        <v>0</v>
      </c>
      <c r="E13" s="4">
        <f>Xuất!AH14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27</v>
      </c>
      <c r="C14" s="4">
        <f>'[1]Nhập xuất tồn'!F14</f>
        <v>0</v>
      </c>
      <c r="D14" s="4">
        <f>Nhập!AH14</f>
        <v>0</v>
      </c>
      <c r="E14" s="4">
        <f>Xuất!AH15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28</v>
      </c>
      <c r="C15" s="4">
        <f>'[1]Nhập xuất tồn'!F15</f>
        <v>1</v>
      </c>
      <c r="D15" s="4">
        <f>Nhập!AH15</f>
        <v>0</v>
      </c>
      <c r="E15" s="4">
        <f>Xuất!AH16</f>
        <v>1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29</v>
      </c>
      <c r="C16" s="4">
        <f>'[1]Nhập xuất tồn'!F16</f>
        <v>0</v>
      </c>
      <c r="D16" s="4">
        <f>Nhập!AH16</f>
        <v>0</v>
      </c>
      <c r="E16" s="4">
        <f>Xuất!AH17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30</v>
      </c>
      <c r="C17" s="4">
        <f>'[1]Nhập xuất tồn'!F17</f>
        <v>4</v>
      </c>
      <c r="D17" s="4">
        <f>Nhập!AH17</f>
        <v>0</v>
      </c>
      <c r="E17" s="4">
        <f>Xuất!AH18</f>
        <v>4</v>
      </c>
      <c r="F17" s="4">
        <f t="shared" si="1"/>
        <v>0</v>
      </c>
      <c r="G17" s="6"/>
      <c r="H17" s="4">
        <f t="shared" si="0"/>
        <v>0</v>
      </c>
    </row>
    <row r="18" spans="1:8" x14ac:dyDescent="0.25">
      <c r="A18" s="4">
        <v>16</v>
      </c>
      <c r="B18" s="4" t="s">
        <v>31</v>
      </c>
      <c r="C18" s="4">
        <f>'[1]Nhập xuất tồn'!F18</f>
        <v>0</v>
      </c>
      <c r="D18" s="4">
        <f>Nhập!AH18</f>
        <v>0</v>
      </c>
      <c r="E18" s="4">
        <f>Xuất!AH19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32</v>
      </c>
      <c r="C19" s="4"/>
      <c r="D19" s="4">
        <f>Nhập!AH19</f>
        <v>0</v>
      </c>
      <c r="E19" s="4">
        <f>Xuất!AH20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33</v>
      </c>
      <c r="C20" s="4">
        <f>'[1]Nhập xuất tồn'!F20</f>
        <v>1</v>
      </c>
      <c r="D20" s="4">
        <f>Nhập!AH20</f>
        <v>0</v>
      </c>
      <c r="E20" s="4">
        <f>Xuất!AH21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34</v>
      </c>
      <c r="C21" s="4">
        <f>'[1]Nhập xuất tồn'!F21</f>
        <v>0</v>
      </c>
      <c r="D21" s="4">
        <f>Nhập!AH21</f>
        <v>0</v>
      </c>
      <c r="E21" s="4">
        <f>Xuất!AH22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f>'[1]Nhập xuất tồn'!F22</f>
        <v>6</v>
      </c>
      <c r="D22" s="4">
        <f>Nhập!AH22</f>
        <v>0</v>
      </c>
      <c r="E22" s="4">
        <f>Xuất!AH23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9" t="s">
        <v>5</v>
      </c>
      <c r="B23" s="29"/>
      <c r="C23" s="4">
        <f>SUM(C3:C22)</f>
        <v>152</v>
      </c>
      <c r="D23" s="4">
        <f t="shared" ref="D23:H23" si="2">SUM(D3:D22)</f>
        <v>88</v>
      </c>
      <c r="E23" s="4">
        <f t="shared" si="2"/>
        <v>97</v>
      </c>
      <c r="F23" s="4">
        <f t="shared" si="2"/>
        <v>143</v>
      </c>
      <c r="G23" s="4">
        <f t="shared" si="2"/>
        <v>18</v>
      </c>
      <c r="H23" s="4">
        <f t="shared" si="2"/>
        <v>125</v>
      </c>
    </row>
    <row r="25" spans="1:8" x14ac:dyDescent="0.25">
      <c r="F25" s="1">
        <f>SUM(F5:F22)</f>
        <v>39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tabSelected="1" zoomScale="130" zoomScaleNormal="130" workbookViewId="0">
      <selection activeCell="N10" sqref="N10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30" t="s">
        <v>8</v>
      </c>
      <c r="B1" s="31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0"/>
      <c r="B2" s="32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>
        <v>16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16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>
        <v>72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72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M30" sqref="M30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 spans="1:34" x14ac:dyDescent="0.25">
      <c r="A2" s="33" t="s">
        <v>8</v>
      </c>
      <c r="B2" s="33" t="s">
        <v>9</v>
      </c>
      <c r="C2" s="33" t="s">
        <v>13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 t="s">
        <v>5</v>
      </c>
    </row>
    <row r="3" spans="1:34" x14ac:dyDescent="0.25">
      <c r="A3" s="33"/>
      <c r="B3" s="33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3"/>
    </row>
    <row r="4" spans="1:34" x14ac:dyDescent="0.25">
      <c r="A4" s="7">
        <v>1</v>
      </c>
      <c r="B4" s="7" t="s">
        <v>0</v>
      </c>
      <c r="C4" s="7"/>
      <c r="D4" s="7">
        <v>2</v>
      </c>
      <c r="E4" s="7"/>
      <c r="F4" s="7">
        <v>1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3</v>
      </c>
    </row>
    <row r="5" spans="1:34" x14ac:dyDescent="0.25">
      <c r="A5" s="7">
        <v>2</v>
      </c>
      <c r="B5" s="7" t="s">
        <v>1</v>
      </c>
      <c r="C5" s="7"/>
      <c r="D5" s="7">
        <v>3</v>
      </c>
      <c r="E5" s="7">
        <v>16</v>
      </c>
      <c r="F5" s="7">
        <v>11</v>
      </c>
      <c r="G5" s="7">
        <v>10</v>
      </c>
      <c r="H5" s="7">
        <v>31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71</v>
      </c>
    </row>
    <row r="6" spans="1:34" x14ac:dyDescent="0.25">
      <c r="A6" s="7">
        <v>3</v>
      </c>
      <c r="B6" s="7" t="s">
        <v>18</v>
      </c>
      <c r="C6" s="7"/>
      <c r="D6" s="7"/>
      <c r="E6" s="7">
        <v>5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5</v>
      </c>
    </row>
    <row r="7" spans="1:34" x14ac:dyDescent="0.25">
      <c r="A7" s="7">
        <v>4</v>
      </c>
      <c r="B7" s="7" t="s">
        <v>19</v>
      </c>
      <c r="C7" s="7"/>
      <c r="D7" s="7"/>
      <c r="E7" s="7">
        <v>3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3</v>
      </c>
    </row>
    <row r="8" spans="1:34" x14ac:dyDescent="0.25">
      <c r="A8" s="7">
        <v>5</v>
      </c>
      <c r="B8" s="7" t="s">
        <v>20</v>
      </c>
      <c r="C8" s="7"/>
      <c r="D8" s="7"/>
      <c r="E8" s="7">
        <v>1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21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22</v>
      </c>
      <c r="C10" s="7"/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1</v>
      </c>
    </row>
    <row r="11" spans="1:34" x14ac:dyDescent="0.25">
      <c r="A11" s="7">
        <v>9</v>
      </c>
      <c r="B11" s="7" t="s">
        <v>23</v>
      </c>
      <c r="C11" s="7"/>
      <c r="D11" s="7"/>
      <c r="E11" s="7">
        <v>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7</v>
      </c>
    </row>
    <row r="12" spans="1:34" x14ac:dyDescent="0.25">
      <c r="A12" s="7">
        <v>10</v>
      </c>
      <c r="B12" s="7" t="s">
        <v>24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25</v>
      </c>
      <c r="C13" s="7"/>
      <c r="D13" s="7"/>
      <c r="E13" s="7">
        <v>1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1</v>
      </c>
    </row>
    <row r="14" spans="1:34" x14ac:dyDescent="0.25">
      <c r="A14" s="7">
        <v>12</v>
      </c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28</v>
      </c>
      <c r="C16" s="7"/>
      <c r="D16" s="7"/>
      <c r="E16" s="7">
        <v>1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1</v>
      </c>
    </row>
    <row r="17" spans="1:34" x14ac:dyDescent="0.25">
      <c r="A17" s="7">
        <v>15</v>
      </c>
      <c r="B17" s="7" t="s">
        <v>29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30</v>
      </c>
      <c r="C18" s="7"/>
      <c r="D18" s="7"/>
      <c r="E18" s="7">
        <v>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4</v>
      </c>
    </row>
    <row r="19" spans="1:34" x14ac:dyDescent="0.25">
      <c r="A19" s="7"/>
      <c r="B19" s="7" t="s">
        <v>31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33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34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3" t="s">
        <v>8</v>
      </c>
      <c r="B1" s="33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3"/>
      <c r="B2" s="33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K17" sqref="K17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17</v>
      </c>
      <c r="B1" s="14" t="s">
        <v>16</v>
      </c>
      <c r="C1" s="14" t="s">
        <v>35</v>
      </c>
      <c r="D1" s="14" t="s">
        <v>0</v>
      </c>
      <c r="E1" s="14" t="s">
        <v>1</v>
      </c>
      <c r="F1" s="14" t="s">
        <v>15</v>
      </c>
      <c r="G1" s="15" t="s">
        <v>37</v>
      </c>
      <c r="H1" s="16"/>
    </row>
    <row r="2" spans="1:8" x14ac:dyDescent="0.25">
      <c r="A2" s="35">
        <v>46055</v>
      </c>
      <c r="B2" s="19" t="s">
        <v>14</v>
      </c>
      <c r="C2" s="19"/>
      <c r="D2" s="19"/>
      <c r="E2" s="19">
        <v>2</v>
      </c>
      <c r="F2" s="19" t="s">
        <v>39</v>
      </c>
      <c r="G2" s="20"/>
    </row>
    <row r="3" spans="1:8" x14ac:dyDescent="0.25">
      <c r="A3" s="36"/>
      <c r="B3" s="19" t="s">
        <v>40</v>
      </c>
      <c r="C3" s="18"/>
      <c r="D3" s="19">
        <v>2</v>
      </c>
      <c r="E3" s="19"/>
      <c r="F3" s="19" t="s">
        <v>39</v>
      </c>
      <c r="G3" s="20"/>
    </row>
    <row r="4" spans="1:8" x14ac:dyDescent="0.25">
      <c r="A4" s="36"/>
      <c r="B4" s="19" t="s">
        <v>41</v>
      </c>
      <c r="C4" s="19"/>
      <c r="D4" s="19"/>
      <c r="E4" s="19">
        <v>1</v>
      </c>
      <c r="F4" s="19" t="s">
        <v>39</v>
      </c>
      <c r="G4" s="20"/>
    </row>
    <row r="5" spans="1:8" x14ac:dyDescent="0.25">
      <c r="A5" s="37"/>
      <c r="B5" s="19" t="s">
        <v>42</v>
      </c>
      <c r="C5" s="19"/>
      <c r="D5" s="19"/>
      <c r="E5" s="19">
        <v>6</v>
      </c>
      <c r="F5" s="19" t="s">
        <v>45</v>
      </c>
      <c r="G5" s="20"/>
    </row>
    <row r="6" spans="1:8" x14ac:dyDescent="0.25">
      <c r="A6" s="35">
        <v>46056</v>
      </c>
      <c r="B6" s="19" t="s">
        <v>43</v>
      </c>
      <c r="C6" s="19"/>
      <c r="D6" s="19"/>
      <c r="E6" s="19">
        <v>10</v>
      </c>
      <c r="F6" s="19" t="s">
        <v>46</v>
      </c>
      <c r="G6" s="20"/>
    </row>
    <row r="7" spans="1:8" x14ac:dyDescent="0.25">
      <c r="A7" s="37"/>
      <c r="B7" s="19" t="s">
        <v>44</v>
      </c>
      <c r="C7" s="19"/>
      <c r="D7" s="19"/>
      <c r="E7" s="19">
        <v>10</v>
      </c>
      <c r="F7" s="19" t="s">
        <v>45</v>
      </c>
      <c r="G7" s="20"/>
    </row>
    <row r="8" spans="1:8" x14ac:dyDescent="0.25">
      <c r="A8" s="35">
        <v>46057</v>
      </c>
      <c r="B8" s="18" t="s">
        <v>47</v>
      </c>
      <c r="C8" s="18"/>
      <c r="D8" s="19"/>
      <c r="E8" s="19">
        <v>1</v>
      </c>
      <c r="F8" s="19" t="s">
        <v>46</v>
      </c>
      <c r="G8" s="20"/>
    </row>
    <row r="9" spans="1:8" x14ac:dyDescent="0.25">
      <c r="A9" s="37"/>
      <c r="B9" s="19" t="s">
        <v>40</v>
      </c>
      <c r="C9" s="19"/>
      <c r="D9" s="19">
        <v>1</v>
      </c>
      <c r="E9" s="19"/>
      <c r="F9" s="19" t="s">
        <v>46</v>
      </c>
      <c r="G9" s="20"/>
    </row>
    <row r="10" spans="1:8" x14ac:dyDescent="0.25">
      <c r="A10" s="35">
        <v>46058</v>
      </c>
      <c r="B10" s="19" t="s">
        <v>48</v>
      </c>
      <c r="C10" s="19"/>
      <c r="D10" s="19"/>
      <c r="E10" s="19">
        <v>10</v>
      </c>
      <c r="F10" s="19" t="s">
        <v>49</v>
      </c>
      <c r="G10" s="20"/>
    </row>
    <row r="11" spans="1:8" x14ac:dyDescent="0.25">
      <c r="A11" s="37"/>
      <c r="B11" s="19" t="s">
        <v>50</v>
      </c>
      <c r="C11" s="19"/>
      <c r="D11" s="25"/>
      <c r="E11" s="25">
        <v>20</v>
      </c>
      <c r="F11" s="25" t="s">
        <v>52</v>
      </c>
      <c r="G11" s="20"/>
    </row>
    <row r="12" spans="1:8" x14ac:dyDescent="0.25">
      <c r="A12" s="35">
        <v>46059</v>
      </c>
      <c r="B12" s="19" t="s">
        <v>53</v>
      </c>
      <c r="C12" s="19"/>
      <c r="D12" s="19"/>
      <c r="E12" s="19">
        <v>1</v>
      </c>
      <c r="F12" s="25" t="s">
        <v>52</v>
      </c>
      <c r="G12" s="20"/>
    </row>
    <row r="13" spans="1:8" x14ac:dyDescent="0.25">
      <c r="A13" s="37"/>
      <c r="B13" s="19" t="s">
        <v>51</v>
      </c>
      <c r="C13" s="19"/>
      <c r="D13" s="19"/>
      <c r="E13" s="19">
        <v>10</v>
      </c>
      <c r="F13" s="25" t="s">
        <v>52</v>
      </c>
      <c r="G13" s="20"/>
    </row>
    <row r="14" spans="1:8" x14ac:dyDescent="0.25">
      <c r="A14" s="18">
        <v>46060</v>
      </c>
      <c r="B14" s="19" t="s">
        <v>54</v>
      </c>
      <c r="C14" s="19"/>
      <c r="D14" s="19"/>
      <c r="E14" s="19">
        <v>6</v>
      </c>
      <c r="F14" s="25" t="s">
        <v>55</v>
      </c>
      <c r="G14" s="20"/>
    </row>
    <row r="15" spans="1:8" x14ac:dyDescent="0.25">
      <c r="A15" s="18"/>
      <c r="B15" s="19"/>
      <c r="C15" s="19"/>
      <c r="D15" s="19"/>
      <c r="E15" s="19"/>
      <c r="F15" s="19"/>
      <c r="G15" s="20"/>
    </row>
    <row r="16" spans="1:8" x14ac:dyDescent="0.25">
      <c r="A16" s="18"/>
      <c r="B16" s="19"/>
      <c r="C16" s="19"/>
      <c r="D16" s="19"/>
      <c r="E16" s="19"/>
      <c r="F16" s="19"/>
      <c r="G16" s="20"/>
    </row>
    <row r="17" spans="1:7" x14ac:dyDescent="0.25">
      <c r="A17" s="22"/>
      <c r="B17" s="19"/>
      <c r="C17" s="19"/>
      <c r="D17" s="19"/>
      <c r="E17" s="19"/>
      <c r="F17" s="19"/>
      <c r="G17" s="20"/>
    </row>
    <row r="18" spans="1:7" x14ac:dyDescent="0.25">
      <c r="A18" s="23"/>
      <c r="B18" s="19"/>
      <c r="C18" s="19"/>
      <c r="D18" s="19"/>
      <c r="E18" s="19"/>
      <c r="F18" s="19"/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5"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L9" sqref="L9"/>
    </sheetView>
  </sheetViews>
  <sheetFormatPr defaultRowHeight="15" x14ac:dyDescent="0.25"/>
  <cols>
    <col min="2" max="2" width="27.5703125" customWidth="1"/>
    <col min="4" max="5" width="10.140625" bestFit="1" customWidth="1"/>
    <col min="8" max="8" width="16.28515625" customWidth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SUM('Nhập xuất tồn'!C3)</f>
        <v>3</v>
      </c>
      <c r="D3" s="4">
        <f>SUM('Nhập xuất tồn'!D3)</f>
        <v>16</v>
      </c>
      <c r="E3" s="4">
        <f>SUM('Nhập xuất tồn'!E3)</f>
        <v>3</v>
      </c>
      <c r="F3" s="4">
        <f>SUM(C3+D3-E3)</f>
        <v>16</v>
      </c>
      <c r="G3" s="6">
        <v>1</v>
      </c>
      <c r="H3" s="4">
        <f>SUM(F3-G3)</f>
        <v>15</v>
      </c>
    </row>
    <row r="4" spans="1:8" x14ac:dyDescent="0.25">
      <c r="A4" s="4">
        <v>2</v>
      </c>
      <c r="B4" s="4" t="s">
        <v>1</v>
      </c>
      <c r="C4" s="4">
        <f>SUM('Nhập xuất tồn'!C4)</f>
        <v>87</v>
      </c>
      <c r="D4" s="4">
        <f>SUM('Nhập xuất tồn'!D4)</f>
        <v>72</v>
      </c>
      <c r="E4" s="4">
        <f>SUM('Nhập xuất tồn'!E4)</f>
        <v>71</v>
      </c>
      <c r="F4" s="4">
        <f>SUM(C4+D4-E4)</f>
        <v>88</v>
      </c>
      <c r="G4" s="6">
        <v>16</v>
      </c>
      <c r="H4" s="4">
        <f>SUM(F4-G4)</f>
        <v>72</v>
      </c>
    </row>
    <row r="5" spans="1:8" x14ac:dyDescent="0.25">
      <c r="A5" s="4">
        <v>3</v>
      </c>
      <c r="B5" s="4" t="s">
        <v>18</v>
      </c>
      <c r="C5" s="4">
        <f>SUM('Nhập xuất tồn'!C5)</f>
        <v>5</v>
      </c>
      <c r="D5" s="4">
        <f>Nhập!AH5</f>
        <v>0</v>
      </c>
      <c r="E5" s="4">
        <f>Xuất!AH6+Huỷ!AH5</f>
        <v>5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19</v>
      </c>
      <c r="C6" s="4">
        <f>SUM('Nhập xuất tồn'!C6)</f>
        <v>3</v>
      </c>
      <c r="D6" s="4">
        <f>Nhập!AH6</f>
        <v>0</v>
      </c>
      <c r="E6" s="4">
        <f>Xuất!AH7</f>
        <v>3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35</v>
      </c>
      <c r="C7" s="4">
        <f>SUM('Nhập xuất tồn'!C7,'Nhập xuất tồn'!C8,'Nhập xuất tồn'!C9,'Nhập xuất tồn'!C12,'Nhập xuất tồn'!C14)</f>
        <v>29</v>
      </c>
      <c r="D7" s="4">
        <f>SUM('Nhập xuất tồn'!D7,'Nhập xuất tồn'!D8,'Nhập xuất tồn'!D9,'Nhập xuất tồn'!D12,'Nhập xuất tồn'!D14)</f>
        <v>0</v>
      </c>
      <c r="E7" s="4">
        <f>SUM('Nhập xuất tồn'!E8,'Nhập xuất tồn'!E9,'Nhập xuất tồn'!E12,'Nhập xuất tồn'!E14)</f>
        <v>2</v>
      </c>
      <c r="F7" s="4">
        <f t="shared" si="0"/>
        <v>27</v>
      </c>
      <c r="G7" s="6">
        <v>0</v>
      </c>
      <c r="H7" s="4">
        <f t="shared" ref="H7:H17" si="1">SUM(F7-G7)</f>
        <v>27</v>
      </c>
    </row>
    <row r="8" spans="1:8" x14ac:dyDescent="0.25">
      <c r="A8" s="4">
        <v>6</v>
      </c>
      <c r="B8" s="4" t="s">
        <v>36</v>
      </c>
      <c r="C8" s="4">
        <f>SUM('Nhập xuất tồn'!C13,'Nhập xuất tồn'!C15)</f>
        <v>5</v>
      </c>
      <c r="D8" s="4">
        <f>SUM('Nhập xuất tồn'!D13,'Nhập xuất tồn'!D15)</f>
        <v>0</v>
      </c>
      <c r="E8" s="4">
        <f>SUM('Nhập xuất tồn'!E13,'Nhập xuất tồn'!E15)</f>
        <v>1</v>
      </c>
      <c r="F8" s="4">
        <f t="shared" si="0"/>
        <v>4</v>
      </c>
      <c r="G8" s="6">
        <v>0</v>
      </c>
      <c r="H8" s="4">
        <f t="shared" si="1"/>
        <v>4</v>
      </c>
    </row>
    <row r="9" spans="1:8" x14ac:dyDescent="0.25">
      <c r="A9" s="4">
        <v>7</v>
      </c>
      <c r="B9" s="4" t="s">
        <v>23</v>
      </c>
      <c r="C9" s="4">
        <f>SUM('Nhập xuất tồn'!C10)</f>
        <v>8</v>
      </c>
      <c r="D9" s="4">
        <f>SUM('Nhập xuất tồn'!D10)</f>
        <v>0</v>
      </c>
      <c r="E9" s="4">
        <f>SUM('Nhập xuất tồn'!E10)</f>
        <v>7</v>
      </c>
      <c r="F9" s="4">
        <f t="shared" si="0"/>
        <v>1</v>
      </c>
      <c r="G9" s="6">
        <v>0</v>
      </c>
      <c r="H9" s="4">
        <f t="shared" si="1"/>
        <v>1</v>
      </c>
    </row>
    <row r="10" spans="1:8" x14ac:dyDescent="0.25">
      <c r="A10" s="4">
        <v>8</v>
      </c>
      <c r="B10" s="4" t="s">
        <v>24</v>
      </c>
      <c r="C10" s="4">
        <f>SUM('Nhập xuất tồn'!C11)</f>
        <v>1</v>
      </c>
      <c r="D10" s="4">
        <f>SUM('Nhập xuất tồn'!D11)</f>
        <v>0</v>
      </c>
      <c r="E10" s="4">
        <f>SUM('Nhập xuất tồn'!E11)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29</v>
      </c>
      <c r="C11" s="4">
        <f>SUM('Nhập xuất tồn'!C16)</f>
        <v>0</v>
      </c>
      <c r="D11" s="4">
        <f>SUM('Nhập xuất tồn'!D16)</f>
        <v>0</v>
      </c>
      <c r="E11" s="4">
        <f>SUM('Nhập xuất tồn'!E16)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30</v>
      </c>
      <c r="C12" s="4">
        <f>SUM('Nhập xuất tồn'!C17)</f>
        <v>4</v>
      </c>
      <c r="D12" s="4">
        <f>Nhập!AH17</f>
        <v>0</v>
      </c>
      <c r="E12" s="4">
        <f>SUM('Nhập xuất tồn'!E17)</f>
        <v>4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31</v>
      </c>
      <c r="C13" s="4">
        <f>SUM('Nhập xuất tồn'!C18)</f>
        <v>0</v>
      </c>
      <c r="D13" s="4">
        <f>Nhập!AH18</f>
        <v>0</v>
      </c>
      <c r="E13" s="4">
        <f>SUM('Nhập xuất tồn'!E18)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32</v>
      </c>
      <c r="C14" s="4">
        <f>SUM('Nhập xuất tồn'!C19)</f>
        <v>0</v>
      </c>
      <c r="D14" s="4">
        <f>Nhập!AH19</f>
        <v>0</v>
      </c>
      <c r="E14" s="4">
        <f>SUM('Nhập xuất tồn'!E19)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33</v>
      </c>
      <c r="C15" s="4">
        <f>SUM('Nhập xuất tồn'!C20)</f>
        <v>1</v>
      </c>
      <c r="D15" s="4">
        <f>Nhập!AH20</f>
        <v>0</v>
      </c>
      <c r="E15" s="4">
        <f>SUM('Nhập xuất tồn'!E20)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34</v>
      </c>
      <c r="C16" s="4">
        <f>SUM('Nhập xuất tồn'!C21)</f>
        <v>0</v>
      </c>
      <c r="D16" s="4">
        <f>Nhập!AH21</f>
        <v>0</v>
      </c>
      <c r="E16" s="4">
        <f>SUM('Nhập xuất tồn'!E21)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SUM('Nhập xuất tồn'!E22)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8" t="s">
        <v>5</v>
      </c>
      <c r="B18" s="38"/>
      <c r="C18" s="12">
        <f>SUM(C3:C17)</f>
        <v>152</v>
      </c>
      <c r="D18" s="12">
        <f t="shared" ref="D18:F18" si="2">SUM(D3:D17)</f>
        <v>88</v>
      </c>
      <c r="E18" s="12">
        <f t="shared" si="2"/>
        <v>96</v>
      </c>
      <c r="F18" s="12">
        <f t="shared" si="2"/>
        <v>144</v>
      </c>
      <c r="G18" s="13">
        <f t="shared" ref="G18" si="3">SUM(G3:G17)</f>
        <v>17</v>
      </c>
      <c r="H18" s="12">
        <f t="shared" ref="H18" si="4">SUM(H3:H17)</f>
        <v>127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2026-02-07T06:13:44Z</dcterms:modified>
</cp:coreProperties>
</file>