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AF3025E2-3549-4228-9AF6-CF0F2351F152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6" l="1"/>
  <c r="C7" i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4" i="1"/>
  <c r="E12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F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AH14" i="3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4" i="1" l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<sst xmlns="http://schemas.openxmlformats.org/spreadsheetml/2006/main" count="184" uniqueCount="69">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</sst>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16</v>
      </c>
      <c r="E3" s="3">
        <f>Xuất!AH4+Huỷ!AH3</f>
        <v>15</v>
      </c>
      <c r="F3" s="3">
        <f>C3+D3-E3</f>
        <v>4</v>
      </c>
      <c r="G3" s="4">
        <v>1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132</v>
      </c>
      <c r="E4" s="3">
        <f>Xuất!AH5+Huỷ!AH4</f>
        <v>153</v>
      </c>
      <c r="F4" s="3">
        <f>C4+D4-E4</f>
        <v>66</v>
      </c>
      <c r="G4" s="4">
        <v>16</v>
      </c>
      <c r="H4" s="3">
        <f t="shared" ref="H4:H22" si="0">F4-G4</f>
        <v>50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5</v>
      </c>
      <c r="F7" s="3">
        <f t="shared" si="1"/>
        <v>14</v>
      </c>
      <c r="G7" s="4">
        <v>0</v>
      </c>
      <c r="H7" s="3">
        <f t="shared" si="0"/>
        <v>14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6</v>
      </c>
      <c r="F9" s="3">
        <f t="shared" si="1"/>
        <v>2</v>
      </c>
      <c r="G9" s="4">
        <v>0</v>
      </c>
      <c r="H9" s="3">
        <f t="shared" si="0"/>
        <v>2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7</v>
      </c>
      <c r="F10" s="3">
        <f t="shared" si="1"/>
        <v>6</v>
      </c>
      <c r="G10" s="4">
        <v>0</v>
      </c>
      <c r="H10" s="3">
        <f t="shared" si="0"/>
        <v>6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1</v>
      </c>
      <c r="F12" s="3">
        <f t="shared" si="1"/>
        <v>4</v>
      </c>
      <c r="G12" s="4">
        <v>0</v>
      </c>
      <c r="H12" s="3">
        <f t="shared" si="0"/>
        <v>4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6" t="s">
        <v>5</v>
      </c>
      <c r="B23" s="26"/>
      <c r="C23" s="3">
        <f>SUM(C3:C22)</f>
        <v>152</v>
      </c>
      <c r="D23" s="3">
        <f t="shared" ref="D23:H23" si="2">SUM(D3:D22)</f>
        <v>159</v>
      </c>
      <c r="E23" s="3">
        <f t="shared" si="2"/>
        <v>207</v>
      </c>
      <c r="F23" s="3">
        <f t="shared" si="2"/>
        <v>104</v>
      </c>
      <c r="G23" s="3">
        <f t="shared" si="2"/>
        <v>18</v>
      </c>
      <c r="H23" s="3">
        <f t="shared" si="2"/>
        <v>86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AA4" sqref="AA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16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/>
      <c r="AB4" s="5"/>
      <c r="AC4" s="5"/>
      <c r="AD4" s="5"/>
      <c r="AE4" s="5"/>
      <c r="AF4" s="5"/>
      <c r="AG4" s="5"/>
      <c r="AH4" s="5">
        <f t="shared" ref="AH4:AH19" si="0">SUM(C4:AG4)</f>
        <v>132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abSelected="1" topLeftCell="A2" workbookViewId="0">
      <selection activeCell="AJ21" sqref="AJ21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15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/>
      <c r="AB5" s="5"/>
      <c r="AC5" s="5"/>
      <c r="AD5" s="5"/>
      <c r="AE5" s="5"/>
      <c r="AF5" s="5"/>
      <c r="AG5" s="5"/>
      <c r="AH5" s="5">
        <f t="shared" ref="AH5:AH18" si="0">SUM(C5:AG5)</f>
        <v>153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5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6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7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1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G20" sqref="G20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3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3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14"/>
      <c r="B27" s="15"/>
      <c r="C27" s="15"/>
      <c r="D27" s="15"/>
      <c r="E27" s="15"/>
      <c r="F27" s="15"/>
      <c r="G27" s="16"/>
    </row>
    <row r="28" spans="1:7" x14ac:dyDescent="0.25">
      <c r="A28" s="14"/>
      <c r="B28" s="15"/>
      <c r="C28" s="15"/>
      <c r="D28" s="15"/>
      <c r="E28" s="15"/>
      <c r="F28" s="15"/>
      <c r="G28" s="16"/>
    </row>
    <row r="29" spans="1:7" x14ac:dyDescent="0.25">
      <c r="A29" s="14"/>
      <c r="B29" s="15"/>
      <c r="C29" s="15"/>
      <c r="D29" s="15"/>
      <c r="E29" s="15"/>
      <c r="F29" s="15"/>
      <c r="G29" s="16"/>
    </row>
    <row r="30" spans="1:7" x14ac:dyDescent="0.25">
      <c r="A30" s="14"/>
      <c r="B30" s="15"/>
      <c r="C30" s="15"/>
      <c r="D30" s="15"/>
      <c r="E30" s="15"/>
      <c r="F30" s="15"/>
      <c r="G30" s="16"/>
    </row>
    <row r="31" spans="1:7" x14ac:dyDescent="0.25">
      <c r="A31" s="14"/>
      <c r="B31" s="15"/>
      <c r="C31" s="15"/>
      <c r="D31" s="15"/>
      <c r="E31" s="15"/>
      <c r="F31" s="15"/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5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</sheetData>
  <autoFilter ref="A1:F7" xr:uid="{171653DB-B967-4059-9CE3-FD13B7B63DBC}"/>
  <mergeCells count="9">
    <mergeCell ref="A24:A26"/>
    <mergeCell ref="A21:A23"/>
    <mergeCell ref="A19:A20"/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opLeftCell="A2" zoomScale="145" zoomScaleNormal="145" workbookViewId="0">
      <selection activeCell="D20" sqref="D20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16</v>
      </c>
      <c r="E3" s="3">
        <f>SUM('Nhập xuất tồn'!E3)</f>
        <v>15</v>
      </c>
      <c r="F3" s="3">
        <f>SUM(C3+D3-E3)</f>
        <v>4</v>
      </c>
      <c r="G3" s="4">
        <v>1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132</v>
      </c>
      <c r="E4" s="3">
        <f>SUM('Nhập xuất tồn'!E4)</f>
        <v>153</v>
      </c>
      <c r="F4" s="3">
        <f>SUM(C4+D4-E4)</f>
        <v>66</v>
      </c>
      <c r="G4" s="4">
        <v>14</v>
      </c>
      <c r="H4" s="3">
        <f>SUM(F4-G4)</f>
        <v>52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15</v>
      </c>
      <c r="F7" s="3">
        <f>SUM((C7+D7)-E7)</f>
        <v>20</v>
      </c>
      <c r="G7" s="4">
        <v>0</v>
      </c>
      <c r="H7" s="3">
        <f t="shared" ref="H7:H17" si="1">SUM(F7-G7)</f>
        <v>20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7</v>
      </c>
      <c r="F9" s="3">
        <f t="shared" si="0"/>
        <v>6</v>
      </c>
      <c r="G9" s="4">
        <v>0</v>
      </c>
      <c r="H9" s="3">
        <f t="shared" si="1"/>
        <v>6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6" t="s">
        <v>5</v>
      </c>
      <c r="B18" s="36"/>
      <c r="C18" s="10">
        <f>SUM(C3:C17)</f>
        <v>152</v>
      </c>
      <c r="D18" s="10">
        <f t="shared" ref="D18:F18" si="2">SUM(D3:D17)</f>
        <v>159</v>
      </c>
      <c r="E18" s="10">
        <f t="shared" si="2"/>
        <v>207</v>
      </c>
      <c r="F18" s="10">
        <f t="shared" si="2"/>
        <v>104</v>
      </c>
      <c r="G18" s="11">
        <f t="shared" ref="G18" si="3">SUM(G3:G17)</f>
        <v>15</v>
      </c>
      <c r="H18" s="10">
        <f t="shared" ref="H18" si="4">SUM(H3:H17)</f>
        <v>89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2026-02-24T09:41:02Z</dcterms:modified>
</cp:coreProperties>
</file>