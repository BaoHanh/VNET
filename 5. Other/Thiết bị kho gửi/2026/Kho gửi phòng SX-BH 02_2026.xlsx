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7CC81466-C328-400D-8689-91470C6465B9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<sst xmlns="http://schemas.openxmlformats.org/spreadsheetml/2006/main" count="164" uniqueCount="58">
  <si>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</si>
  <si>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</si>
  <si>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</si>
  <si>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</si>
  <si>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</si>
  <si>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</si>
  <si>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</si>
  <si>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</si>
  <si>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</si>
  <si>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</si>
  <si>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</si>
  <si>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</si>
  <si>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</si>
  <si>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</si>
  <si>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</si>
  <si>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</si>
  <si>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</si>
  <si>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</si>
  <si>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</si>
  <si>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</si>
  <si>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</si>
  <si>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</si>
  <si>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</si>
  <si>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</si>
  <si>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</si>
  <si>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</si>
  <si>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</si>
  <si>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</si>
  <si>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</si>
  <si>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</si>
  <si>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</si>
  <si>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</si>
  <si>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</si>
  <si>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</si>
  <si>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</si>
  <si>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</si>
  <si>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</si>
  <si>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</si>
  <si>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</si>
  <si>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</si>
  <si>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</si>
  <si>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</si>
  <si>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</si>
  <si>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</si>
  <si>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</si>
  <si>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</si>
  <si>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</si>
  <si>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</si>
  <si>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</si>
  <si>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</si>
  <si>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</si>
  <si>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</si>
  <si>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</si>
  <si>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</si>
  <si>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</si>
  <si>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</si>
  <si>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</si>
  <si>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Trả trước 6 bộ (09/02/26)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</si>
</sst>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6" sqref="K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72</v>
      </c>
      <c r="E4" s="4">
        <f>Xuất!AH5+Huỷ!AH4</f>
        <v>109</v>
      </c>
      <c r="F4" s="4">
        <f>C4+D4-E4</f>
        <v>50</v>
      </c>
      <c r="G4" s="6">
        <v>16</v>
      </c>
      <c r="H4" s="4">
        <f t="shared" ref="H4:H22" si="0">F4-G4</f>
        <v>34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9" t="s">
        <v>5</v>
      </c>
      <c r="B23" s="29"/>
      <c r="C23" s="4">
        <f>SUM(C3:C22)</f>
        <v>152</v>
      </c>
      <c r="D23" s="4">
        <f t="shared" ref="D23:H23" si="2">SUM(D3:D22)</f>
        <v>88</v>
      </c>
      <c r="E23" s="4">
        <f t="shared" si="2"/>
        <v>135</v>
      </c>
      <c r="F23" s="4">
        <f t="shared" si="2"/>
        <v>105</v>
      </c>
      <c r="G23" s="4">
        <f t="shared" si="2"/>
        <v>18</v>
      </c>
      <c r="H23" s="4">
        <f t="shared" si="2"/>
        <v>87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N10" sqref="N10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0" t="s">
        <v>8</v>
      </c>
      <c r="B1" s="31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0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>
        <v>72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P29" sqref="P29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x14ac:dyDescent="0.25">
      <c r="A2" s="33" t="s">
        <v>8</v>
      </c>
      <c r="B2" s="33" t="s">
        <v>9</v>
      </c>
      <c r="C2" s="33" t="s">
        <v>13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5</v>
      </c>
    </row>
    <row r="3" spans="1:34" x14ac:dyDescent="0.25">
      <c r="A3" s="33"/>
      <c r="B3" s="33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3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>
        <v>31</v>
      </c>
      <c r="I5" s="7">
        <v>6</v>
      </c>
      <c r="J5" s="7"/>
      <c r="K5" s="7">
        <v>32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109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3" t="s">
        <v>8</v>
      </c>
      <c r="B1" s="33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3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F16" sqref="F16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5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7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7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6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5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6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5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6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5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6"/>
      <c r="B11" s="19" t="s">
        <v>50</v>
      </c>
      <c r="C11" s="19"/>
      <c r="D11" s="25"/>
      <c r="E11" s="25">
        <v>20</v>
      </c>
      <c r="F11" s="25" t="s">
        <v>52</v>
      </c>
      <c r="G11" s="20"/>
    </row>
    <row r="12" spans="1:8" x14ac:dyDescent="0.25">
      <c r="A12" s="35">
        <v>46059</v>
      </c>
      <c r="B12" s="19" t="s">
        <v>53</v>
      </c>
      <c r="C12" s="19"/>
      <c r="D12" s="19"/>
      <c r="E12" s="19">
        <v>1</v>
      </c>
      <c r="F12" s="25" t="s">
        <v>52</v>
      </c>
      <c r="G12" s="20"/>
    </row>
    <row r="13" spans="1:8" x14ac:dyDescent="0.25">
      <c r="A13" s="36"/>
      <c r="B13" s="19" t="s">
        <v>51</v>
      </c>
      <c r="C13" s="19"/>
      <c r="D13" s="19"/>
      <c r="E13" s="19">
        <v>10</v>
      </c>
      <c r="F13" s="25" t="s">
        <v>52</v>
      </c>
      <c r="G13" s="20"/>
    </row>
    <row r="14" spans="1:8" x14ac:dyDescent="0.25">
      <c r="A14" s="18">
        <v>46060</v>
      </c>
      <c r="B14" s="19" t="s">
        <v>54</v>
      </c>
      <c r="C14" s="19"/>
      <c r="D14" s="19"/>
      <c r="E14" s="19">
        <v>6</v>
      </c>
      <c r="F14" s="25" t="s">
        <v>55</v>
      </c>
      <c r="G14" s="20"/>
    </row>
    <row r="15" spans="1:8" x14ac:dyDescent="0.25">
      <c r="A15" s="35">
        <v>46062</v>
      </c>
      <c r="B15" s="19" t="s">
        <v>50</v>
      </c>
      <c r="C15" s="19"/>
      <c r="D15" s="19"/>
      <c r="E15" s="19">
        <v>20</v>
      </c>
      <c r="F15" s="25" t="s">
        <v>56</v>
      </c>
      <c r="G15" s="20"/>
    </row>
    <row r="16" spans="1:8" ht="30" x14ac:dyDescent="0.25">
      <c r="A16" s="36"/>
      <c r="B16" s="19" t="s">
        <v>42</v>
      </c>
      <c r="C16" s="19"/>
      <c r="D16" s="19"/>
      <c r="E16" s="19">
        <v>12</v>
      </c>
      <c r="F16" s="19" t="s">
        <v>57</v>
      </c>
      <c r="G16" s="20"/>
    </row>
    <row r="17" spans="1:7" x14ac:dyDescent="0.25">
      <c r="A17" s="22"/>
      <c r="B17" s="19"/>
      <c r="C17" s="19"/>
      <c r="D17" s="19"/>
      <c r="E17" s="19"/>
      <c r="F17" s="19"/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6"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zoomScale="145" zoomScaleNormal="145" workbookViewId="0">
      <selection activeCell="J6" sqref="J6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72</v>
      </c>
      <c r="E4" s="4">
        <f>SUM('Nhập xuất tồn'!E4)</f>
        <v>109</v>
      </c>
      <c r="F4" s="4">
        <f>SUM(C4+D4-E4)</f>
        <v>50</v>
      </c>
      <c r="G4" s="6">
        <v>16</v>
      </c>
      <c r="H4" s="4">
        <f>SUM(F4-G4)</f>
        <v>34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8" t="s">
        <v>5</v>
      </c>
      <c r="B18" s="38"/>
      <c r="C18" s="12">
        <f>SUM(C3:C17)</f>
        <v>152</v>
      </c>
      <c r="D18" s="12">
        <f t="shared" ref="D18:F18" si="2">SUM(D3:D17)</f>
        <v>88</v>
      </c>
      <c r="E18" s="12">
        <f t="shared" si="2"/>
        <v>134</v>
      </c>
      <c r="F18" s="12">
        <f t="shared" si="2"/>
        <v>106</v>
      </c>
      <c r="G18" s="13">
        <f t="shared" ref="G18" si="3">SUM(G3:G17)</f>
        <v>17</v>
      </c>
      <c r="H18" s="12">
        <f t="shared" ref="H18" si="4">SUM(H3:H17)</f>
        <v>89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2026-02-10T01:22:18Z</dcterms:modified>
</cp:coreProperties>
</file>