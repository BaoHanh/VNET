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5C758CB3-9E4D-47E7-937C-F549A89C0E0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<sst xmlns="http://schemas.openxmlformats.org/spreadsheetml/2006/main" count="146" uniqueCount="47">
  <si>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</si>
  <si>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</si>
  <si>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</si>
  <si>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</si>
  <si>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</si>
  <si>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</si>
  <si>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</si>
  <si>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</si>
  <si>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</si>
  <si>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</si>
  <si>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</si>
  <si>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</si>
  <si>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</si>
  <si>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</si>
  <si>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</si>
  <si>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</si>
  <si>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</si>
  <si>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</si>
  <si>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</si>
  <si>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</si>
  <si>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</si>
  <si>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</si>
  <si>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</si>
  <si>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</si>
  <si>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</si>
  <si>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</si>
  <si>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</si>
  <si>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</si>
  <si>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</si>
  <si>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</si>
  <si>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</si>
  <si>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</si>
  <si>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</si>
  <si>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</si>
  <si>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</si>
  <si>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</si>
  <si>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</si>
  <si>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</si>
  <si>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</si>
  <si>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</si>
  <si>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</si>
  <si>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Chưa trả</t>
  </si>
  <si>
    <t>ĐL Hải Yến</t>
  </si>
  <si>
    <t>ĐL SEA</t>
  </si>
  <si>
    <t>ĐL Anh Tuấn BG</t>
  </si>
  <si>
    <t>Tuyên Hằng</t>
  </si>
  <si>
    <t>Đã trả (03/02/26)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</si>
</sst>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abSelected="1" zoomScale="115" zoomScaleNormal="115" workbookViewId="0">
      <selection activeCell="F27" sqref="F2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7" t="s">
        <v>38</v>
      </c>
      <c r="B1" s="28"/>
      <c r="C1" s="28"/>
      <c r="D1" s="28"/>
      <c r="E1" s="28"/>
      <c r="F1" s="28"/>
      <c r="G1" s="28"/>
      <c r="H1" s="29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0</v>
      </c>
      <c r="E3" s="4">
        <f>Xuất!AH4+Huỷ!AH3</f>
        <v>2</v>
      </c>
      <c r="F3" s="4">
        <f>C3+D3-E3</f>
        <v>1</v>
      </c>
      <c r="G3" s="6">
        <v>1</v>
      </c>
      <c r="H3" s="4">
        <f>F3-G3</f>
        <v>0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0</v>
      </c>
      <c r="E4" s="4">
        <f>Xuất!AH5+Huỷ!AH4</f>
        <v>19</v>
      </c>
      <c r="F4" s="4">
        <f>C4+D4-E4</f>
        <v>68</v>
      </c>
      <c r="G4" s="6">
        <v>16</v>
      </c>
      <c r="H4" s="4">
        <f t="shared" ref="H4:H22" si="0">F4-G4</f>
        <v>52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30" t="s">
        <v>5</v>
      </c>
      <c r="B23" s="30"/>
      <c r="C23" s="4">
        <f>SUM(C3:C22)</f>
        <v>152</v>
      </c>
      <c r="D23" s="4">
        <f t="shared" ref="D23:H23" si="2">SUM(D3:D22)</f>
        <v>0</v>
      </c>
      <c r="E23" s="4">
        <f t="shared" si="2"/>
        <v>44</v>
      </c>
      <c r="F23" s="4">
        <f t="shared" si="2"/>
        <v>108</v>
      </c>
      <c r="G23" s="4">
        <f t="shared" si="2"/>
        <v>18</v>
      </c>
      <c r="H23" s="4">
        <f t="shared" si="2"/>
        <v>90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H10" sqref="H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1" t="s">
        <v>8</v>
      </c>
      <c r="B1" s="32" t="s">
        <v>9</v>
      </c>
      <c r="C1" s="34" t="s">
        <v>12</v>
      </c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 t="s">
        <v>5</v>
      </c>
    </row>
    <row r="2" spans="1:34" x14ac:dyDescent="0.25">
      <c r="A2" s="31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4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G11" sqref="G11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</row>
    <row r="2" spans="1:34" x14ac:dyDescent="0.25">
      <c r="A2" s="34" t="s">
        <v>8</v>
      </c>
      <c r="B2" s="34" t="s">
        <v>9</v>
      </c>
      <c r="C2" s="34" t="s">
        <v>13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 t="s">
        <v>5</v>
      </c>
    </row>
    <row r="3" spans="1:34" x14ac:dyDescent="0.25">
      <c r="A3" s="34"/>
      <c r="B3" s="34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4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2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19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4" t="s">
        <v>8</v>
      </c>
      <c r="B1" s="34" t="s">
        <v>9</v>
      </c>
      <c r="C1" s="34" t="s">
        <v>12</v>
      </c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 t="s">
        <v>5</v>
      </c>
    </row>
    <row r="2" spans="1:34" x14ac:dyDescent="0.25">
      <c r="A2" s="34"/>
      <c r="B2" s="34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4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E15" sqref="E15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6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7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7"/>
      <c r="B4" s="19" t="s">
        <v>42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8"/>
      <c r="B5" s="19" t="s">
        <v>43</v>
      </c>
      <c r="C5" s="19"/>
      <c r="D5" s="19"/>
      <c r="E5" s="19">
        <v>6</v>
      </c>
      <c r="F5" s="19" t="s">
        <v>46</v>
      </c>
      <c r="G5" s="20"/>
    </row>
    <row r="6" spans="1:8" x14ac:dyDescent="0.25">
      <c r="A6" s="36">
        <v>46056</v>
      </c>
      <c r="B6" s="19" t="s">
        <v>44</v>
      </c>
      <c r="C6" s="19"/>
      <c r="D6" s="19"/>
      <c r="E6" s="19">
        <v>10</v>
      </c>
      <c r="F6" s="19" t="s">
        <v>41</v>
      </c>
      <c r="G6" s="20"/>
    </row>
    <row r="7" spans="1:8" x14ac:dyDescent="0.25">
      <c r="A7" s="38"/>
      <c r="B7" s="19" t="s">
        <v>45</v>
      </c>
      <c r="C7" s="19"/>
      <c r="D7" s="19"/>
      <c r="E7" s="19">
        <v>10</v>
      </c>
      <c r="F7" s="19" t="s">
        <v>46</v>
      </c>
      <c r="G7" s="20"/>
    </row>
    <row r="8" spans="1:8" x14ac:dyDescent="0.25">
      <c r="A8" s="18"/>
      <c r="B8" s="18"/>
      <c r="C8" s="18"/>
      <c r="D8" s="19"/>
      <c r="E8" s="19"/>
      <c r="F8" s="19"/>
      <c r="G8" s="20"/>
    </row>
    <row r="9" spans="1:8" x14ac:dyDescent="0.25">
      <c r="A9" s="18"/>
      <c r="B9" s="19"/>
      <c r="C9" s="19"/>
      <c r="D9" s="25"/>
      <c r="E9" s="25"/>
      <c r="F9" s="25"/>
      <c r="G9" s="20"/>
    </row>
    <row r="10" spans="1:8" x14ac:dyDescent="0.25">
      <c r="A10" s="18"/>
      <c r="B10" s="19"/>
      <c r="C10" s="19"/>
      <c r="D10" s="25"/>
      <c r="E10" s="25"/>
      <c r="F10" s="25"/>
      <c r="G10" s="20"/>
    </row>
    <row r="11" spans="1:8" x14ac:dyDescent="0.25">
      <c r="A11" s="18"/>
      <c r="B11" s="19"/>
      <c r="C11" s="19"/>
      <c r="D11" s="26"/>
      <c r="E11" s="26"/>
      <c r="F11" s="26"/>
      <c r="G11" s="20"/>
    </row>
    <row r="12" spans="1:8" x14ac:dyDescent="0.25">
      <c r="A12" s="18"/>
      <c r="B12" s="19"/>
      <c r="C12" s="19"/>
      <c r="D12" s="25"/>
      <c r="E12" s="25"/>
      <c r="F12" s="25"/>
      <c r="G12" s="20"/>
    </row>
    <row r="13" spans="1:8" x14ac:dyDescent="0.25">
      <c r="A13" s="18"/>
      <c r="B13" s="19"/>
      <c r="C13" s="19"/>
      <c r="D13" s="25"/>
      <c r="E13" s="25"/>
      <c r="F13" s="25"/>
      <c r="G13" s="20"/>
    </row>
    <row r="14" spans="1:8" x14ac:dyDescent="0.25">
      <c r="A14" s="18"/>
      <c r="B14" s="19"/>
      <c r="C14" s="19"/>
      <c r="D14" s="25"/>
      <c r="E14" s="25"/>
      <c r="F14" s="25"/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2">
    <mergeCell ref="A2:A5"/>
    <mergeCell ref="A6:A7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F8" sqref="F8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7" t="s">
        <v>38</v>
      </c>
      <c r="B1" s="28"/>
      <c r="C1" s="28"/>
      <c r="D1" s="28"/>
      <c r="E1" s="28"/>
      <c r="F1" s="28"/>
      <c r="G1" s="28"/>
      <c r="H1" s="29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0</v>
      </c>
      <c r="E3" s="4">
        <f>SUM('Nhập xuất tồn'!E3)</f>
        <v>2</v>
      </c>
      <c r="F3" s="4">
        <f>SUM(C3+D3-E3)</f>
        <v>1</v>
      </c>
      <c r="G3" s="6">
        <v>1</v>
      </c>
      <c r="H3" s="4">
        <f>SUM(F3-G3)</f>
        <v>0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0</v>
      </c>
      <c r="E4" s="4">
        <f>SUM('Nhập xuất tồn'!E4)</f>
        <v>19</v>
      </c>
      <c r="F4" s="4">
        <f>SUM(C4+D4-E4)</f>
        <v>68</v>
      </c>
      <c r="G4" s="6">
        <v>16</v>
      </c>
      <c r="H4" s="4">
        <f>SUM(F4-G4)</f>
        <v>52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9" t="s">
        <v>5</v>
      </c>
      <c r="B18" s="39"/>
      <c r="C18" s="12">
        <f>SUM(C3:C17)</f>
        <v>152</v>
      </c>
      <c r="D18" s="12">
        <f t="shared" ref="D18:F18" si="2">SUM(D3:D17)</f>
        <v>0</v>
      </c>
      <c r="E18" s="12">
        <f t="shared" si="2"/>
        <v>43</v>
      </c>
      <c r="F18" s="12">
        <f t="shared" si="2"/>
        <v>109</v>
      </c>
      <c r="G18" s="13">
        <f t="shared" ref="G18" si="3">SUM(G3:G17)</f>
        <v>17</v>
      </c>
      <c r="H18" s="12">
        <f t="shared" ref="H18" si="4">SUM(H3:H17)</f>
        <v>92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2026-02-03T10:13:38Z</dcterms:modified>
</cp:coreProperties>
</file>