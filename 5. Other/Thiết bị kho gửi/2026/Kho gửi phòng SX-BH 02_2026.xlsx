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4770916-0018-4316-A5E9-E70A272516D4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4" i="2" l="1"/>
  <c r="D50" i="5" l="1"/>
  <c r="E50" i="5"/>
  <c r="H18" i="6"/>
  <c r="G18" i="6"/>
  <c r="F18" i="6"/>
  <c r="E18" i="6"/>
  <c r="D18" i="6"/>
  <c r="H23" i="1"/>
  <c r="F23" i="1"/>
  <c r="E23" i="1"/>
  <c r="D23" i="1"/>
  <c r="C22" i="1"/>
  <c r="AH24" i="3"/>
  <c r="AH23" i="2"/>
  <c r="C7" i="1"/>
  <c r="E17" i="6"/>
  <c r="E13" i="6"/>
  <c r="E10" i="6"/>
  <c r="E6" i="6"/>
  <c r="E22" i="1"/>
  <c r="E21" i="1"/>
  <c r="E16" i="6" s="1"/>
  <c r="E20" i="1"/>
  <c r="E15" i="6" s="1"/>
  <c r="E19" i="1"/>
  <c r="E14" i="6" s="1"/>
  <c r="E18" i="1"/>
  <c r="E16" i="1"/>
  <c r="E11" i="6" s="1"/>
  <c r="E15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7" i="6" l="1"/>
  <c r="C18" i="1" l="1"/>
  <c r="C13" i="6" s="1"/>
  <c r="C14" i="6" l="1"/>
  <c r="AH13" i="2"/>
  <c r="G24" i="1"/>
  <c r="C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C19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E12" i="1" s="1"/>
  <c r="AH14" i="3"/>
  <c r="AH15" i="3"/>
  <c r="AH16" i="3"/>
  <c r="AH17" i="3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5" i="1" l="1"/>
  <c r="H15" i="1" s="1"/>
  <c r="E14" i="1"/>
  <c r="F12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H12" i="1" l="1"/>
  <c r="E24" i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F4" i="1"/>
  <c r="H4" i="1" s="1"/>
  <c r="D4" i="6"/>
  <c r="F4" i="6" s="1"/>
  <c r="H4" i="6" s="1"/>
  <c r="D3" i="6"/>
  <c r="F3" i="6" s="1"/>
  <c r="D24" i="1"/>
  <c r="F3" i="1"/>
  <c r="F10" i="1"/>
  <c r="D9" i="6"/>
  <c r="F9" i="6" s="1"/>
  <c r="H9" i="6" s="1"/>
  <c r="F24" i="1" l="1"/>
  <c r="F7" i="6"/>
  <c r="H7" i="6" s="1"/>
  <c r="H10" i="1"/>
  <c r="D19" i="6"/>
  <c r="H3" i="1"/>
  <c r="H24" i="1" s="1"/>
  <c r="H3" i="6"/>
  <c r="H19" i="6" l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AB3" authorId="0" shapeId="0" xr:uid="{E92DA64E-39C7-4707-8ECF-5DA2DB4C9513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4" authorId="0" shapeId="0" xr:uid="{EB044126-5D87-4C85-AA82-4FCA5FC7C5F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12" authorId="0" shapeId="0" xr:uid="{86BB30D9-A384-40EF-9501-703D46726E5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19" authorId="0" shapeId="0" xr:uid="{87C40E37-E9D9-4410-A584-E8ECF55CE023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  <comment ref="AB23" authorId="0" shapeId="0" xr:uid="{BD6FF468-9963-4997-B8DB-0BDBC73A65A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Thiết bị kho gửi kiểm tra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0" authorId="0" shapeId="0" xr:uid="{42C52D29-B044-43E9-AF8E-4FE118B3632E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AB11" authorId="0" shapeId="0" xr:uid="{3C3003CB-E462-4841-BB84-EC6B3A261E7F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AB13" authorId="0" shapeId="0" xr:uid="{D0F80204-B56E-4D1F-B0A1-9CDCBD6629D9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AB15" authorId="0" shapeId="0" xr:uid="{87FE6C22-5EC0-4DB6-A30F-B2D8ABA6AA74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NB trả lại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<sst xmlns="http://schemas.openxmlformats.org/spreadsheetml/2006/main" count="202" uniqueCount="76">
  <si>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</si>
  <si>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</si>
  <si>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</si>
  <si>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</si>
  <si>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</si>
  <si>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</si>
  <si>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</si>
  <si>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</si>
  <si>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</si>
  <si>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</si>
  <si>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</si>
  <si>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</si>
  <si>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</si>
  <si>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</si>
  <si>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</si>
  <si>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</si>
  <si>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</si>
  <si>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</si>
  <si>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</si>
  <si>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</si>
  <si>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</si>
  <si>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</si>
  <si>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</si>
  <si>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</si>
  <si>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</si>
  <si>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</si>
  <si>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</si>
  <si>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</si>
  <si>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</si>
  <si>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</si>
  <si>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</si>
  <si>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</si>
  <si>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</si>
  <si>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</si>
  <si>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</si>
  <si>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</si>
  <si>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</si>
  <si>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</si>
  <si>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</si>
  <si>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</si>
  <si>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</si>
  <si>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</si>
  <si>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</si>
  <si>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</si>
  <si>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</si>
  <si>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</si>
  <si>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</si>
  <si>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</si>
  <si>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</si>
  <si>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</si>
  <si>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</si>
  <si>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</si>
  <si>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</si>
  <si>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</si>
  <si>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</si>
  <si>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</si>
  <si>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</si>
  <si>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</si>
  <si>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</si>
  <si>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</si>
  <si>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</si>
  <si>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</si>
  <si>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</si>
  <si>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</si>
  <si>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</si>
  <si>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</si>
  <si>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</si>
  <si>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</si>
  <si>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</si>
  <si>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Chưa trả</t>
  </si>
  <si>
    <t>Đã trả (26/02/26)</t>
  </si>
  <si>
    <t>ĐL Dũng Thu</t>
  </si>
  <si>
    <t>Mắt camera</t>
  </si>
  <si>
    <t>Mắt Camera</t>
  </si>
  <si>
    <t>Chuyển qua tháng 03/2026</t>
  </si>
  <si>
    <t>Đã trả 20 VNSH01 (27/02/26)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</si>
</sst>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J16" sqref="J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37</v>
      </c>
      <c r="E3" s="3">
        <f>Xuất!AH4+Huỷ!AH3</f>
        <v>38</v>
      </c>
      <c r="F3" s="3">
        <f>C3+D3-E3</f>
        <v>2</v>
      </c>
      <c r="G3" s="4">
        <v>1</v>
      </c>
      <c r="H3" s="3">
        <f>F3-G3</f>
        <v>1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223</v>
      </c>
      <c r="E4" s="3">
        <f>Xuất!AH5+Huỷ!AH4</f>
        <v>190</v>
      </c>
      <c r="F4" s="3">
        <f>C4+D4-E4</f>
        <v>120</v>
      </c>
      <c r="G4" s="4">
        <v>16</v>
      </c>
      <c r="H4" s="3">
        <f t="shared" ref="H4:H22" si="0">F4-G4</f>
        <v>104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19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8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12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3</v>
      </c>
      <c r="E12" s="3">
        <f>Xuất!AH13</f>
        <v>3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2</v>
      </c>
      <c r="E14" s="3">
        <f>Xuất!AH15</f>
        <v>2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1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72</v>
      </c>
      <c r="C23" s="3"/>
      <c r="D23" s="3">
        <f>SUM(Nhập!AH23)</f>
        <v>3</v>
      </c>
      <c r="E23" s="3">
        <f>SUM(Xuất!AH24)</f>
        <v>0</v>
      </c>
      <c r="F23" s="3">
        <f>SUM(C23+D23)-E23</f>
        <v>3</v>
      </c>
      <c r="G23" s="4"/>
      <c r="H23" s="3">
        <f>SUM(F23-G23)</f>
        <v>3</v>
      </c>
    </row>
    <row r="24" spans="1:8" x14ac:dyDescent="0.25">
      <c r="A24" s="26" t="s">
        <v>5</v>
      </c>
      <c r="B24" s="26"/>
      <c r="C24" s="3">
        <f>SUM(C3:C22)</f>
        <v>152</v>
      </c>
      <c r="D24" s="3">
        <f t="shared" ref="D24:G24" si="2">SUM(D3:D22)</f>
        <v>273</v>
      </c>
      <c r="E24" s="3">
        <f t="shared" si="2"/>
        <v>292</v>
      </c>
      <c r="F24" s="3">
        <f>SUM(F3:F23)</f>
        <v>136</v>
      </c>
      <c r="G24" s="3">
        <f t="shared" si="2"/>
        <v>18</v>
      </c>
      <c r="H24" s="3">
        <f>SUM(H3:H23)</f>
        <v>118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Q14" sqref="Q14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>
        <v>20</v>
      </c>
      <c r="AB3" s="5">
        <v>1</v>
      </c>
      <c r="AC3" s="5"/>
      <c r="AD3" s="5"/>
      <c r="AE3" s="5"/>
      <c r="AF3" s="5"/>
      <c r="AG3" s="5"/>
      <c r="AH3" s="5">
        <f>SUM(C3:AG3)</f>
        <v>37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>
        <v>60</v>
      </c>
      <c r="AA4" s="5">
        <v>90</v>
      </c>
      <c r="AB4" s="5">
        <v>1</v>
      </c>
      <c r="AC4" s="5"/>
      <c r="AD4" s="5"/>
      <c r="AE4" s="5"/>
      <c r="AF4" s="5"/>
      <c r="AG4" s="5"/>
      <c r="AH4" s="5">
        <f t="shared" ref="AH4:AH19" si="0">SUM(C4:AG4)</f>
        <v>223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2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>
        <v>1</v>
      </c>
      <c r="AC12" s="5"/>
      <c r="AD12" s="5"/>
      <c r="AE12" s="5"/>
      <c r="AF12" s="5"/>
      <c r="AG12" s="5"/>
      <c r="AH12" s="5">
        <f t="shared" si="0"/>
        <v>3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>
        <v>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2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>
        <v>1</v>
      </c>
      <c r="AC19" s="5"/>
      <c r="AD19" s="5"/>
      <c r="AE19" s="5"/>
      <c r="AF19" s="5"/>
      <c r="AG19" s="5"/>
      <c r="AH19" s="5">
        <f t="shared" si="0"/>
        <v>1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>
        <v>3</v>
      </c>
      <c r="AC23" s="6"/>
      <c r="AD23" s="6"/>
      <c r="AE23" s="6"/>
      <c r="AF23" s="6"/>
      <c r="AG23" s="6"/>
      <c r="AH23" s="6">
        <f>SUM(C23:AG23)</f>
        <v>3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D6" sqref="AD6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>
        <v>3</v>
      </c>
      <c r="AC4" s="5">
        <v>20</v>
      </c>
      <c r="AD4" s="5"/>
      <c r="AE4" s="5"/>
      <c r="AF4" s="5"/>
      <c r="AG4" s="5"/>
      <c r="AH4" s="5">
        <f>SUM(C4:AG4)</f>
        <v>38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13</v>
      </c>
      <c r="AA5" s="5">
        <v>30</v>
      </c>
      <c r="AB5" s="5">
        <v>7</v>
      </c>
      <c r="AC5" s="5">
        <v>0</v>
      </c>
      <c r="AD5" s="5"/>
      <c r="AE5" s="5"/>
      <c r="AF5" s="5"/>
      <c r="AG5" s="5"/>
      <c r="AH5" s="5">
        <f t="shared" ref="AH5:AH18" si="0">SUM(C5:AG5)</f>
        <v>190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>
        <v>14</v>
      </c>
      <c r="AA8" s="5"/>
      <c r="AB8" s="5"/>
      <c r="AC8" s="5"/>
      <c r="AD8" s="5"/>
      <c r="AE8" s="5"/>
      <c r="AF8" s="5"/>
      <c r="AG8" s="5"/>
      <c r="AH8" s="5">
        <f t="shared" si="0"/>
        <v>19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7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>
        <v>2</v>
      </c>
      <c r="AC10" s="5"/>
      <c r="AD10" s="5"/>
      <c r="AE10" s="5"/>
      <c r="AF10" s="5"/>
      <c r="AG10" s="5"/>
      <c r="AH10" s="5">
        <f t="shared" si="0"/>
        <v>8</v>
      </c>
    </row>
    <row r="11" spans="1:34" x14ac:dyDescent="0.25">
      <c r="A11" s="5">
        <v>8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>
        <v>5</v>
      </c>
      <c r="AC11" s="5"/>
      <c r="AD11" s="5"/>
      <c r="AE11" s="5"/>
      <c r="AF11" s="5"/>
      <c r="AG11" s="5"/>
      <c r="AH11" s="5">
        <f t="shared" si="0"/>
        <v>12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>
        <v>2</v>
      </c>
      <c r="AC13" s="5"/>
      <c r="AD13" s="5"/>
      <c r="AE13" s="5"/>
      <c r="AF13" s="5"/>
      <c r="AG13" s="5"/>
      <c r="AH13" s="5">
        <f t="shared" si="0"/>
        <v>3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>
        <v>2</v>
      </c>
      <c r="AC15" s="5"/>
      <c r="AD15" s="5"/>
      <c r="AE15" s="5"/>
      <c r="AF15" s="5"/>
      <c r="AG15" s="5"/>
      <c r="AH15" s="5">
        <f t="shared" si="0"/>
        <v>2</v>
      </c>
    </row>
    <row r="16" spans="1:34" x14ac:dyDescent="0.25">
      <c r="A16" s="5">
        <v>13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72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E31" sqref="E3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abSelected="1" workbookViewId="0">
      <selection activeCell="K16" sqref="K16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2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2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2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2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2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2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2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2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2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2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2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2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2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2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2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2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3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5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4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3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5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4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x14ac:dyDescent="0.25">
      <c r="A27" s="33">
        <v>46078</v>
      </c>
      <c r="B27" s="15" t="s">
        <v>62</v>
      </c>
      <c r="C27" s="15"/>
      <c r="D27" s="15">
        <v>20</v>
      </c>
      <c r="E27" s="15">
        <v>100</v>
      </c>
      <c r="F27" s="15" t="s">
        <v>69</v>
      </c>
      <c r="G27" s="16" t="s">
        <v>75</v>
      </c>
    </row>
    <row r="28" spans="1:7" x14ac:dyDescent="0.25">
      <c r="A28" s="34"/>
      <c r="B28" s="15" t="s">
        <v>50</v>
      </c>
      <c r="C28" s="15"/>
      <c r="D28" s="15"/>
      <c r="E28" s="15">
        <v>30</v>
      </c>
      <c r="F28" s="18" t="s">
        <v>70</v>
      </c>
      <c r="G28" s="16"/>
    </row>
    <row r="29" spans="1:7" x14ac:dyDescent="0.25">
      <c r="A29" s="33">
        <v>46079</v>
      </c>
      <c r="B29" s="15" t="s">
        <v>64</v>
      </c>
      <c r="C29" s="15"/>
      <c r="D29" s="15">
        <v>3</v>
      </c>
      <c r="E29" s="15">
        <v>6</v>
      </c>
      <c r="F29" s="18" t="s">
        <v>70</v>
      </c>
      <c r="G29" s="16"/>
    </row>
    <row r="30" spans="1:7" x14ac:dyDescent="0.25">
      <c r="A30" s="35"/>
      <c r="B30" s="15" t="s">
        <v>71</v>
      </c>
      <c r="C30" s="15"/>
      <c r="D30" s="15"/>
      <c r="E30" s="15">
        <v>1</v>
      </c>
      <c r="F30" s="18" t="s">
        <v>70</v>
      </c>
      <c r="G30" s="16"/>
    </row>
    <row r="31" spans="1:7" x14ac:dyDescent="0.25">
      <c r="A31" s="34"/>
      <c r="B31" s="15" t="s">
        <v>50</v>
      </c>
      <c r="C31" s="15"/>
      <c r="D31" s="15"/>
      <c r="E31" s="15">
        <v>20</v>
      </c>
      <c r="F31" s="18" t="s">
        <v>69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69</v>
      </c>
      <c r="G32" s="16" t="s">
        <v>74</v>
      </c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4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340</v>
      </c>
    </row>
  </sheetData>
  <autoFilter ref="A1:F7" xr:uid="{171653DB-B967-4059-9CE3-FD13B7B63DBC}"/>
  <mergeCells count="11">
    <mergeCell ref="A27:A28"/>
    <mergeCell ref="A24:A26"/>
    <mergeCell ref="A21:A23"/>
    <mergeCell ref="A19:A20"/>
    <mergeCell ref="A29:A31"/>
    <mergeCell ref="A15:A16"/>
    <mergeCell ref="A2:A5"/>
    <mergeCell ref="A6:A7"/>
    <mergeCell ref="A8:A9"/>
    <mergeCell ref="A10:A11"/>
    <mergeCell ref="A12:A1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I2" sqref="I2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37</v>
      </c>
      <c r="E3" s="3">
        <f>SUM('Nhập xuất tồn'!E3)</f>
        <v>38</v>
      </c>
      <c r="F3" s="3">
        <f>SUM(C3+D3-E3)</f>
        <v>2</v>
      </c>
      <c r="G3" s="4">
        <v>1</v>
      </c>
      <c r="H3" s="3">
        <f>SUM(F3-G3)</f>
        <v>1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223</v>
      </c>
      <c r="E4" s="3">
        <f>SUM('Nhập xuất tồn'!E4)</f>
        <v>190</v>
      </c>
      <c r="F4" s="3">
        <f>SUM(C4+D4-E4)</f>
        <v>120</v>
      </c>
      <c r="G4" s="4">
        <v>14</v>
      </c>
      <c r="H4" s="3">
        <f>SUM(F4-G4)</f>
        <v>106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7</v>
      </c>
      <c r="E7" s="3">
        <f>SUM('Nhập xuất tồn'!E7,'Nhập xuất tồn'!E8,'Nhập xuất tồn'!E9,'Nhập xuất tồn'!E12,'Nhập xuất tồn'!E14)</f>
        <v>35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12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1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73</v>
      </c>
      <c r="C18" s="3"/>
      <c r="D18" s="3">
        <f>'Nhập xuất tồn'!D23</f>
        <v>3</v>
      </c>
      <c r="E18" s="3">
        <f>'Nhập xuất tồn'!E23</f>
        <v>0</v>
      </c>
      <c r="F18" s="3">
        <f>'Nhập xuất tồn'!F23</f>
        <v>3</v>
      </c>
      <c r="G18" s="4">
        <f>'Nhập xuất tồn'!G23</f>
        <v>0</v>
      </c>
      <c r="H18" s="3">
        <f>'Nhập xuất tồn'!H23</f>
        <v>3</v>
      </c>
    </row>
    <row r="19" spans="1:8" x14ac:dyDescent="0.25">
      <c r="A19" s="36" t="s">
        <v>5</v>
      </c>
      <c r="B19" s="36"/>
      <c r="C19" s="10">
        <f>SUM(C3:C17)</f>
        <v>152</v>
      </c>
      <c r="D19" s="10">
        <f>SUM(D3:D17)</f>
        <v>273</v>
      </c>
      <c r="E19" s="10">
        <f>SUM(E3:E17)</f>
        <v>292</v>
      </c>
      <c r="F19" s="10">
        <f>SUM(F3:F18)</f>
        <v>136</v>
      </c>
      <c r="G19" s="11">
        <f>SUM(G3:G17)</f>
        <v>15</v>
      </c>
      <c r="H19" s="10">
        <f>SUM(H3:H18)</f>
        <v>121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2026-03-02T02:23:11Z</dcterms:modified>
</cp:coreProperties>
</file>