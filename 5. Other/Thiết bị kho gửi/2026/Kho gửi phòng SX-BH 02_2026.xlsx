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C6A380A5-7145-4853-9E89-378FD4040BB9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6" l="1"/>
  <c r="C7" i="1"/>
  <c r="E16" i="6"/>
  <c r="E17" i="6"/>
  <c r="E15" i="6"/>
  <c r="E14" i="6"/>
  <c r="E12" i="6"/>
  <c r="E13" i="6"/>
  <c r="E11" i="6"/>
  <c r="E10" i="6"/>
  <c r="E6" i="6"/>
  <c r="E22" i="1"/>
  <c r="E21" i="1"/>
  <c r="E20" i="1"/>
  <c r="E19" i="1"/>
  <c r="E18" i="1"/>
  <c r="E16" i="1"/>
  <c r="E15" i="1"/>
  <c r="E14" i="1"/>
  <c r="E12" i="1"/>
  <c r="E11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6"/>
  <c r="F7" i="6" s="1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AH13" i="3"/>
  <c r="AH14" i="3"/>
  <c r="AH15" i="3"/>
  <c r="F15" i="1" s="1"/>
  <c r="H15" i="1" s="1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F14" i="1" l="1"/>
  <c r="H14" i="1" s="1"/>
  <c r="E13" i="1"/>
  <c r="E8" i="6" s="1"/>
  <c r="E5" i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23" i="1" l="1"/>
  <c r="F13" i="1"/>
  <c r="H13" i="1" s="1"/>
  <c r="E18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O8" authorId="0" shapeId="0" xr:uid="{A3CCFC3D-156C-4148-B37C-09D3AB492536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O9" authorId="0" shapeId="0" xr:uid="{1039F452-A7FF-410A-A73E-93A06A6BEFF8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O10" authorId="0" shapeId="0" xr:uid="{8CA85BBD-110E-46AC-83C0-D4FAE47AEA47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O14" authorId="0" shapeId="0" xr:uid="{86B6E639-5532-4875-9F83-35B6F2D7F7BC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Anh Tuấn BG nhập lại kho VNET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<sst xmlns="http://schemas.openxmlformats.org/spreadsheetml/2006/main" count="172" uniqueCount="64">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</sst>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tabSelected="1" zoomScale="115" zoomScaleNormal="115" workbookViewId="0">
      <selection activeCell="K18" sqref="K1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1" t="s">
        <v>38</v>
      </c>
      <c r="B1" s="22"/>
      <c r="C1" s="22"/>
      <c r="D1" s="22"/>
      <c r="E1" s="22"/>
      <c r="F1" s="22"/>
      <c r="G1" s="22"/>
      <c r="H1" s="23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3</v>
      </c>
      <c r="D3" s="3">
        <f>Nhập!AH3</f>
        <v>16</v>
      </c>
      <c r="E3" s="3">
        <f>Xuất!AH4+Huỷ!AH3</f>
        <v>15</v>
      </c>
      <c r="F3" s="3">
        <f>C3+D3-E3</f>
        <v>4</v>
      </c>
      <c r="G3" s="4">
        <v>1</v>
      </c>
      <c r="H3" s="3">
        <f>F3-G3</f>
        <v>3</v>
      </c>
    </row>
    <row r="4" spans="1:8" x14ac:dyDescent="0.25">
      <c r="A4" s="3">
        <v>2</v>
      </c>
      <c r="B4" s="3" t="s">
        <v>1</v>
      </c>
      <c r="C4" s="3">
        <f>'[1]Nhập xuất tồn'!F4</f>
        <v>87</v>
      </c>
      <c r="D4" s="3">
        <f>Nhập!AH4</f>
        <v>72</v>
      </c>
      <c r="E4" s="3">
        <f>Xuất!AH5+Huỷ!AH4</f>
        <v>135</v>
      </c>
      <c r="F4" s="3">
        <f>C4+D4-E4</f>
        <v>24</v>
      </c>
      <c r="G4" s="4">
        <v>16</v>
      </c>
      <c r="H4" s="3">
        <f t="shared" ref="H4:H22" si="0">F4-G4</f>
        <v>8</v>
      </c>
    </row>
    <row r="5" spans="1:8" x14ac:dyDescent="0.25">
      <c r="A5" s="3">
        <v>3</v>
      </c>
      <c r="B5" s="3" t="s">
        <v>18</v>
      </c>
      <c r="C5" s="3">
        <f>'[1]Nhập xuất tồn'!F5</f>
        <v>5</v>
      </c>
      <c r="D5" s="3">
        <f>Nhập!AH5</f>
        <v>0</v>
      </c>
      <c r="E5" s="3">
        <f>Xuất!AH6+Huỷ!AH5</f>
        <v>5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3</v>
      </c>
      <c r="D6" s="3">
        <f>Nhập!AH6</f>
        <v>0</v>
      </c>
      <c r="E6" s="3">
        <f>Xuất!AH7</f>
        <v>3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19</v>
      </c>
      <c r="D7" s="3">
        <f>Nhập!AH7</f>
        <v>0</v>
      </c>
      <c r="E7" s="3">
        <f>Xuất!AH8</f>
        <v>5</v>
      </c>
      <c r="F7" s="3">
        <f t="shared" si="1"/>
        <v>14</v>
      </c>
      <c r="G7" s="4">
        <v>0</v>
      </c>
      <c r="H7" s="3">
        <f t="shared" si="0"/>
        <v>14</v>
      </c>
    </row>
    <row r="8" spans="1:8" x14ac:dyDescent="0.25">
      <c r="A8" s="3">
        <v>6</v>
      </c>
      <c r="B8" s="3" t="s">
        <v>21</v>
      </c>
      <c r="C8" s="3">
        <f>'[1]Nhập xuất tồn'!F8</f>
        <v>3</v>
      </c>
      <c r="D8" s="3">
        <f>Nhập!AH8</f>
        <v>0</v>
      </c>
      <c r="E8" s="3">
        <f>Xuất!AH9</f>
        <v>3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6</v>
      </c>
      <c r="D9" s="3">
        <f>Nhập!AH9</f>
        <v>2</v>
      </c>
      <c r="E9" s="3">
        <f>Xuất!AH10</f>
        <v>6</v>
      </c>
      <c r="F9" s="3">
        <f t="shared" si="1"/>
        <v>2</v>
      </c>
      <c r="G9" s="4">
        <v>0</v>
      </c>
      <c r="H9" s="3">
        <f t="shared" si="0"/>
        <v>2</v>
      </c>
    </row>
    <row r="10" spans="1:8" x14ac:dyDescent="0.25">
      <c r="A10" s="3">
        <v>8</v>
      </c>
      <c r="B10" s="3" t="s">
        <v>23</v>
      </c>
      <c r="C10" s="3">
        <f>'[1]Nhập xuất tồn'!F10</f>
        <v>8</v>
      </c>
      <c r="D10" s="3">
        <f>Nhập!AH10</f>
        <v>5</v>
      </c>
      <c r="E10" s="3">
        <f>Xuất!AH11</f>
        <v>7</v>
      </c>
      <c r="F10" s="3">
        <f t="shared" si="1"/>
        <v>6</v>
      </c>
      <c r="G10" s="4">
        <v>0</v>
      </c>
      <c r="H10" s="3">
        <f t="shared" si="0"/>
        <v>6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4</v>
      </c>
      <c r="E12" s="3">
        <f>Xuất!AH13</f>
        <v>1</v>
      </c>
      <c r="F12" s="3">
        <f t="shared" si="1"/>
        <v>4</v>
      </c>
      <c r="G12" s="4">
        <v>0</v>
      </c>
      <c r="H12" s="3">
        <f t="shared" si="0"/>
        <v>4</v>
      </c>
    </row>
    <row r="13" spans="1:8" x14ac:dyDescent="0.25">
      <c r="A13" s="3">
        <v>11</v>
      </c>
      <c r="B13" s="3" t="s">
        <v>26</v>
      </c>
      <c r="C13" s="3">
        <f>'[1]Nhập xuất tồn'!F13</f>
        <v>4</v>
      </c>
      <c r="D13" s="3">
        <f>Nhập!AH13</f>
        <v>0</v>
      </c>
      <c r="E13" s="3">
        <f>Xuất!AH14</f>
        <v>4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1</v>
      </c>
      <c r="D15" s="3">
        <f>Nhập!AH15</f>
        <v>0</v>
      </c>
      <c r="E15" s="3">
        <f>Xuất!AH16</f>
        <v>1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4</v>
      </c>
      <c r="D17" s="3">
        <f>Nhập!AH17</f>
        <v>0</v>
      </c>
      <c r="E17" s="3">
        <f>Xuất!AH18</f>
        <v>4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/>
      <c r="D19" s="3">
        <f>Nhập!AH19</f>
        <v>0</v>
      </c>
      <c r="E19" s="3">
        <f>Xuất!AH20</f>
        <v>0</v>
      </c>
      <c r="F19" s="3">
        <f t="shared" si="1"/>
        <v>0</v>
      </c>
      <c r="G19" s="4"/>
      <c r="H19" s="3">
        <f t="shared" si="0"/>
        <v>0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24" t="s">
        <v>5</v>
      </c>
      <c r="B23" s="24"/>
      <c r="C23" s="3">
        <f>SUM(C3:C22)</f>
        <v>152</v>
      </c>
      <c r="D23" s="3">
        <f t="shared" ref="D23:H23" si="2">SUM(D3:D22)</f>
        <v>99</v>
      </c>
      <c r="E23" s="3">
        <f t="shared" si="2"/>
        <v>189</v>
      </c>
      <c r="F23" s="3">
        <f t="shared" si="2"/>
        <v>62</v>
      </c>
      <c r="G23" s="3">
        <f t="shared" si="2"/>
        <v>18</v>
      </c>
      <c r="H23" s="3">
        <f t="shared" si="2"/>
        <v>44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O9" sqref="O9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5" t="s">
        <v>8</v>
      </c>
      <c r="B1" s="26" t="s">
        <v>9</v>
      </c>
      <c r="C1" s="28" t="s">
        <v>12</v>
      </c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 t="s">
        <v>5</v>
      </c>
    </row>
    <row r="2" spans="1:34" x14ac:dyDescent="0.25">
      <c r="A2" s="25"/>
      <c r="B2" s="27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8"/>
    </row>
    <row r="3" spans="1:34" x14ac:dyDescent="0.25">
      <c r="A3" s="5">
        <v>1</v>
      </c>
      <c r="B3" s="5" t="s">
        <v>0</v>
      </c>
      <c r="C3" s="5"/>
      <c r="D3" s="5"/>
      <c r="E3" s="5"/>
      <c r="F3" s="5">
        <v>16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16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>
        <v>72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72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2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2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5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>
        <v>4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4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AJ27" sqref="AJ27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 spans="1:34" x14ac:dyDescent="0.25">
      <c r="A2" s="28" t="s">
        <v>8</v>
      </c>
      <c r="B2" s="28" t="s">
        <v>9</v>
      </c>
      <c r="C2" s="28" t="s">
        <v>13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 t="s">
        <v>5</v>
      </c>
    </row>
    <row r="3" spans="1:34" x14ac:dyDescent="0.25">
      <c r="A3" s="28"/>
      <c r="B3" s="28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28"/>
    </row>
    <row r="4" spans="1:34" x14ac:dyDescent="0.25">
      <c r="A4" s="5">
        <v>1</v>
      </c>
      <c r="B4" s="5" t="s">
        <v>0</v>
      </c>
      <c r="C4" s="5"/>
      <c r="D4" s="5">
        <v>2</v>
      </c>
      <c r="E4" s="5"/>
      <c r="F4" s="5">
        <v>1</v>
      </c>
      <c r="G4" s="5"/>
      <c r="H4" s="5"/>
      <c r="I4" s="5"/>
      <c r="J4" s="5"/>
      <c r="K4" s="5"/>
      <c r="L4" s="5"/>
      <c r="M4" s="5"/>
      <c r="N4" s="5"/>
      <c r="O4" s="5">
        <v>12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15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16</v>
      </c>
      <c r="F5" s="5">
        <v>11</v>
      </c>
      <c r="G5" s="5">
        <v>10</v>
      </c>
      <c r="H5" s="5">
        <v>31</v>
      </c>
      <c r="I5" s="5">
        <v>6</v>
      </c>
      <c r="J5" s="5"/>
      <c r="K5" s="5">
        <v>32</v>
      </c>
      <c r="L5" s="5">
        <v>10</v>
      </c>
      <c r="M5" s="5">
        <v>6</v>
      </c>
      <c r="N5" s="5"/>
      <c r="O5" s="5">
        <v>10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135</v>
      </c>
    </row>
    <row r="6" spans="1:34" x14ac:dyDescent="0.25">
      <c r="A6" s="5">
        <v>3</v>
      </c>
      <c r="B6" s="5" t="s">
        <v>18</v>
      </c>
      <c r="C6" s="5"/>
      <c r="D6" s="5"/>
      <c r="E6" s="5">
        <v>5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5</v>
      </c>
    </row>
    <row r="7" spans="1:34" x14ac:dyDescent="0.25">
      <c r="A7" s="5">
        <v>4</v>
      </c>
      <c r="B7" s="5" t="s">
        <v>19</v>
      </c>
      <c r="C7" s="5"/>
      <c r="D7" s="5"/>
      <c r="E7" s="5">
        <v>3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3</v>
      </c>
    </row>
    <row r="8" spans="1:34" x14ac:dyDescent="0.25">
      <c r="A8" s="5">
        <v>5</v>
      </c>
      <c r="B8" s="5" t="s">
        <v>20</v>
      </c>
      <c r="C8" s="5"/>
      <c r="D8" s="5"/>
      <c r="E8" s="5">
        <v>1</v>
      </c>
      <c r="F8" s="5"/>
      <c r="G8" s="5"/>
      <c r="H8" s="5"/>
      <c r="I8" s="5"/>
      <c r="J8" s="5"/>
      <c r="K8" s="5"/>
      <c r="L8" s="5"/>
      <c r="M8" s="5"/>
      <c r="N8" s="5"/>
      <c r="O8" s="5">
        <v>4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5</v>
      </c>
    </row>
    <row r="9" spans="1:34" x14ac:dyDescent="0.25">
      <c r="A9" s="5">
        <v>7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>
        <v>3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3</v>
      </c>
    </row>
    <row r="10" spans="1:34" x14ac:dyDescent="0.25">
      <c r="A10" s="5">
        <v>8</v>
      </c>
      <c r="B10" s="5" t="s">
        <v>22</v>
      </c>
      <c r="C10" s="5"/>
      <c r="D10" s="5"/>
      <c r="E10" s="5">
        <v>1</v>
      </c>
      <c r="F10" s="5"/>
      <c r="G10" s="5"/>
      <c r="H10" s="5"/>
      <c r="I10" s="5"/>
      <c r="J10" s="5"/>
      <c r="K10" s="5"/>
      <c r="L10" s="5"/>
      <c r="M10" s="5"/>
      <c r="N10" s="5"/>
      <c r="O10" s="5">
        <v>5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6</v>
      </c>
    </row>
    <row r="11" spans="1:34" x14ac:dyDescent="0.25">
      <c r="A11" s="5">
        <v>9</v>
      </c>
      <c r="B11" s="5" t="s">
        <v>23</v>
      </c>
      <c r="C11" s="5"/>
      <c r="D11" s="5"/>
      <c r="E11" s="5">
        <v>7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7</v>
      </c>
    </row>
    <row r="12" spans="1:34" x14ac:dyDescent="0.25">
      <c r="A12" s="5">
        <v>10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25</v>
      </c>
      <c r="C13" s="5"/>
      <c r="D13" s="5"/>
      <c r="E13" s="5">
        <v>1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1</v>
      </c>
    </row>
    <row r="14" spans="1:34" x14ac:dyDescent="0.25">
      <c r="A14" s="5">
        <v>12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>
        <v>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4</v>
      </c>
    </row>
    <row r="15" spans="1:34" x14ac:dyDescent="0.25">
      <c r="A15" s="5">
        <v>13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28</v>
      </c>
      <c r="C16" s="5"/>
      <c r="D16" s="5"/>
      <c r="E16" s="5">
        <v>1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1</v>
      </c>
    </row>
    <row r="17" spans="1:34" x14ac:dyDescent="0.25">
      <c r="A17" s="5">
        <v>15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30</v>
      </c>
      <c r="C18" s="5"/>
      <c r="D18" s="5"/>
      <c r="E18" s="5">
        <v>4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4</v>
      </c>
    </row>
    <row r="19" spans="1:34" x14ac:dyDescent="0.25">
      <c r="A19" s="5"/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/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28" t="s">
        <v>8</v>
      </c>
      <c r="B1" s="28" t="s">
        <v>9</v>
      </c>
      <c r="C1" s="28" t="s">
        <v>12</v>
      </c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 t="s">
        <v>5</v>
      </c>
    </row>
    <row r="2" spans="1:34" x14ac:dyDescent="0.25">
      <c r="A2" s="28"/>
      <c r="B2" s="28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8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workbookViewId="0">
      <selection activeCell="L7" sqref="L7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32" t="s">
        <v>17</v>
      </c>
      <c r="B1" s="32" t="s">
        <v>16</v>
      </c>
      <c r="C1" s="32" t="s">
        <v>35</v>
      </c>
      <c r="D1" s="32" t="s">
        <v>0</v>
      </c>
      <c r="E1" s="32" t="s">
        <v>1</v>
      </c>
      <c r="F1" s="32" t="s">
        <v>15</v>
      </c>
      <c r="G1" s="33" t="s">
        <v>37</v>
      </c>
      <c r="H1" s="12"/>
    </row>
    <row r="2" spans="1:8" x14ac:dyDescent="0.25">
      <c r="A2" s="30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0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0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0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0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0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0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0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0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0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0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0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0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0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0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0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14"/>
      <c r="B21" s="15"/>
      <c r="C21" s="15"/>
      <c r="D21" s="15"/>
      <c r="E21" s="15"/>
      <c r="F21" s="15"/>
      <c r="G21" s="16"/>
    </row>
    <row r="22" spans="1:7" x14ac:dyDescent="0.25">
      <c r="A22" s="14"/>
      <c r="B22" s="15"/>
      <c r="C22" s="15"/>
      <c r="D22" s="15"/>
      <c r="E22" s="15"/>
      <c r="F22" s="15"/>
      <c r="G22" s="16"/>
    </row>
    <row r="23" spans="1:7" x14ac:dyDescent="0.25">
      <c r="A23" s="14"/>
      <c r="B23" s="15"/>
      <c r="C23" s="15"/>
      <c r="D23" s="15"/>
      <c r="E23" s="15"/>
      <c r="F23" s="15"/>
      <c r="G23" s="16"/>
    </row>
    <row r="24" spans="1:7" x14ac:dyDescent="0.25">
      <c r="A24" s="14"/>
      <c r="B24" s="15"/>
      <c r="C24" s="15"/>
      <c r="D24" s="15"/>
      <c r="E24" s="15"/>
      <c r="F24" s="15"/>
      <c r="G24" s="16"/>
    </row>
    <row r="25" spans="1:7" x14ac:dyDescent="0.25">
      <c r="A25" s="14"/>
      <c r="B25" s="15"/>
      <c r="C25" s="15"/>
      <c r="D25" s="15"/>
      <c r="E25" s="15"/>
      <c r="F25" s="15"/>
      <c r="G25" s="16"/>
    </row>
    <row r="26" spans="1:7" x14ac:dyDescent="0.25">
      <c r="A26" s="14"/>
      <c r="B26" s="15"/>
      <c r="C26" s="15"/>
      <c r="D26" s="15"/>
      <c r="E26" s="15"/>
      <c r="F26" s="15"/>
      <c r="G26" s="16"/>
    </row>
    <row r="27" spans="1:7" x14ac:dyDescent="0.25">
      <c r="A27" s="14"/>
      <c r="B27" s="15"/>
      <c r="C27" s="15"/>
      <c r="D27" s="15"/>
      <c r="E27" s="15"/>
      <c r="F27" s="15"/>
      <c r="G27" s="16"/>
    </row>
    <row r="28" spans="1:7" x14ac:dyDescent="0.25">
      <c r="A28" s="14"/>
      <c r="B28" s="15"/>
      <c r="C28" s="15"/>
      <c r="D28" s="15"/>
      <c r="E28" s="15"/>
      <c r="F28" s="15"/>
      <c r="G28" s="16"/>
    </row>
    <row r="29" spans="1:7" x14ac:dyDescent="0.25">
      <c r="A29" s="14"/>
      <c r="B29" s="15"/>
      <c r="C29" s="15"/>
      <c r="D29" s="15"/>
      <c r="E29" s="15"/>
      <c r="F29" s="15"/>
      <c r="G29" s="16"/>
    </row>
    <row r="30" spans="1:7" x14ac:dyDescent="0.25">
      <c r="A30" s="14"/>
      <c r="B30" s="15"/>
      <c r="C30" s="15"/>
      <c r="D30" s="15"/>
      <c r="E30" s="15"/>
      <c r="F30" s="15"/>
      <c r="G30" s="16"/>
    </row>
    <row r="31" spans="1:7" x14ac:dyDescent="0.25">
      <c r="A31" s="14"/>
      <c r="B31" s="15"/>
      <c r="C31" s="15"/>
      <c r="D31" s="15"/>
      <c r="E31" s="15"/>
      <c r="F31" s="15"/>
      <c r="G31" s="16"/>
    </row>
    <row r="32" spans="1:7" x14ac:dyDescent="0.25">
      <c r="A32" s="14"/>
      <c r="B32" s="15"/>
      <c r="C32" s="15"/>
      <c r="D32" s="15"/>
      <c r="E32" s="15"/>
      <c r="F32" s="15"/>
      <c r="G32" s="16"/>
    </row>
    <row r="33" spans="1:7" x14ac:dyDescent="0.25">
      <c r="A33" s="14"/>
      <c r="B33" s="15"/>
      <c r="C33" s="15"/>
      <c r="D33" s="15"/>
      <c r="E33" s="15"/>
      <c r="F33" s="15"/>
      <c r="G33" s="16"/>
    </row>
    <row r="34" spans="1:7" x14ac:dyDescent="0.25">
      <c r="A34" s="14"/>
      <c r="B34" s="15"/>
      <c r="C34" s="15"/>
      <c r="D34" s="15"/>
      <c r="E34" s="15"/>
      <c r="F34" s="15"/>
      <c r="G34" s="16"/>
    </row>
    <row r="35" spans="1:7" x14ac:dyDescent="0.25">
      <c r="A35" s="14"/>
      <c r="B35" s="15"/>
      <c r="C35" s="15"/>
      <c r="D35" s="15"/>
      <c r="E35" s="15"/>
      <c r="F35" s="15"/>
      <c r="G35" s="16"/>
    </row>
    <row r="36" spans="1:7" x14ac:dyDescent="0.25">
      <c r="A36" s="14"/>
      <c r="B36" s="15"/>
      <c r="C36" s="15"/>
      <c r="D36" s="15"/>
      <c r="E36" s="15"/>
      <c r="F36" s="15"/>
      <c r="G36" s="16"/>
    </row>
    <row r="37" spans="1:7" x14ac:dyDescent="0.25">
      <c r="A37" s="14"/>
      <c r="B37" s="15"/>
      <c r="C37" s="15"/>
      <c r="D37" s="15"/>
      <c r="E37" s="15"/>
      <c r="F37" s="15"/>
      <c r="G37" s="16"/>
    </row>
    <row r="38" spans="1:7" x14ac:dyDescent="0.25">
      <c r="A38" s="14"/>
      <c r="B38" s="15"/>
      <c r="C38" s="15"/>
      <c r="D38" s="15"/>
      <c r="E38" s="15"/>
      <c r="F38" s="15"/>
      <c r="G38" s="16"/>
    </row>
    <row r="39" spans="1:7" x14ac:dyDescent="0.25">
      <c r="A39" s="14"/>
      <c r="B39" s="15"/>
      <c r="C39" s="15"/>
      <c r="D39" s="15"/>
      <c r="E39" s="15"/>
      <c r="F39" s="15"/>
      <c r="G39" s="16"/>
    </row>
    <row r="40" spans="1:7" x14ac:dyDescent="0.25">
      <c r="A40" s="14"/>
      <c r="B40" s="15"/>
      <c r="C40" s="15"/>
      <c r="D40" s="15"/>
      <c r="E40" s="15"/>
      <c r="F40" s="15"/>
      <c r="G40" s="16"/>
    </row>
    <row r="41" spans="1:7" x14ac:dyDescent="0.25">
      <c r="A41" s="14"/>
      <c r="B41" s="15"/>
      <c r="C41" s="15"/>
      <c r="D41" s="15"/>
      <c r="E41" s="15"/>
      <c r="F41" s="15"/>
      <c r="G41" s="16"/>
    </row>
    <row r="42" spans="1:7" x14ac:dyDescent="0.25">
      <c r="A42" s="15"/>
      <c r="B42" s="15"/>
      <c r="C42" s="15"/>
      <c r="D42" s="15"/>
      <c r="E42" s="15"/>
      <c r="F42" s="15"/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</sheetData>
  <autoFilter ref="A1:F7" xr:uid="{171653DB-B967-4059-9CE3-FD13B7B63DBC}"/>
  <mergeCells count="7">
    <mergeCell ref="A19:A20"/>
    <mergeCell ref="A15:A16"/>
    <mergeCell ref="A2:A5"/>
    <mergeCell ref="A6:A7"/>
    <mergeCell ref="A8:A9"/>
    <mergeCell ref="A10:A11"/>
    <mergeCell ref="A12:A1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topLeftCell="A2" zoomScale="145" zoomScaleNormal="145" workbookViewId="0">
      <selection activeCell="C20" sqref="C20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1" t="s">
        <v>38</v>
      </c>
      <c r="B1" s="22"/>
      <c r="C1" s="22"/>
      <c r="D1" s="22"/>
      <c r="E1" s="22"/>
      <c r="F1" s="22"/>
      <c r="G1" s="22"/>
      <c r="H1" s="23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3</v>
      </c>
      <c r="D3" s="3">
        <f>SUM('Nhập xuất tồn'!D3)</f>
        <v>16</v>
      </c>
      <c r="E3" s="3">
        <f>SUM('Nhập xuất tồn'!E3)</f>
        <v>15</v>
      </c>
      <c r="F3" s="3">
        <f>SUM(C3+D3-E3)</f>
        <v>4</v>
      </c>
      <c r="G3" s="4">
        <v>1</v>
      </c>
      <c r="H3" s="3">
        <f>SUM(F3-G3)</f>
        <v>3</v>
      </c>
    </row>
    <row r="4" spans="1:8" x14ac:dyDescent="0.25">
      <c r="A4" s="3">
        <v>2</v>
      </c>
      <c r="B4" s="3" t="s">
        <v>1</v>
      </c>
      <c r="C4" s="3">
        <f>SUM('Nhập xuất tồn'!C4)</f>
        <v>87</v>
      </c>
      <c r="D4" s="3">
        <f>SUM('Nhập xuất tồn'!D4)</f>
        <v>72</v>
      </c>
      <c r="E4" s="3">
        <f>SUM('Nhập xuất tồn'!E4)</f>
        <v>135</v>
      </c>
      <c r="F4" s="3">
        <f>SUM(C4+D4-E4)</f>
        <v>24</v>
      </c>
      <c r="G4" s="4">
        <v>14</v>
      </c>
      <c r="H4" s="3">
        <f>SUM(F4-G4)</f>
        <v>10</v>
      </c>
    </row>
    <row r="5" spans="1:8" x14ac:dyDescent="0.25">
      <c r="A5" s="3">
        <v>3</v>
      </c>
      <c r="B5" s="3" t="s">
        <v>18</v>
      </c>
      <c r="C5" s="3">
        <f>SUM('Nhập xuất tồn'!C5)</f>
        <v>5</v>
      </c>
      <c r="D5" s="3">
        <f>Nhập!AH5</f>
        <v>0</v>
      </c>
      <c r="E5" s="3">
        <f>Xuất!AH6+Huỷ!AH5</f>
        <v>5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3</v>
      </c>
      <c r="D6" s="3">
        <f>Nhập!AH6</f>
        <v>0</v>
      </c>
      <c r="E6" s="3">
        <f>Xuất!AH7</f>
        <v>3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29</v>
      </c>
      <c r="D7" s="3">
        <f>SUM('Nhập xuất tồn'!D7,'Nhập xuất tồn'!D8,'Nhập xuất tồn'!D9,'Nhập xuất tồn'!D12,'Nhập xuất tồn'!D14)</f>
        <v>6</v>
      </c>
      <c r="E7" s="3">
        <f>SUM('Nhập xuất tồn'!E7,'Nhập xuất tồn'!E8,'Nhập xuất tồn'!E9,'Nhập xuất tồn'!E12,'Nhập xuất tồn'!E14)</f>
        <v>15</v>
      </c>
      <c r="F7" s="3">
        <f>SUM((C7+D7)-E7)</f>
        <v>20</v>
      </c>
      <c r="G7" s="4">
        <v>0</v>
      </c>
      <c r="H7" s="3">
        <f t="shared" ref="H7:H17" si="1">SUM(F7-G7)</f>
        <v>20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5</v>
      </c>
      <c r="D8" s="3">
        <f>SUM('Nhập xuất tồn'!D13,'Nhập xuất tồn'!D15)</f>
        <v>0</v>
      </c>
      <c r="E8" s="3">
        <f>SUM('Nhập xuất tồn'!E13,'Nhập xuất tồn'!E15)</f>
        <v>5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8</v>
      </c>
      <c r="D9" s="3">
        <f>SUM('Nhập xuất tồn'!D10)</f>
        <v>5</v>
      </c>
      <c r="E9" s="3">
        <f>SUM('Nhập xuất tồn'!E10)</f>
        <v>7</v>
      </c>
      <c r="F9" s="3">
        <f t="shared" si="0"/>
        <v>6</v>
      </c>
      <c r="G9" s="4">
        <v>0</v>
      </c>
      <c r="H9" s="3">
        <f t="shared" si="1"/>
        <v>6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4</v>
      </c>
      <c r="D12" s="3">
        <f>Nhập!AH17</f>
        <v>0</v>
      </c>
      <c r="E12" s="3">
        <f>SUM('Nhập xuất tồn'!E17)</f>
        <v>4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0</v>
      </c>
      <c r="D14" s="3">
        <f>Nhập!AH19</f>
        <v>0</v>
      </c>
      <c r="E14" s="3">
        <f>SUM('Nhập xuất tồn'!E19)</f>
        <v>0</v>
      </c>
      <c r="F14" s="3">
        <f t="shared" si="0"/>
        <v>0</v>
      </c>
      <c r="G14" s="4"/>
      <c r="H14" s="3">
        <f t="shared" si="1"/>
        <v>0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1" t="s">
        <v>5</v>
      </c>
      <c r="B18" s="31"/>
      <c r="C18" s="10">
        <f>SUM(C3:C17)</f>
        <v>152</v>
      </c>
      <c r="D18" s="10">
        <f t="shared" ref="D18:F18" si="2">SUM(D3:D17)</f>
        <v>99</v>
      </c>
      <c r="E18" s="10">
        <f t="shared" si="2"/>
        <v>189</v>
      </c>
      <c r="F18" s="10">
        <f t="shared" si="2"/>
        <v>62</v>
      </c>
      <c r="G18" s="11">
        <f t="shared" ref="G18" si="3">SUM(G3:G17)</f>
        <v>15</v>
      </c>
      <c r="H18" s="10">
        <f t="shared" ref="H18" si="4">SUM(H3:H17)</f>
        <v>47</v>
      </c>
    </row>
    <row r="19" spans="1:8" x14ac:dyDescent="0.25">
      <c r="F19" s="9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2026-02-13T06:31:16Z</dcterms:modified>
</cp:coreProperties>
</file>