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A232E71D-482C-45F1-9B45-E9C248A582D7}" xr6:coauthVersionLast="47" xr6:coauthVersionMax="47" xr10:uidLastSave="{00000000-0000-0000-0000-000000000000}"/>
  <bookViews>
    <workbookView xWindow="-120" yWindow="-120" windowWidth="29040" windowHeight="16440" activeTab="5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chú'!$A$1:$E$7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3" i="1" l="1"/>
  <c r="G23" i="1"/>
  <c r="C23" i="1"/>
  <c r="G18" i="6"/>
  <c r="C18" i="6"/>
  <c r="F17" i="6"/>
  <c r="C17" i="6"/>
  <c r="H7" i="6"/>
  <c r="H8" i="6"/>
  <c r="H10" i="6"/>
  <c r="H11" i="6"/>
  <c r="H12" i="6"/>
  <c r="H13" i="6"/>
  <c r="H14" i="6"/>
  <c r="H15" i="6"/>
  <c r="H16" i="6"/>
  <c r="H17" i="6"/>
  <c r="H6" i="6"/>
  <c r="H5" i="6"/>
  <c r="D4" i="6"/>
  <c r="D11" i="6"/>
  <c r="F11" i="6" s="1"/>
  <c r="D10" i="6"/>
  <c r="D12" i="6"/>
  <c r="D13" i="6"/>
  <c r="D14" i="6"/>
  <c r="D15" i="6"/>
  <c r="D16" i="6"/>
  <c r="F16" i="6" s="1"/>
  <c r="D17" i="6"/>
  <c r="D8" i="6"/>
  <c r="D7" i="6"/>
  <c r="F7" i="6" s="1"/>
  <c r="E17" i="6"/>
  <c r="E16" i="6"/>
  <c r="E15" i="6"/>
  <c r="F15" i="6"/>
  <c r="E14" i="6"/>
  <c r="E13" i="6"/>
  <c r="E12" i="6"/>
  <c r="E11" i="6"/>
  <c r="E10" i="6"/>
  <c r="E9" i="6"/>
  <c r="E8" i="6"/>
  <c r="E7" i="6"/>
  <c r="E6" i="6"/>
  <c r="E5" i="6"/>
  <c r="H15" i="1"/>
  <c r="H16" i="1"/>
  <c r="F13" i="1"/>
  <c r="H13" i="1" s="1"/>
  <c r="F15" i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3" i="1"/>
  <c r="D14" i="1"/>
  <c r="F14" i="1" s="1"/>
  <c r="H14" i="1" s="1"/>
  <c r="D15" i="1"/>
  <c r="D16" i="1"/>
  <c r="D20" i="1"/>
  <c r="F20" i="1" s="1"/>
  <c r="H20" i="1" s="1"/>
  <c r="D21" i="1"/>
  <c r="F21" i="1" s="1"/>
  <c r="H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E4" i="6" s="1"/>
  <c r="F4" i="6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F11" i="1" s="1"/>
  <c r="H11" i="1" s="1"/>
  <c r="AH12" i="2"/>
  <c r="D12" i="1" s="1"/>
  <c r="F12" i="1" s="1"/>
  <c r="H12" i="1" s="1"/>
  <c r="AH17" i="2"/>
  <c r="AH18" i="2"/>
  <c r="AH19" i="2"/>
  <c r="AH4" i="2"/>
  <c r="AH5" i="2"/>
  <c r="AH6" i="2"/>
  <c r="AH7" i="2"/>
  <c r="D7" i="1" s="1"/>
  <c r="F7" i="1" s="1"/>
  <c r="H7" i="1" s="1"/>
  <c r="AH3" i="2"/>
  <c r="E23" i="1" l="1"/>
  <c r="E3" i="6"/>
  <c r="E18" i="6" s="1"/>
  <c r="H4" i="6"/>
  <c r="D4" i="1"/>
  <c r="F4" i="1" s="1"/>
  <c r="D6" i="1"/>
  <c r="F6" i="1" s="1"/>
  <c r="H6" i="1" s="1"/>
  <c r="D6" i="6"/>
  <c r="F6" i="6" s="1"/>
  <c r="D5" i="1"/>
  <c r="F5" i="1" s="1"/>
  <c r="H5" i="1" s="1"/>
  <c r="D5" i="6"/>
  <c r="F5" i="6" s="1"/>
  <c r="D18" i="1"/>
  <c r="F18" i="1" s="1"/>
  <c r="H18" i="1" s="1"/>
  <c r="F13" i="6"/>
  <c r="D17" i="1"/>
  <c r="F17" i="1" s="1"/>
  <c r="H17" i="1" s="1"/>
  <c r="F12" i="6"/>
  <c r="D10" i="1"/>
  <c r="F10" i="6"/>
  <c r="D19" i="1"/>
  <c r="F19" i="1" s="1"/>
  <c r="H19" i="1" s="1"/>
  <c r="F14" i="6"/>
  <c r="D9" i="1"/>
  <c r="F9" i="1" s="1"/>
  <c r="H9" i="1" s="1"/>
  <c r="D3" i="1"/>
  <c r="D3" i="6" s="1"/>
  <c r="D8" i="1"/>
  <c r="F8" i="1" s="1"/>
  <c r="H8" i="1" s="1"/>
  <c r="F8" i="6"/>
  <c r="D18" i="6" l="1"/>
  <c r="F3" i="6"/>
  <c r="F3" i="1"/>
  <c r="H4" i="1"/>
  <c r="F10" i="1"/>
  <c r="H10" i="1" s="1"/>
  <c r="D9" i="6"/>
  <c r="F9" i="6" s="1"/>
  <c r="H9" i="6" s="1"/>
  <c r="H3" i="1" l="1"/>
  <c r="H23" i="1" s="1"/>
  <c r="F23" i="1"/>
  <c r="H3" i="6"/>
  <c r="H18" i="6" s="1"/>
  <c r="F18" i="6"/>
</calcChain>
</file>

<file path=xl/sharedStrings.xml><?xml version="1.0" encoding="utf-8"?>
<sst xmlns="http://schemas.openxmlformats.org/spreadsheetml/2006/main" count="162" uniqueCount="56">
  <si>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</si>
  <si>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</si>
  <si>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</si>
  <si>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</si>
  <si>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</si>
  <si>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</si>
  <si>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</si>
  <si>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</si>
  <si>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</si>
  <si>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</si>
  <si>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</si>
  <si>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</si>
  <si>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</si>
  <si>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</si>
  <si>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</si>
  <si>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</si>
  <si>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</si>
  <si>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</si>
  <si>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</si>
  <si>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</si>
  <si>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</si>
  <si>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</si>
  <si>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</si>
  <si>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</si>
  <si>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</si>
  <si>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</si>
  <si>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</si>
  <si>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</si>
  <si>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</si>
  <si>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</si>
  <si>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</si>
  <si>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</si>
  <si>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</si>
  <si>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</si>
  <si>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</si>
  <si>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</si>
  <si>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</si>
  <si>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</si>
  <si>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</si>
  <si>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</si>
  <si>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</si>
  <si>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</si>
  <si>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</si>
  <si>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</si>
  <si>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</si>
  <si>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</si>
  <si>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</si>
  <si>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</si>
  <si>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</si>
  <si>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Đã trả (12/01/26)</t>
  </si>
  <si>
    <t>Lực KD không lấy nữa</t>
  </si>
  <si>
    <t>ĐL Anh Trực</t>
  </si>
  <si>
    <t>Đã trả (13/01/26)</t>
  </si>
  <si>
    <t>ĐL Anh Thái QN</t>
  </si>
  <si>
    <t>ĐL Anh Sửu Bình Định</t>
  </si>
  <si>
    <t>Đã trả (14/01/26)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</si>
</sst>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F4" sqref="F4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1" t="s">
        <v>14</v>
      </c>
      <c r="B1" s="22"/>
      <c r="C1" s="22"/>
      <c r="D1" s="22"/>
      <c r="E1" s="22"/>
      <c r="F1" s="22"/>
      <c r="G1" s="22"/>
      <c r="H1" s="23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44</v>
      </c>
      <c r="E3" s="4">
        <f>Xuất!AH4+Huỷ!AH3</f>
        <v>42</v>
      </c>
      <c r="F3" s="4">
        <f>C3+D3-E3</f>
        <v>9</v>
      </c>
      <c r="G3" s="6">
        <v>1</v>
      </c>
      <c r="H3" s="4">
        <f>F3-G3</f>
        <v>8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0</v>
      </c>
      <c r="E4" s="4">
        <f>Xuất!AH5+Huỷ!AH4</f>
        <v>66</v>
      </c>
      <c r="F4" s="4">
        <f>C4+D4-E4</f>
        <v>78</v>
      </c>
      <c r="G4" s="6">
        <v>11</v>
      </c>
      <c r="H4" s="4">
        <f t="shared" ref="H4:H22" si="0">F4-G4</f>
        <v>67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32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33</v>
      </c>
      <c r="C8" s="4">
        <v>0</v>
      </c>
      <c r="D8" s="4">
        <f>Nhập!AH8</f>
        <v>1</v>
      </c>
      <c r="E8" s="4">
        <f>Xuất!AH8</f>
        <v>0</v>
      </c>
      <c r="F8" s="4">
        <f t="shared" si="1"/>
        <v>1</v>
      </c>
      <c r="G8" s="6">
        <v>0</v>
      </c>
      <c r="H8" s="4">
        <f t="shared" si="0"/>
        <v>1</v>
      </c>
    </row>
    <row r="9" spans="1:8" x14ac:dyDescent="0.25">
      <c r="A9" s="4">
        <v>7</v>
      </c>
      <c r="B9" s="4" t="s">
        <v>34</v>
      </c>
      <c r="C9" s="4">
        <v>0</v>
      </c>
      <c r="D9" s="4">
        <f>Nhập!AH9</f>
        <v>1</v>
      </c>
      <c r="E9" s="4">
        <f>Xuất!AH9</f>
        <v>0</v>
      </c>
      <c r="F9" s="4">
        <f t="shared" si="1"/>
        <v>1</v>
      </c>
      <c r="G9" s="6">
        <v>0</v>
      </c>
      <c r="H9" s="4">
        <f t="shared" si="0"/>
        <v>1</v>
      </c>
    </row>
    <row r="10" spans="1:8" x14ac:dyDescent="0.25">
      <c r="A10" s="4">
        <v>8</v>
      </c>
      <c r="B10" s="4" t="s">
        <v>35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36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37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38</v>
      </c>
      <c r="C13" s="4">
        <v>0</v>
      </c>
      <c r="D13" s="4">
        <f>Nhập!AH13</f>
        <v>0</v>
      </c>
      <c r="E13" s="4">
        <f>Xuất!AH13</f>
        <v>0</v>
      </c>
      <c r="F13" s="4">
        <f t="shared" si="1"/>
        <v>0</v>
      </c>
      <c r="G13" s="6">
        <v>0</v>
      </c>
      <c r="H13" s="4">
        <f t="shared" si="0"/>
        <v>0</v>
      </c>
    </row>
    <row r="14" spans="1:8" x14ac:dyDescent="0.25">
      <c r="A14" s="4">
        <v>12</v>
      </c>
      <c r="B14" s="4" t="s">
        <v>39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40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41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42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43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44</v>
      </c>
      <c r="C19" s="4"/>
      <c r="D19" s="4">
        <f>Nhập!AH19</f>
        <v>0</v>
      </c>
      <c r="E19" s="4">
        <f>Xuất!AH19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45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46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4" t="s">
        <v>5</v>
      </c>
      <c r="B23" s="24"/>
      <c r="C23" s="4">
        <f>SUM(C3:C22)</f>
        <v>157</v>
      </c>
      <c r="D23" s="4">
        <f t="shared" ref="D23:H23" si="2">SUM(D3:D22)</f>
        <v>67</v>
      </c>
      <c r="E23" s="4">
        <f t="shared" si="2"/>
        <v>108</v>
      </c>
      <c r="F23" s="4">
        <f t="shared" si="2"/>
        <v>116</v>
      </c>
      <c r="G23" s="4">
        <f t="shared" si="2"/>
        <v>12</v>
      </c>
      <c r="H23" s="4">
        <f t="shared" si="2"/>
        <v>104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O3" sqref="O3"/>
    </sheetView>
  </sheetViews>
  <sheetFormatPr defaultColWidth="8.85546875" defaultRowHeight="15" x14ac:dyDescent="0.25"/>
  <cols>
    <col min="1" max="1" width="6.5703125" style="15" customWidth="1"/>
    <col min="2" max="2" width="27.5703125" style="15" customWidth="1"/>
    <col min="3" max="34" width="5.28515625" style="15" customWidth="1"/>
    <col min="35" max="16384" width="8.85546875" style="15"/>
  </cols>
  <sheetData>
    <row r="1" spans="1:34" x14ac:dyDescent="0.25">
      <c r="A1" s="25" t="s">
        <v>8</v>
      </c>
      <c r="B1" s="26" t="s">
        <v>9</v>
      </c>
      <c r="C1" s="28" t="s">
        <v>12</v>
      </c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 t="s">
        <v>5</v>
      </c>
    </row>
    <row r="2" spans="1:34" x14ac:dyDescent="0.25">
      <c r="A2" s="25"/>
      <c r="B2" s="27"/>
      <c r="C2" s="13">
        <v>1</v>
      </c>
      <c r="D2" s="13">
        <v>2</v>
      </c>
      <c r="E2" s="13">
        <v>3</v>
      </c>
      <c r="F2" s="13">
        <v>4</v>
      </c>
      <c r="G2" s="13">
        <v>5</v>
      </c>
      <c r="H2" s="13">
        <v>6</v>
      </c>
      <c r="I2" s="13">
        <v>7</v>
      </c>
      <c r="J2" s="13">
        <v>8</v>
      </c>
      <c r="K2" s="13">
        <v>9</v>
      </c>
      <c r="L2" s="13">
        <v>10</v>
      </c>
      <c r="M2" s="13">
        <v>11</v>
      </c>
      <c r="N2" s="13">
        <v>12</v>
      </c>
      <c r="O2" s="13">
        <v>13</v>
      </c>
      <c r="P2" s="13">
        <v>14</v>
      </c>
      <c r="Q2" s="13">
        <v>15</v>
      </c>
      <c r="R2" s="13">
        <v>16</v>
      </c>
      <c r="S2" s="13">
        <v>17</v>
      </c>
      <c r="T2" s="13">
        <v>18</v>
      </c>
      <c r="U2" s="13">
        <v>19</v>
      </c>
      <c r="V2" s="13">
        <v>20</v>
      </c>
      <c r="W2" s="13">
        <v>21</v>
      </c>
      <c r="X2" s="13">
        <v>22</v>
      </c>
      <c r="Y2" s="13">
        <v>23</v>
      </c>
      <c r="Z2" s="13">
        <v>24</v>
      </c>
      <c r="AA2" s="13">
        <v>25</v>
      </c>
      <c r="AB2" s="13">
        <v>26</v>
      </c>
      <c r="AC2" s="13">
        <v>27</v>
      </c>
      <c r="AD2" s="13">
        <v>28</v>
      </c>
      <c r="AE2" s="13">
        <v>29</v>
      </c>
      <c r="AF2" s="13">
        <v>30</v>
      </c>
      <c r="AG2" s="13">
        <v>31</v>
      </c>
      <c r="AH2" s="28"/>
    </row>
    <row r="3" spans="1:34" x14ac:dyDescent="0.25">
      <c r="A3" s="13">
        <v>1</v>
      </c>
      <c r="B3" s="13" t="s">
        <v>0</v>
      </c>
      <c r="C3" s="13"/>
      <c r="D3" s="13"/>
      <c r="E3" s="13"/>
      <c r="F3" s="13"/>
      <c r="G3" s="13">
        <v>32</v>
      </c>
      <c r="H3" s="13"/>
      <c r="I3" s="13"/>
      <c r="J3" s="13"/>
      <c r="K3" s="13"/>
      <c r="L3" s="13"/>
      <c r="M3" s="13"/>
      <c r="N3" s="13"/>
      <c r="O3" s="13">
        <v>12</v>
      </c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>
        <f>SUM(C3:AG3)</f>
        <v>44</v>
      </c>
    </row>
    <row r="4" spans="1:34" x14ac:dyDescent="0.25">
      <c r="A4" s="13">
        <v>2</v>
      </c>
      <c r="B4" s="13" t="s">
        <v>1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>
        <f t="shared" ref="AH4:AH19" si="0">SUM(C4:AG4)</f>
        <v>0</v>
      </c>
    </row>
    <row r="5" spans="1:34" x14ac:dyDescent="0.25">
      <c r="A5" s="13">
        <v>3</v>
      </c>
      <c r="B5" s="13" t="s">
        <v>30</v>
      </c>
      <c r="C5" s="13"/>
      <c r="D5" s="13"/>
      <c r="E5" s="13"/>
      <c r="F5" s="13"/>
      <c r="G5" s="13"/>
      <c r="H5" s="13"/>
      <c r="I5" s="13"/>
      <c r="J5" s="13"/>
      <c r="K5" s="13"/>
      <c r="L5" s="13">
        <v>4</v>
      </c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>
        <f t="shared" si="0"/>
        <v>4</v>
      </c>
    </row>
    <row r="6" spans="1:34" x14ac:dyDescent="0.25">
      <c r="A6" s="13">
        <v>4</v>
      </c>
      <c r="B6" s="13" t="s">
        <v>31</v>
      </c>
      <c r="C6" s="13"/>
      <c r="D6" s="13"/>
      <c r="E6" s="13"/>
      <c r="F6" s="13"/>
      <c r="G6" s="13"/>
      <c r="H6" s="13"/>
      <c r="I6" s="13"/>
      <c r="J6" s="13"/>
      <c r="K6" s="13"/>
      <c r="L6" s="13">
        <v>4</v>
      </c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>
        <f t="shared" si="0"/>
        <v>4</v>
      </c>
    </row>
    <row r="7" spans="1:34" x14ac:dyDescent="0.25">
      <c r="A7" s="13">
        <v>5</v>
      </c>
      <c r="B7" s="13" t="s">
        <v>32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>
        <f t="shared" si="0"/>
        <v>0</v>
      </c>
    </row>
    <row r="8" spans="1:34" x14ac:dyDescent="0.25">
      <c r="A8" s="13">
        <v>6</v>
      </c>
      <c r="B8" s="13" t="s">
        <v>33</v>
      </c>
      <c r="C8" s="13"/>
      <c r="D8" s="13"/>
      <c r="E8" s="13"/>
      <c r="F8" s="13"/>
      <c r="G8" s="13"/>
      <c r="H8" s="13"/>
      <c r="I8" s="13"/>
      <c r="J8" s="13"/>
      <c r="K8" s="13"/>
      <c r="L8" s="13">
        <v>1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>
        <f t="shared" si="0"/>
        <v>1</v>
      </c>
    </row>
    <row r="9" spans="1:34" x14ac:dyDescent="0.25">
      <c r="A9" s="13">
        <v>7</v>
      </c>
      <c r="B9" s="13" t="s">
        <v>34</v>
      </c>
      <c r="C9" s="13"/>
      <c r="D9" s="13"/>
      <c r="E9" s="13"/>
      <c r="F9" s="13"/>
      <c r="G9" s="13"/>
      <c r="H9" s="13"/>
      <c r="I9" s="13"/>
      <c r="J9" s="13"/>
      <c r="K9" s="13"/>
      <c r="L9" s="13">
        <v>1</v>
      </c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>
        <f t="shared" si="0"/>
        <v>1</v>
      </c>
    </row>
    <row r="10" spans="1:34" x14ac:dyDescent="0.25">
      <c r="A10" s="13">
        <v>8</v>
      </c>
      <c r="B10" s="13" t="s">
        <v>35</v>
      </c>
      <c r="C10" s="13"/>
      <c r="D10" s="13"/>
      <c r="E10" s="13"/>
      <c r="F10" s="13"/>
      <c r="G10" s="13"/>
      <c r="H10" s="13"/>
      <c r="I10" s="13"/>
      <c r="J10" s="13">
        <v>4</v>
      </c>
      <c r="K10" s="13">
        <v>4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>
        <f t="shared" si="0"/>
        <v>8</v>
      </c>
    </row>
    <row r="11" spans="1:34" x14ac:dyDescent="0.25">
      <c r="A11" s="13">
        <v>9</v>
      </c>
      <c r="B11" s="13" t="s">
        <v>36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>
        <f t="shared" si="0"/>
        <v>0</v>
      </c>
    </row>
    <row r="12" spans="1:34" x14ac:dyDescent="0.25">
      <c r="A12" s="13">
        <v>10</v>
      </c>
      <c r="B12" s="13" t="s">
        <v>37</v>
      </c>
      <c r="C12" s="13"/>
      <c r="D12" s="13"/>
      <c r="E12" s="13"/>
      <c r="F12" s="13"/>
      <c r="G12" s="13"/>
      <c r="H12" s="13"/>
      <c r="I12" s="13"/>
      <c r="J12" s="13"/>
      <c r="K12" s="13"/>
      <c r="L12" s="13">
        <v>1</v>
      </c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>
        <f t="shared" si="0"/>
        <v>1</v>
      </c>
    </row>
    <row r="13" spans="1:34" x14ac:dyDescent="0.25">
      <c r="A13" s="13">
        <v>11</v>
      </c>
      <c r="B13" s="13" t="s">
        <v>38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 spans="1:34" x14ac:dyDescent="0.25">
      <c r="A14" s="13">
        <v>12</v>
      </c>
      <c r="B14" s="13" t="s">
        <v>39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 spans="1:34" x14ac:dyDescent="0.25">
      <c r="A15" s="13">
        <v>13</v>
      </c>
      <c r="B15" s="13" t="s">
        <v>40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 spans="1:34" x14ac:dyDescent="0.25">
      <c r="A16" s="13">
        <v>14</v>
      </c>
      <c r="B16" s="13" t="s">
        <v>41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 spans="1:34" x14ac:dyDescent="0.25">
      <c r="A17" s="13">
        <v>15</v>
      </c>
      <c r="B17" s="13" t="s">
        <v>42</v>
      </c>
      <c r="C17" s="13"/>
      <c r="D17" s="13"/>
      <c r="E17" s="13"/>
      <c r="F17" s="13"/>
      <c r="G17" s="13"/>
      <c r="H17" s="13"/>
      <c r="I17" s="13"/>
      <c r="J17" s="13"/>
      <c r="K17" s="13"/>
      <c r="L17" s="13">
        <v>4</v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>
        <f t="shared" si="0"/>
        <v>4</v>
      </c>
    </row>
    <row r="18" spans="1:34" x14ac:dyDescent="0.25">
      <c r="A18" s="13">
        <v>16</v>
      </c>
      <c r="B18" s="13" t="s">
        <v>43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>
        <f t="shared" si="0"/>
        <v>0</v>
      </c>
    </row>
    <row r="19" spans="1:34" x14ac:dyDescent="0.25">
      <c r="A19" s="13">
        <v>17</v>
      </c>
      <c r="B19" s="13" t="s">
        <v>44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>
        <f t="shared" si="0"/>
        <v>0</v>
      </c>
    </row>
    <row r="20" spans="1:34" x14ac:dyDescent="0.25">
      <c r="A20" s="13">
        <v>18</v>
      </c>
      <c r="B20" s="13" t="s">
        <v>45</v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 spans="1:34" x14ac:dyDescent="0.25">
      <c r="A21" s="13">
        <v>19</v>
      </c>
      <c r="B21" s="13" t="s">
        <v>46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</row>
    <row r="22" spans="1:34" x14ac:dyDescent="0.25">
      <c r="A22" s="13">
        <v>20</v>
      </c>
      <c r="B22" s="13" t="s">
        <v>7</v>
      </c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Q5" sqref="Q5"/>
    </sheetView>
  </sheetViews>
  <sheetFormatPr defaultColWidth="8.85546875" defaultRowHeight="15" x14ac:dyDescent="0.25"/>
  <cols>
    <col min="1" max="1" width="6.5703125" style="16" customWidth="1"/>
    <col min="2" max="2" width="26.28515625" style="16" customWidth="1"/>
    <col min="3" max="34" width="5.28515625" style="16" customWidth="1"/>
    <col min="35" max="16384" width="8.85546875" style="16"/>
  </cols>
  <sheetData>
    <row r="1" spans="1:34" x14ac:dyDescent="0.25">
      <c r="A1" s="29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 spans="1:34" x14ac:dyDescent="0.25">
      <c r="A2" s="28" t="s">
        <v>8</v>
      </c>
      <c r="B2" s="28" t="s">
        <v>9</v>
      </c>
      <c r="C2" s="28" t="s">
        <v>13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 t="s">
        <v>5</v>
      </c>
    </row>
    <row r="3" spans="1:34" x14ac:dyDescent="0.25">
      <c r="A3" s="28"/>
      <c r="B3" s="28"/>
      <c r="C3" s="13">
        <v>1</v>
      </c>
      <c r="D3" s="13">
        <v>2</v>
      </c>
      <c r="E3" s="13">
        <v>3</v>
      </c>
      <c r="F3" s="13">
        <v>4</v>
      </c>
      <c r="G3" s="13">
        <v>5</v>
      </c>
      <c r="H3" s="13">
        <v>6</v>
      </c>
      <c r="I3" s="13">
        <v>7</v>
      </c>
      <c r="J3" s="13">
        <v>8</v>
      </c>
      <c r="K3" s="13">
        <v>9</v>
      </c>
      <c r="L3" s="13">
        <v>10</v>
      </c>
      <c r="M3" s="13">
        <v>11</v>
      </c>
      <c r="N3" s="13">
        <v>12</v>
      </c>
      <c r="O3" s="13">
        <v>13</v>
      </c>
      <c r="P3" s="13">
        <v>14</v>
      </c>
      <c r="Q3" s="13">
        <v>15</v>
      </c>
      <c r="R3" s="13">
        <v>16</v>
      </c>
      <c r="S3" s="13">
        <v>17</v>
      </c>
      <c r="T3" s="13">
        <v>18</v>
      </c>
      <c r="U3" s="13">
        <v>19</v>
      </c>
      <c r="V3" s="13">
        <v>20</v>
      </c>
      <c r="W3" s="13">
        <v>21</v>
      </c>
      <c r="X3" s="13">
        <v>22</v>
      </c>
      <c r="Y3" s="13">
        <v>23</v>
      </c>
      <c r="Z3" s="13">
        <v>24</v>
      </c>
      <c r="AA3" s="13">
        <v>25</v>
      </c>
      <c r="AB3" s="13">
        <v>26</v>
      </c>
      <c r="AC3" s="13">
        <v>27</v>
      </c>
      <c r="AD3" s="13">
        <v>28</v>
      </c>
      <c r="AE3" s="13">
        <v>29</v>
      </c>
      <c r="AF3" s="13">
        <v>30</v>
      </c>
      <c r="AG3" s="13">
        <v>31</v>
      </c>
      <c r="AH3" s="28"/>
    </row>
    <row r="4" spans="1:34" x14ac:dyDescent="0.25">
      <c r="A4" s="13">
        <v>1</v>
      </c>
      <c r="B4" s="13" t="s">
        <v>0</v>
      </c>
      <c r="C4" s="13"/>
      <c r="D4" s="13"/>
      <c r="E4" s="13"/>
      <c r="F4" s="13"/>
      <c r="G4" s="13"/>
      <c r="H4" s="13">
        <v>1</v>
      </c>
      <c r="I4" s="13"/>
      <c r="J4" s="13"/>
      <c r="K4" s="13">
        <v>36</v>
      </c>
      <c r="L4" s="13"/>
      <c r="M4" s="13"/>
      <c r="N4" s="13"/>
      <c r="O4" s="13">
        <v>5</v>
      </c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>
        <f>SUM(C4:AG4)</f>
        <v>42</v>
      </c>
    </row>
    <row r="5" spans="1:34" x14ac:dyDescent="0.25">
      <c r="A5" s="13">
        <v>2</v>
      </c>
      <c r="B5" s="13" t="s">
        <v>1</v>
      </c>
      <c r="C5" s="13"/>
      <c r="D5" s="13"/>
      <c r="E5" s="13"/>
      <c r="F5" s="13"/>
      <c r="G5" s="13">
        <v>7</v>
      </c>
      <c r="H5" s="13">
        <v>16</v>
      </c>
      <c r="I5" s="13">
        <v>2</v>
      </c>
      <c r="J5" s="13"/>
      <c r="K5" s="13">
        <v>10</v>
      </c>
      <c r="L5" s="13"/>
      <c r="M5" s="13"/>
      <c r="N5" s="13">
        <v>10</v>
      </c>
      <c r="O5" s="13">
        <v>1</v>
      </c>
      <c r="P5" s="13">
        <v>20</v>
      </c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>
        <f t="shared" ref="AH5:AH18" si="0">SUM(C5:AG5)</f>
        <v>66</v>
      </c>
    </row>
    <row r="6" spans="1:34" x14ac:dyDescent="0.25">
      <c r="A6" s="13">
        <v>3</v>
      </c>
      <c r="B6" s="13" t="s">
        <v>30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>
        <f t="shared" si="0"/>
        <v>0</v>
      </c>
    </row>
    <row r="7" spans="1:34" x14ac:dyDescent="0.25">
      <c r="A7" s="13">
        <v>4</v>
      </c>
      <c r="B7" s="13" t="s">
        <v>31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>
        <f t="shared" si="0"/>
        <v>0</v>
      </c>
    </row>
    <row r="8" spans="1:34" x14ac:dyDescent="0.25">
      <c r="A8" s="13">
        <v>5</v>
      </c>
      <c r="B8" s="13" t="s">
        <v>32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>
        <f t="shared" si="0"/>
        <v>0</v>
      </c>
    </row>
    <row r="9" spans="1:34" x14ac:dyDescent="0.25">
      <c r="A9" s="13">
        <v>7</v>
      </c>
      <c r="B9" s="13" t="s">
        <v>33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>
        <f t="shared" si="0"/>
        <v>0</v>
      </c>
    </row>
    <row r="10" spans="1:34" x14ac:dyDescent="0.25">
      <c r="A10" s="13">
        <v>8</v>
      </c>
      <c r="B10" s="13" t="s">
        <v>34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>
        <f t="shared" si="0"/>
        <v>0</v>
      </c>
    </row>
    <row r="11" spans="1:34" x14ac:dyDescent="0.25">
      <c r="A11" s="13">
        <v>9</v>
      </c>
      <c r="B11" s="13" t="s">
        <v>35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>
        <f t="shared" si="0"/>
        <v>0</v>
      </c>
    </row>
    <row r="12" spans="1:34" x14ac:dyDescent="0.25">
      <c r="A12" s="13">
        <v>10</v>
      </c>
      <c r="B12" s="13" t="s">
        <v>36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>
        <f t="shared" si="0"/>
        <v>0</v>
      </c>
    </row>
    <row r="13" spans="1:34" x14ac:dyDescent="0.25">
      <c r="A13" s="13">
        <v>11</v>
      </c>
      <c r="B13" s="13" t="s">
        <v>37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>
        <f t="shared" si="0"/>
        <v>0</v>
      </c>
    </row>
    <row r="14" spans="1:34" x14ac:dyDescent="0.25">
      <c r="A14" s="13">
        <v>12</v>
      </c>
      <c r="B14" s="13" t="s">
        <v>38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>
        <f t="shared" si="0"/>
        <v>0</v>
      </c>
    </row>
    <row r="15" spans="1:34" x14ac:dyDescent="0.25">
      <c r="A15" s="13">
        <v>13</v>
      </c>
      <c r="B15" s="13" t="s">
        <v>39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>
        <f t="shared" si="0"/>
        <v>0</v>
      </c>
    </row>
    <row r="16" spans="1:34" x14ac:dyDescent="0.25">
      <c r="A16" s="13">
        <v>14</v>
      </c>
      <c r="B16" s="13" t="s">
        <v>40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>
        <f t="shared" si="0"/>
        <v>0</v>
      </c>
    </row>
    <row r="17" spans="1:34" x14ac:dyDescent="0.25">
      <c r="A17" s="13">
        <v>15</v>
      </c>
      <c r="B17" s="13" t="s">
        <v>41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>
        <f t="shared" si="0"/>
        <v>0</v>
      </c>
    </row>
    <row r="18" spans="1:34" x14ac:dyDescent="0.25">
      <c r="A18" s="13">
        <v>16</v>
      </c>
      <c r="B18" s="13" t="s">
        <v>42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>
        <f t="shared" si="0"/>
        <v>0</v>
      </c>
    </row>
    <row r="19" spans="1:34" x14ac:dyDescent="0.25">
      <c r="A19" s="13"/>
      <c r="B19" s="13" t="s">
        <v>43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 spans="1:34" x14ac:dyDescent="0.25">
      <c r="A20" s="13"/>
      <c r="B20" s="13" t="s">
        <v>44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 spans="1:34" x14ac:dyDescent="0.25">
      <c r="A21" s="13"/>
      <c r="B21" s="13" t="s">
        <v>45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 spans="1:34" x14ac:dyDescent="0.25">
      <c r="A22" s="13"/>
      <c r="B22" s="13" t="s">
        <v>46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 spans="1:34" x14ac:dyDescent="0.25">
      <c r="A23" s="13"/>
      <c r="B23" s="13" t="s">
        <v>7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6" customWidth="1"/>
    <col min="2" max="2" width="24.28515625" style="16" customWidth="1"/>
    <col min="3" max="34" width="5.28515625" style="16" customWidth="1"/>
    <col min="35" max="16384" width="8.85546875" style="16"/>
  </cols>
  <sheetData>
    <row r="1" spans="1:34" x14ac:dyDescent="0.25">
      <c r="A1" s="28" t="s">
        <v>8</v>
      </c>
      <c r="B1" s="28" t="s">
        <v>9</v>
      </c>
      <c r="C1" s="28" t="s">
        <v>12</v>
      </c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 t="s">
        <v>5</v>
      </c>
    </row>
    <row r="2" spans="1:34" x14ac:dyDescent="0.25">
      <c r="A2" s="28"/>
      <c r="B2" s="28"/>
      <c r="C2" s="13">
        <v>1</v>
      </c>
      <c r="D2" s="13">
        <v>2</v>
      </c>
      <c r="E2" s="13">
        <v>3</v>
      </c>
      <c r="F2" s="13">
        <v>4</v>
      </c>
      <c r="G2" s="13">
        <v>5</v>
      </c>
      <c r="H2" s="13">
        <v>6</v>
      </c>
      <c r="I2" s="13">
        <v>7</v>
      </c>
      <c r="J2" s="13">
        <v>8</v>
      </c>
      <c r="K2" s="13">
        <v>9</v>
      </c>
      <c r="L2" s="13">
        <v>10</v>
      </c>
      <c r="M2" s="13">
        <v>11</v>
      </c>
      <c r="N2" s="13">
        <v>12</v>
      </c>
      <c r="O2" s="13">
        <v>13</v>
      </c>
      <c r="P2" s="13">
        <v>14</v>
      </c>
      <c r="Q2" s="13">
        <v>15</v>
      </c>
      <c r="R2" s="13">
        <v>16</v>
      </c>
      <c r="S2" s="13">
        <v>17</v>
      </c>
      <c r="T2" s="13">
        <v>18</v>
      </c>
      <c r="U2" s="13">
        <v>19</v>
      </c>
      <c r="V2" s="13">
        <v>20</v>
      </c>
      <c r="W2" s="13">
        <v>21</v>
      </c>
      <c r="X2" s="13">
        <v>22</v>
      </c>
      <c r="Y2" s="13">
        <v>23</v>
      </c>
      <c r="Z2" s="13">
        <v>24</v>
      </c>
      <c r="AA2" s="13">
        <v>25</v>
      </c>
      <c r="AB2" s="13">
        <v>26</v>
      </c>
      <c r="AC2" s="13">
        <v>27</v>
      </c>
      <c r="AD2" s="13">
        <v>28</v>
      </c>
      <c r="AE2" s="13">
        <v>29</v>
      </c>
      <c r="AF2" s="13">
        <v>30</v>
      </c>
      <c r="AG2" s="13">
        <v>31</v>
      </c>
      <c r="AH2" s="28"/>
    </row>
    <row r="3" spans="1:34" x14ac:dyDescent="0.25">
      <c r="A3" s="13">
        <v>1</v>
      </c>
      <c r="B3" s="13" t="s">
        <v>0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>
        <f>SUM(C3:AG3)</f>
        <v>0</v>
      </c>
    </row>
    <row r="4" spans="1:34" x14ac:dyDescent="0.25">
      <c r="A4" s="13">
        <v>2</v>
      </c>
      <c r="B4" s="13" t="s">
        <v>1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>
        <f t="shared" ref="AH4:AH18" si="0">SUM(C4:AG4)</f>
        <v>0</v>
      </c>
    </row>
    <row r="5" spans="1:34" x14ac:dyDescent="0.25">
      <c r="A5" s="13">
        <v>3</v>
      </c>
      <c r="B5" s="13" t="s">
        <v>30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>
        <f t="shared" si="0"/>
        <v>0</v>
      </c>
    </row>
    <row r="6" spans="1:34" x14ac:dyDescent="0.25">
      <c r="A6" s="13">
        <v>4</v>
      </c>
      <c r="B6" s="13" t="s">
        <v>31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>
        <f t="shared" si="0"/>
        <v>0</v>
      </c>
    </row>
    <row r="7" spans="1:34" x14ac:dyDescent="0.25">
      <c r="A7" s="13">
        <v>5</v>
      </c>
      <c r="B7" s="13" t="s">
        <v>32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>
        <f t="shared" si="0"/>
        <v>0</v>
      </c>
    </row>
    <row r="8" spans="1:34" x14ac:dyDescent="0.25">
      <c r="A8" s="13">
        <v>6</v>
      </c>
      <c r="B8" s="13" t="s">
        <v>33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>
        <f t="shared" si="0"/>
        <v>0</v>
      </c>
    </row>
    <row r="9" spans="1:34" x14ac:dyDescent="0.25">
      <c r="A9" s="13">
        <v>7</v>
      </c>
      <c r="B9" s="13" t="s">
        <v>34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>
        <f t="shared" si="0"/>
        <v>0</v>
      </c>
    </row>
    <row r="10" spans="1:34" x14ac:dyDescent="0.25">
      <c r="A10" s="13">
        <v>8</v>
      </c>
      <c r="B10" s="13" t="s">
        <v>35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>
        <f t="shared" si="0"/>
        <v>0</v>
      </c>
    </row>
    <row r="11" spans="1:34" x14ac:dyDescent="0.25">
      <c r="A11" s="13">
        <v>9</v>
      </c>
      <c r="B11" s="13" t="s">
        <v>36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>
        <f t="shared" si="0"/>
        <v>0</v>
      </c>
    </row>
    <row r="12" spans="1:34" x14ac:dyDescent="0.25">
      <c r="A12" s="13">
        <v>10</v>
      </c>
      <c r="B12" s="13" t="s">
        <v>37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>
        <f t="shared" si="0"/>
        <v>0</v>
      </c>
    </row>
    <row r="13" spans="1:34" x14ac:dyDescent="0.25">
      <c r="A13" s="13">
        <v>11</v>
      </c>
      <c r="B13" s="13" t="s">
        <v>38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>
        <f t="shared" si="0"/>
        <v>0</v>
      </c>
    </row>
    <row r="14" spans="1:34" x14ac:dyDescent="0.25">
      <c r="A14" s="13">
        <v>12</v>
      </c>
      <c r="B14" s="13" t="s">
        <v>39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>
        <f t="shared" si="0"/>
        <v>0</v>
      </c>
    </row>
    <row r="15" spans="1:34" x14ac:dyDescent="0.25">
      <c r="A15" s="13">
        <v>13</v>
      </c>
      <c r="B15" s="13" t="s">
        <v>40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>
        <f t="shared" si="0"/>
        <v>0</v>
      </c>
    </row>
    <row r="16" spans="1:34" x14ac:dyDescent="0.25">
      <c r="A16" s="13">
        <v>14</v>
      </c>
      <c r="B16" s="13" t="s">
        <v>41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>
        <f t="shared" si="0"/>
        <v>0</v>
      </c>
    </row>
    <row r="17" spans="1:34" x14ac:dyDescent="0.25">
      <c r="A17" s="13">
        <v>15</v>
      </c>
      <c r="B17" s="13" t="s">
        <v>42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>
        <f t="shared" si="0"/>
        <v>0</v>
      </c>
    </row>
    <row r="18" spans="1:34" x14ac:dyDescent="0.25">
      <c r="A18" s="13">
        <v>16</v>
      </c>
      <c r="B18" s="13" t="s">
        <v>43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>
        <f t="shared" si="0"/>
        <v>0</v>
      </c>
    </row>
    <row r="19" spans="1:34" x14ac:dyDescent="0.25">
      <c r="A19" s="13"/>
      <c r="B19" s="13" t="s">
        <v>44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 spans="1:34" x14ac:dyDescent="0.25">
      <c r="A20" s="13"/>
      <c r="B20" s="13" t="s">
        <v>45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 spans="1:34" x14ac:dyDescent="0.25">
      <c r="A21" s="13"/>
      <c r="B21" s="13" t="s">
        <v>46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 spans="1:34" x14ac:dyDescent="0.25">
      <c r="A22" s="13"/>
      <c r="B22" s="13" t="s">
        <v>7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29"/>
  <sheetViews>
    <sheetView workbookViewId="0">
      <selection activeCell="H17" sqref="H17"/>
    </sheetView>
  </sheetViews>
  <sheetFormatPr defaultRowHeight="15" x14ac:dyDescent="0.25"/>
  <cols>
    <col min="1" max="1" width="15.7109375" style="8" customWidth="1"/>
    <col min="2" max="2" width="20.7109375" style="8" customWidth="1"/>
    <col min="3" max="4" width="15.7109375" style="8" customWidth="1"/>
    <col min="5" max="5" width="21.5703125" style="8" customWidth="1"/>
    <col min="6" max="16384" width="9.140625" style="7"/>
  </cols>
  <sheetData>
    <row r="1" spans="1:8" x14ac:dyDescent="0.25">
      <c r="A1" s="12" t="s">
        <v>28</v>
      </c>
      <c r="B1" s="12" t="s">
        <v>27</v>
      </c>
      <c r="C1" s="12" t="s">
        <v>0</v>
      </c>
      <c r="D1" s="12" t="s">
        <v>1</v>
      </c>
      <c r="E1" s="12" t="s">
        <v>26</v>
      </c>
      <c r="H1" s="11"/>
    </row>
    <row r="2" spans="1:8" x14ac:dyDescent="0.25">
      <c r="A2" s="30">
        <v>45662</v>
      </c>
      <c r="B2" s="9" t="s">
        <v>25</v>
      </c>
      <c r="C2" s="9"/>
      <c r="D2" s="9">
        <v>6</v>
      </c>
      <c r="E2" s="9" t="s">
        <v>22</v>
      </c>
    </row>
    <row r="3" spans="1:8" x14ac:dyDescent="0.25">
      <c r="A3" s="31"/>
      <c r="B3" s="10" t="s">
        <v>18</v>
      </c>
      <c r="C3" s="9">
        <v>32</v>
      </c>
      <c r="D3" s="9"/>
      <c r="E3" s="9" t="s">
        <v>17</v>
      </c>
    </row>
    <row r="4" spans="1:8" x14ac:dyDescent="0.25">
      <c r="A4" s="31"/>
      <c r="B4" s="9" t="s">
        <v>24</v>
      </c>
      <c r="C4" s="9"/>
      <c r="D4" s="9">
        <v>10</v>
      </c>
      <c r="E4" s="9" t="s">
        <v>19</v>
      </c>
    </row>
    <row r="5" spans="1:8" x14ac:dyDescent="0.25">
      <c r="A5" s="31"/>
      <c r="B5" s="9" t="s">
        <v>23</v>
      </c>
      <c r="C5" s="9"/>
      <c r="D5" s="9">
        <v>1</v>
      </c>
      <c r="E5" s="9" t="s">
        <v>22</v>
      </c>
    </row>
    <row r="6" spans="1:8" x14ac:dyDescent="0.25">
      <c r="A6" s="30">
        <v>45663</v>
      </c>
      <c r="B6" s="9" t="s">
        <v>21</v>
      </c>
      <c r="C6" s="9"/>
      <c r="D6" s="9">
        <v>6</v>
      </c>
      <c r="E6" s="9" t="s">
        <v>19</v>
      </c>
    </row>
    <row r="7" spans="1:8" x14ac:dyDescent="0.25">
      <c r="A7" s="30"/>
      <c r="B7" s="9" t="s">
        <v>20</v>
      </c>
      <c r="C7" s="9">
        <v>1</v>
      </c>
      <c r="D7" s="9"/>
      <c r="E7" s="9" t="s">
        <v>19</v>
      </c>
    </row>
    <row r="8" spans="1:8" x14ac:dyDescent="0.25">
      <c r="A8" s="30">
        <v>45664</v>
      </c>
      <c r="B8" s="10" t="s">
        <v>18</v>
      </c>
      <c r="C8" s="9">
        <v>4</v>
      </c>
      <c r="D8" s="9"/>
      <c r="E8" s="9" t="s">
        <v>17</v>
      </c>
    </row>
    <row r="9" spans="1:8" x14ac:dyDescent="0.25">
      <c r="A9" s="30"/>
      <c r="B9" s="9" t="s">
        <v>16</v>
      </c>
      <c r="C9" s="9"/>
      <c r="D9" s="9">
        <v>2</v>
      </c>
      <c r="E9" s="9" t="s">
        <v>15</v>
      </c>
    </row>
    <row r="10" spans="1:8" x14ac:dyDescent="0.25">
      <c r="A10" s="10">
        <v>45665</v>
      </c>
      <c r="B10" s="9" t="s">
        <v>29</v>
      </c>
      <c r="C10" s="9"/>
      <c r="D10" s="9">
        <v>10</v>
      </c>
      <c r="E10" s="9" t="s">
        <v>17</v>
      </c>
    </row>
    <row r="11" spans="1:8" x14ac:dyDescent="0.25">
      <c r="A11" s="10">
        <v>45666</v>
      </c>
      <c r="B11" s="9" t="s">
        <v>25</v>
      </c>
      <c r="C11" s="20"/>
      <c r="D11" s="20">
        <v>3</v>
      </c>
      <c r="E11" s="20" t="s">
        <v>50</v>
      </c>
    </row>
    <row r="12" spans="1:8" x14ac:dyDescent="0.25">
      <c r="A12" s="10">
        <v>45669</v>
      </c>
      <c r="B12" s="9" t="s">
        <v>29</v>
      </c>
      <c r="C12" s="9"/>
      <c r="D12" s="9">
        <v>10</v>
      </c>
      <c r="E12" s="9" t="s">
        <v>49</v>
      </c>
    </row>
    <row r="13" spans="1:8" x14ac:dyDescent="0.25">
      <c r="A13" s="30">
        <v>45670</v>
      </c>
      <c r="B13" s="9" t="s">
        <v>51</v>
      </c>
      <c r="C13" s="9">
        <v>5</v>
      </c>
      <c r="D13" s="9"/>
      <c r="E13" s="9" t="s">
        <v>52</v>
      </c>
    </row>
    <row r="14" spans="1:8" x14ac:dyDescent="0.25">
      <c r="A14" s="30"/>
      <c r="B14" s="9" t="s">
        <v>23</v>
      </c>
      <c r="C14" s="9"/>
      <c r="D14" s="9">
        <v>1</v>
      </c>
      <c r="E14" s="9" t="s">
        <v>52</v>
      </c>
    </row>
    <row r="15" spans="1:8" x14ac:dyDescent="0.25">
      <c r="A15" s="30">
        <v>45671</v>
      </c>
      <c r="B15" s="9" t="s">
        <v>53</v>
      </c>
      <c r="C15" s="9"/>
      <c r="D15" s="9">
        <v>10</v>
      </c>
      <c r="E15" s="9" t="s">
        <v>55</v>
      </c>
    </row>
    <row r="16" spans="1:8" x14ac:dyDescent="0.25">
      <c r="A16" s="30"/>
      <c r="B16" s="9" t="s">
        <v>54</v>
      </c>
      <c r="C16" s="9"/>
      <c r="D16" s="9">
        <v>10</v>
      </c>
      <c r="E16" s="9" t="s">
        <v>55</v>
      </c>
    </row>
    <row r="17" spans="1:5" x14ac:dyDescent="0.25">
      <c r="A17" s="9"/>
      <c r="B17" s="9"/>
      <c r="C17" s="9"/>
      <c r="D17" s="9"/>
      <c r="E17" s="9"/>
    </row>
    <row r="18" spans="1:5" x14ac:dyDescent="0.25">
      <c r="A18" s="9"/>
      <c r="B18" s="9"/>
      <c r="C18" s="9"/>
      <c r="D18" s="9"/>
      <c r="E18" s="9"/>
    </row>
    <row r="19" spans="1:5" x14ac:dyDescent="0.25">
      <c r="A19" s="9"/>
      <c r="B19" s="9"/>
      <c r="C19" s="9"/>
      <c r="D19" s="9"/>
      <c r="E19" s="9"/>
    </row>
    <row r="20" spans="1:5" x14ac:dyDescent="0.25">
      <c r="A20" s="9"/>
      <c r="B20" s="9"/>
      <c r="C20" s="9"/>
      <c r="D20" s="9"/>
      <c r="E20" s="9"/>
    </row>
    <row r="21" spans="1:5" x14ac:dyDescent="0.25">
      <c r="A21" s="9"/>
      <c r="B21" s="9"/>
      <c r="C21" s="9"/>
      <c r="D21" s="9"/>
      <c r="E21" s="9"/>
    </row>
    <row r="22" spans="1:5" x14ac:dyDescent="0.25">
      <c r="A22" s="9"/>
      <c r="B22" s="9"/>
      <c r="C22" s="9"/>
      <c r="D22" s="9"/>
      <c r="E22" s="9"/>
    </row>
    <row r="23" spans="1:5" x14ac:dyDescent="0.25">
      <c r="A23" s="9"/>
      <c r="B23" s="9"/>
      <c r="C23" s="9"/>
      <c r="D23" s="9"/>
      <c r="E23" s="9"/>
    </row>
    <row r="24" spans="1:5" x14ac:dyDescent="0.25">
      <c r="A24" s="9"/>
      <c r="B24" s="9"/>
      <c r="C24" s="9"/>
      <c r="D24" s="9"/>
      <c r="E24" s="9"/>
    </row>
    <row r="25" spans="1:5" x14ac:dyDescent="0.25">
      <c r="A25" s="9"/>
      <c r="B25" s="9"/>
      <c r="C25" s="9"/>
      <c r="D25" s="9"/>
      <c r="E25" s="9"/>
    </row>
    <row r="26" spans="1:5" x14ac:dyDescent="0.25">
      <c r="A26" s="9"/>
      <c r="B26" s="9"/>
      <c r="C26" s="9"/>
      <c r="D26" s="9"/>
      <c r="E26" s="9"/>
    </row>
    <row r="27" spans="1:5" x14ac:dyDescent="0.25">
      <c r="A27" s="9"/>
      <c r="B27" s="9"/>
      <c r="C27" s="9"/>
      <c r="D27" s="9"/>
      <c r="E27" s="9"/>
    </row>
    <row r="28" spans="1:5" x14ac:dyDescent="0.25">
      <c r="A28" s="9"/>
      <c r="B28" s="9"/>
      <c r="C28" s="9"/>
      <c r="D28" s="9"/>
      <c r="E28" s="9"/>
    </row>
    <row r="29" spans="1:5" x14ac:dyDescent="0.25">
      <c r="A29" s="9"/>
      <c r="B29" s="9"/>
      <c r="C29" s="9"/>
      <c r="D29" s="9"/>
      <c r="E29" s="9"/>
    </row>
  </sheetData>
  <autoFilter ref="A1:E7" xr:uid="{171653DB-B967-4059-9CE3-FD13B7B63DBC}"/>
  <mergeCells count="5">
    <mergeCell ref="A2:A5"/>
    <mergeCell ref="A6:A7"/>
    <mergeCell ref="A8:A9"/>
    <mergeCell ref="A13:A14"/>
    <mergeCell ref="A15:A16"/>
  </mergeCells>
  <conditionalFormatting sqref="C2:E1000">
    <cfRule type="expression" dxfId="1" priority="1">
      <formula>ISNUMBER(SEARCH("Đã trả",$E2))</formula>
    </cfRule>
    <cfRule type="expression" dxfId="0" priority="2">
      <formula>ISNUMBER(SEARCH("Chưa trả",$E2))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tabSelected="1" zoomScale="145" zoomScaleNormal="145" workbookViewId="0">
      <selection activeCell="K7" sqref="K7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1" t="s">
        <v>14</v>
      </c>
      <c r="B1" s="22"/>
      <c r="C1" s="22"/>
      <c r="D1" s="22"/>
      <c r="E1" s="22"/>
      <c r="F1" s="22"/>
      <c r="G1" s="22"/>
      <c r="H1" s="23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44</v>
      </c>
      <c r="E3" s="4">
        <f>SUM('Nhập xuất tồn'!E3)</f>
        <v>42</v>
      </c>
      <c r="F3" s="4">
        <f>SUM(C3+D3-E3)</f>
        <v>9</v>
      </c>
      <c r="G3" s="6">
        <v>0</v>
      </c>
      <c r="H3" s="4">
        <f>SUM(F3-G3)</f>
        <v>9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0</v>
      </c>
      <c r="E4" s="4">
        <f>SUM('Nhập xuất tồn'!E4)</f>
        <v>66</v>
      </c>
      <c r="F4" s="4">
        <f>SUM(C4+D4-E4)</f>
        <v>78</v>
      </c>
      <c r="G4" s="6">
        <v>11</v>
      </c>
      <c r="H4" s="4">
        <f>SUM(F4-G4)</f>
        <v>67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16" si="0">C5+D5-E5</f>
        <v>4</v>
      </c>
      <c r="G5" s="6">
        <v>0</v>
      </c>
      <c r="H5" s="4">
        <f>SUM(F5-G5)</f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0"/>
        <v>4</v>
      </c>
      <c r="G6" s="6">
        <v>0</v>
      </c>
      <c r="H6" s="4">
        <f>SUM(F6-G6)</f>
        <v>4</v>
      </c>
    </row>
    <row r="7" spans="1:8" x14ac:dyDescent="0.25">
      <c r="A7" s="4">
        <v>5</v>
      </c>
      <c r="B7" s="4" t="s">
        <v>47</v>
      </c>
      <c r="C7" s="4">
        <v>0</v>
      </c>
      <c r="D7" s="4">
        <f>SUM('Nhập xuất tồn'!D7,'Nhập xuất tồn'!D8,'Nhập xuất tồn'!D9,'Nhập xuất tồn'!D12,'Nhập xuất tồn'!D14)</f>
        <v>3</v>
      </c>
      <c r="E7" s="4">
        <f>Xuất!AH7</f>
        <v>0</v>
      </c>
      <c r="F7" s="4">
        <f t="shared" si="0"/>
        <v>3</v>
      </c>
      <c r="G7" s="6">
        <v>0</v>
      </c>
      <c r="H7" s="4">
        <f t="shared" ref="H7:H17" si="1">SUM(F7-G7)</f>
        <v>3</v>
      </c>
    </row>
    <row r="8" spans="1:8" x14ac:dyDescent="0.25">
      <c r="A8" s="4">
        <v>6</v>
      </c>
      <c r="B8" s="4" t="s">
        <v>48</v>
      </c>
      <c r="C8" s="4">
        <v>0</v>
      </c>
      <c r="D8" s="4">
        <f>SUM('Nhập xuất tồn'!D13,'Nhập xuất tồn'!D15)</f>
        <v>0</v>
      </c>
      <c r="E8" s="4">
        <f>Xuất!AH8</f>
        <v>0</v>
      </c>
      <c r="F8" s="4">
        <f t="shared" si="0"/>
        <v>0</v>
      </c>
      <c r="G8" s="6">
        <v>0</v>
      </c>
      <c r="H8" s="4">
        <f t="shared" si="1"/>
        <v>0</v>
      </c>
    </row>
    <row r="9" spans="1:8" x14ac:dyDescent="0.25">
      <c r="A9" s="4">
        <v>7</v>
      </c>
      <c r="B9" s="4" t="s">
        <v>35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36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41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42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43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44</v>
      </c>
      <c r="C14" s="4"/>
      <c r="D14" s="4">
        <f>Nhập!AH19</f>
        <v>0</v>
      </c>
      <c r="E14" s="4">
        <f>Xuất!AH19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45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46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2" t="s">
        <v>5</v>
      </c>
      <c r="B18" s="32"/>
      <c r="C18" s="18">
        <f>SUM(C3:C17)</f>
        <v>157</v>
      </c>
      <c r="D18" s="18">
        <f t="shared" ref="D18:F18" si="2">SUM(D3:D17)</f>
        <v>67</v>
      </c>
      <c r="E18" s="18">
        <f t="shared" si="2"/>
        <v>108</v>
      </c>
      <c r="F18" s="18">
        <f t="shared" si="2"/>
        <v>116</v>
      </c>
      <c r="G18" s="19">
        <f t="shared" ref="G18" si="3">SUM(G3:G17)</f>
        <v>11</v>
      </c>
      <c r="H18" s="18">
        <f t="shared" ref="H18" si="4">SUM(H3:H17)</f>
        <v>105</v>
      </c>
    </row>
    <row r="19" spans="1:8" x14ac:dyDescent="0.25">
      <c r="F19" s="17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2026-01-15T02:20:40Z</dcterms:modified>
</cp:coreProperties>
</file>