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DEB7C5B2-4B49-4F88-899D-9FBBBB73B0B2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chú'!$A$1:$E$7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E23" i="1"/>
  <c r="F23" i="1"/>
  <c r="G23" i="1"/>
  <c r="H23" i="1"/>
  <c r="C23" i="1"/>
  <c r="G18" i="6"/>
  <c r="C18" i="6"/>
  <c r="E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E3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H4" i="6" l="1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3" i="6" s="1"/>
  <c r="D8" i="1"/>
  <c r="F8" i="1" s="1"/>
  <c r="H8" i="1" s="1"/>
  <c r="F8" i="6"/>
  <c r="D18" i="6" l="1"/>
  <c r="F3" i="6"/>
  <c r="F3" i="1"/>
  <c r="H3" i="1" s="1"/>
  <c r="H4" i="1"/>
  <c r="F10" i="1"/>
  <c r="H10" i="1" s="1"/>
  <c r="D9" i="6"/>
  <c r="F9" i="6" s="1"/>
  <c r="H9" i="6" s="1"/>
  <c r="H3" i="6" l="1"/>
  <c r="H18" i="6" s="1"/>
  <c r="F18" i="6"/>
</calcChain>
</file>

<file path=xl/sharedStrings.xml><?xml version="1.0" encoding="utf-8"?>
<sst xmlns="http://schemas.openxmlformats.org/spreadsheetml/2006/main" count="158" uniqueCount="53">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</sst>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6" xfId="0" applyNumberFormat="1" applyFont="1" applyBorder="1" applyAlignment="1">
      <alignment horizontal="left" vertical="center"/>
    </xf>
    <xf numFmtId="14" fontId="2" fillId="0" borderId="5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L14" sqref="L1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1" t="s">
        <v>14</v>
      </c>
      <c r="B1" s="22"/>
      <c r="C1" s="22"/>
      <c r="D1" s="22"/>
      <c r="E1" s="22"/>
      <c r="F1" s="22"/>
      <c r="G1" s="22"/>
      <c r="H1" s="23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44</v>
      </c>
      <c r="E3" s="4">
        <f>Xuất!AH4+Huỷ!AH3</f>
        <v>37</v>
      </c>
      <c r="F3" s="4">
        <f>C3+D3-E3</f>
        <v>14</v>
      </c>
      <c r="G3" s="6">
        <v>1</v>
      </c>
      <c r="H3" s="4">
        <f>F3-G3</f>
        <v>13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45</v>
      </c>
      <c r="F4" s="4">
        <f>C4+D4-E4</f>
        <v>99</v>
      </c>
      <c r="G4" s="6">
        <v>11</v>
      </c>
      <c r="H4" s="4">
        <f t="shared" ref="H4:H22" si="0">F4-G4</f>
        <v>88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4" t="s">
        <v>5</v>
      </c>
      <c r="B23" s="24"/>
      <c r="C23" s="4">
        <f>SUM(C3:C22)</f>
        <v>157</v>
      </c>
      <c r="D23" s="4">
        <f t="shared" ref="D23:H23" si="2">SUM(D3:D22)</f>
        <v>67</v>
      </c>
      <c r="E23" s="4">
        <f t="shared" si="2"/>
        <v>82</v>
      </c>
      <c r="F23" s="4">
        <f t="shared" si="2"/>
        <v>142</v>
      </c>
      <c r="G23" s="4">
        <f t="shared" si="2"/>
        <v>12</v>
      </c>
      <c r="H23" s="4">
        <f t="shared" si="2"/>
        <v>130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P3" sqref="P3"/>
    </sheetView>
  </sheetViews>
  <sheetFormatPr defaultColWidth="8.85546875" defaultRowHeight="15" x14ac:dyDescent="0.25"/>
  <cols>
    <col min="1" max="1" width="6.5703125" style="15" customWidth="1"/>
    <col min="2" max="2" width="27.5703125" style="15" customWidth="1"/>
    <col min="3" max="34" width="5.28515625" style="15" customWidth="1"/>
    <col min="35" max="16384" width="8.85546875" style="15"/>
  </cols>
  <sheetData>
    <row r="1" spans="1:34" x14ac:dyDescent="0.25">
      <c r="A1" s="25" t="s">
        <v>8</v>
      </c>
      <c r="B1" s="26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5"/>
      <c r="B2" s="27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8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>
        <v>32</v>
      </c>
      <c r="H3" s="13"/>
      <c r="I3" s="13"/>
      <c r="J3" s="13"/>
      <c r="K3" s="13"/>
      <c r="L3" s="13"/>
      <c r="M3" s="13"/>
      <c r="N3" s="13"/>
      <c r="O3" s="13">
        <v>12</v>
      </c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44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9" si="0">SUM(C4:AG4)</f>
        <v>0</v>
      </c>
    </row>
    <row r="5" spans="1:34" x14ac:dyDescent="0.25">
      <c r="A5" s="13">
        <v>3</v>
      </c>
      <c r="B5" s="13" t="s">
        <v>30</v>
      </c>
      <c r="C5" s="13"/>
      <c r="D5" s="13"/>
      <c r="E5" s="13"/>
      <c r="F5" s="13"/>
      <c r="G5" s="13"/>
      <c r="H5" s="13"/>
      <c r="I5" s="13"/>
      <c r="J5" s="13"/>
      <c r="K5" s="13"/>
      <c r="L5" s="13">
        <v>4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4</v>
      </c>
    </row>
    <row r="6" spans="1:34" x14ac:dyDescent="0.25">
      <c r="A6" s="13">
        <v>4</v>
      </c>
      <c r="B6" s="13" t="s">
        <v>31</v>
      </c>
      <c r="C6" s="13"/>
      <c r="D6" s="13"/>
      <c r="E6" s="13"/>
      <c r="F6" s="13"/>
      <c r="G6" s="13"/>
      <c r="H6" s="13"/>
      <c r="I6" s="13"/>
      <c r="J6" s="13"/>
      <c r="K6" s="13"/>
      <c r="L6" s="13">
        <v>4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4</v>
      </c>
    </row>
    <row r="7" spans="1:34" x14ac:dyDescent="0.25">
      <c r="A7" s="13">
        <v>5</v>
      </c>
      <c r="B7" s="13" t="s">
        <v>32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33</v>
      </c>
      <c r="C8" s="13"/>
      <c r="D8" s="13"/>
      <c r="E8" s="13"/>
      <c r="F8" s="13"/>
      <c r="G8" s="13"/>
      <c r="H8" s="13"/>
      <c r="I8" s="13"/>
      <c r="J8" s="13"/>
      <c r="K8" s="13"/>
      <c r="L8" s="13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1</v>
      </c>
    </row>
    <row r="9" spans="1:34" x14ac:dyDescent="0.25">
      <c r="A9" s="13">
        <v>7</v>
      </c>
      <c r="B9" s="13" t="s">
        <v>34</v>
      </c>
      <c r="C9" s="13"/>
      <c r="D9" s="13"/>
      <c r="E9" s="13"/>
      <c r="F9" s="13"/>
      <c r="G9" s="13"/>
      <c r="H9" s="13"/>
      <c r="I9" s="13"/>
      <c r="J9" s="13"/>
      <c r="K9" s="13"/>
      <c r="L9" s="13">
        <v>1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1</v>
      </c>
    </row>
    <row r="10" spans="1:34" x14ac:dyDescent="0.25">
      <c r="A10" s="13">
        <v>8</v>
      </c>
      <c r="B10" s="13" t="s">
        <v>35</v>
      </c>
      <c r="C10" s="13"/>
      <c r="D10" s="13"/>
      <c r="E10" s="13"/>
      <c r="F10" s="13"/>
      <c r="G10" s="13"/>
      <c r="H10" s="13"/>
      <c r="I10" s="13"/>
      <c r="J10" s="13">
        <v>4</v>
      </c>
      <c r="K10" s="13">
        <v>4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8</v>
      </c>
    </row>
    <row r="11" spans="1:34" x14ac:dyDescent="0.25">
      <c r="A11" s="13">
        <v>9</v>
      </c>
      <c r="B11" s="13" t="s">
        <v>36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37</v>
      </c>
      <c r="C12" s="13"/>
      <c r="D12" s="13"/>
      <c r="E12" s="13"/>
      <c r="F12" s="13"/>
      <c r="G12" s="13"/>
      <c r="H12" s="13"/>
      <c r="I12" s="13"/>
      <c r="J12" s="13"/>
      <c r="K12" s="13"/>
      <c r="L12" s="13">
        <v>1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1</v>
      </c>
    </row>
    <row r="13" spans="1:34" x14ac:dyDescent="0.25">
      <c r="A13" s="13">
        <v>11</v>
      </c>
      <c r="B13" s="13" t="s">
        <v>38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 spans="1:34" x14ac:dyDescent="0.25">
      <c r="A14" s="13">
        <v>12</v>
      </c>
      <c r="B14" s="13" t="s">
        <v>39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 spans="1:34" x14ac:dyDescent="0.25">
      <c r="A15" s="13">
        <v>13</v>
      </c>
      <c r="B15" s="13" t="s">
        <v>40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 spans="1:34" x14ac:dyDescent="0.25">
      <c r="A16" s="13">
        <v>14</v>
      </c>
      <c r="B16" s="13" t="s">
        <v>41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 spans="1:34" x14ac:dyDescent="0.25">
      <c r="A17" s="13">
        <v>15</v>
      </c>
      <c r="B17" s="13" t="s">
        <v>42</v>
      </c>
      <c r="C17" s="13"/>
      <c r="D17" s="13"/>
      <c r="E17" s="13"/>
      <c r="F17" s="13"/>
      <c r="G17" s="13"/>
      <c r="H17" s="13"/>
      <c r="I17" s="13"/>
      <c r="J17" s="13"/>
      <c r="K17" s="13"/>
      <c r="L17" s="13">
        <v>4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4</v>
      </c>
    </row>
    <row r="18" spans="1:34" x14ac:dyDescent="0.25">
      <c r="A18" s="13">
        <v>16</v>
      </c>
      <c r="B18" s="13" t="s">
        <v>43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>
        <v>17</v>
      </c>
      <c r="B19" s="13" t="s">
        <v>44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>
        <f t="shared" si="0"/>
        <v>0</v>
      </c>
    </row>
    <row r="20" spans="1:34" x14ac:dyDescent="0.25">
      <c r="A20" s="13">
        <v>18</v>
      </c>
      <c r="B20" s="13" t="s">
        <v>45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34" x14ac:dyDescent="0.25">
      <c r="A21" s="13">
        <v>19</v>
      </c>
      <c r="B21" s="13" t="s">
        <v>46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 spans="1:34" x14ac:dyDescent="0.25">
      <c r="A22" s="13">
        <v>20</v>
      </c>
      <c r="B22" s="13" t="s">
        <v>7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AF28" sqref="AF28"/>
    </sheetView>
  </sheetViews>
  <sheetFormatPr defaultColWidth="8.85546875" defaultRowHeight="15" x14ac:dyDescent="0.25"/>
  <cols>
    <col min="1" max="1" width="6.5703125" style="16" customWidth="1"/>
    <col min="2" max="2" width="26.28515625" style="16" customWidth="1"/>
    <col min="3" max="34" width="5.28515625" style="16" customWidth="1"/>
    <col min="35" max="16384" width="8.85546875" style="16"/>
  </cols>
  <sheetData>
    <row r="1" spans="1:34" x14ac:dyDescent="0.25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25">
      <c r="A2" s="28" t="s">
        <v>8</v>
      </c>
      <c r="B2" s="28" t="s">
        <v>9</v>
      </c>
      <c r="C2" s="28" t="s">
        <v>13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 t="s">
        <v>5</v>
      </c>
    </row>
    <row r="3" spans="1:34" x14ac:dyDescent="0.25">
      <c r="A3" s="28"/>
      <c r="B3" s="28"/>
      <c r="C3" s="13">
        <v>1</v>
      </c>
      <c r="D3" s="13">
        <v>2</v>
      </c>
      <c r="E3" s="13">
        <v>3</v>
      </c>
      <c r="F3" s="13">
        <v>4</v>
      </c>
      <c r="G3" s="13">
        <v>5</v>
      </c>
      <c r="H3" s="13">
        <v>6</v>
      </c>
      <c r="I3" s="13">
        <v>7</v>
      </c>
      <c r="J3" s="13">
        <v>8</v>
      </c>
      <c r="K3" s="13">
        <v>9</v>
      </c>
      <c r="L3" s="13">
        <v>10</v>
      </c>
      <c r="M3" s="13">
        <v>11</v>
      </c>
      <c r="N3" s="13">
        <v>12</v>
      </c>
      <c r="O3" s="13">
        <v>13</v>
      </c>
      <c r="P3" s="13">
        <v>14</v>
      </c>
      <c r="Q3" s="13">
        <v>15</v>
      </c>
      <c r="R3" s="13">
        <v>16</v>
      </c>
      <c r="S3" s="13">
        <v>17</v>
      </c>
      <c r="T3" s="13">
        <v>18</v>
      </c>
      <c r="U3" s="13">
        <v>19</v>
      </c>
      <c r="V3" s="13">
        <v>20</v>
      </c>
      <c r="W3" s="13">
        <v>21</v>
      </c>
      <c r="X3" s="13">
        <v>22</v>
      </c>
      <c r="Y3" s="13">
        <v>23</v>
      </c>
      <c r="Z3" s="13">
        <v>24</v>
      </c>
      <c r="AA3" s="13">
        <v>25</v>
      </c>
      <c r="AB3" s="13">
        <v>26</v>
      </c>
      <c r="AC3" s="13">
        <v>27</v>
      </c>
      <c r="AD3" s="13">
        <v>28</v>
      </c>
      <c r="AE3" s="13">
        <v>29</v>
      </c>
      <c r="AF3" s="13">
        <v>30</v>
      </c>
      <c r="AG3" s="13">
        <v>31</v>
      </c>
      <c r="AH3" s="28"/>
    </row>
    <row r="4" spans="1:34" x14ac:dyDescent="0.25">
      <c r="A4" s="13">
        <v>1</v>
      </c>
      <c r="B4" s="13" t="s">
        <v>0</v>
      </c>
      <c r="C4" s="13"/>
      <c r="D4" s="13"/>
      <c r="E4" s="13"/>
      <c r="F4" s="13"/>
      <c r="G4" s="13"/>
      <c r="H4" s="13">
        <v>1</v>
      </c>
      <c r="I4" s="13"/>
      <c r="J4" s="13"/>
      <c r="K4" s="13">
        <v>36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>SUM(C4:AG4)</f>
        <v>37</v>
      </c>
    </row>
    <row r="5" spans="1:34" x14ac:dyDescent="0.25">
      <c r="A5" s="13">
        <v>2</v>
      </c>
      <c r="B5" s="13" t="s">
        <v>1</v>
      </c>
      <c r="C5" s="13"/>
      <c r="D5" s="13"/>
      <c r="E5" s="13"/>
      <c r="F5" s="13"/>
      <c r="G5" s="13">
        <v>7</v>
      </c>
      <c r="H5" s="13">
        <v>16</v>
      </c>
      <c r="I5" s="13">
        <v>2</v>
      </c>
      <c r="J5" s="13"/>
      <c r="K5" s="13">
        <v>10</v>
      </c>
      <c r="L5" s="13"/>
      <c r="M5" s="13"/>
      <c r="N5" s="13">
        <v>10</v>
      </c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ref="AH5:AH18" si="0">SUM(C5:AG5)</f>
        <v>45</v>
      </c>
    </row>
    <row r="6" spans="1:34" x14ac:dyDescent="0.25">
      <c r="A6" s="13">
        <v>3</v>
      </c>
      <c r="B6" s="13" t="s">
        <v>30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4</v>
      </c>
      <c r="B7" s="13" t="s">
        <v>31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5</v>
      </c>
      <c r="B8" s="13" t="s">
        <v>32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33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34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36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37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38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39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40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41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42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43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44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45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46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 spans="1:34" x14ac:dyDescent="0.25">
      <c r="A23" s="13"/>
      <c r="B23" s="13" t="s">
        <v>7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6" customWidth="1"/>
    <col min="2" max="2" width="24.28515625" style="16" customWidth="1"/>
    <col min="3" max="34" width="5.28515625" style="16" customWidth="1"/>
    <col min="35" max="16384" width="8.85546875" style="16"/>
  </cols>
  <sheetData>
    <row r="1" spans="1:34" x14ac:dyDescent="0.25">
      <c r="A1" s="28" t="s">
        <v>8</v>
      </c>
      <c r="B1" s="28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8"/>
      <c r="B2" s="28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8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0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8" si="0">SUM(C4:AG4)</f>
        <v>0</v>
      </c>
    </row>
    <row r="5" spans="1:34" x14ac:dyDescent="0.25">
      <c r="A5" s="13">
        <v>3</v>
      </c>
      <c r="B5" s="13" t="s">
        <v>30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0</v>
      </c>
    </row>
    <row r="6" spans="1:34" x14ac:dyDescent="0.25">
      <c r="A6" s="13">
        <v>4</v>
      </c>
      <c r="B6" s="13" t="s">
        <v>31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5</v>
      </c>
      <c r="B7" s="13" t="s">
        <v>32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33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34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35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37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38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39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40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42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44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46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7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16"/>
  <sheetViews>
    <sheetView tabSelected="1" workbookViewId="0">
      <selection activeCell="M17" sqref="M17"/>
    </sheetView>
  </sheetViews>
  <sheetFormatPr defaultRowHeight="15" x14ac:dyDescent="0.25"/>
  <cols>
    <col min="1" max="1" width="15.7109375" style="8" customWidth="1"/>
    <col min="2" max="2" width="20.7109375" style="8" customWidth="1"/>
    <col min="3" max="4" width="15.7109375" style="8" customWidth="1"/>
    <col min="5" max="5" width="21.5703125" style="8" customWidth="1"/>
    <col min="6" max="16384" width="9.140625" style="7"/>
  </cols>
  <sheetData>
    <row r="1" spans="1:8" x14ac:dyDescent="0.25">
      <c r="A1" s="12" t="s">
        <v>28</v>
      </c>
      <c r="B1" s="12" t="s">
        <v>27</v>
      </c>
      <c r="C1" s="12" t="s">
        <v>0</v>
      </c>
      <c r="D1" s="12" t="s">
        <v>1</v>
      </c>
      <c r="E1" s="12" t="s">
        <v>26</v>
      </c>
      <c r="H1" s="11"/>
    </row>
    <row r="2" spans="1:8" x14ac:dyDescent="0.25">
      <c r="A2" s="30">
        <v>45662</v>
      </c>
      <c r="B2" s="9" t="s">
        <v>25</v>
      </c>
      <c r="C2" s="9"/>
      <c r="D2" s="9">
        <v>6</v>
      </c>
      <c r="E2" s="9" t="s">
        <v>22</v>
      </c>
    </row>
    <row r="3" spans="1:8" x14ac:dyDescent="0.25">
      <c r="A3" s="31"/>
      <c r="B3" s="10" t="s">
        <v>18</v>
      </c>
      <c r="C3" s="9">
        <v>32</v>
      </c>
      <c r="D3" s="9"/>
      <c r="E3" s="9" t="s">
        <v>17</v>
      </c>
    </row>
    <row r="4" spans="1:8" x14ac:dyDescent="0.25">
      <c r="A4" s="31"/>
      <c r="B4" s="9" t="s">
        <v>24</v>
      </c>
      <c r="C4" s="9"/>
      <c r="D4" s="9">
        <v>10</v>
      </c>
      <c r="E4" s="9" t="s">
        <v>19</v>
      </c>
    </row>
    <row r="5" spans="1:8" x14ac:dyDescent="0.25">
      <c r="A5" s="31"/>
      <c r="B5" s="9" t="s">
        <v>23</v>
      </c>
      <c r="C5" s="9"/>
      <c r="D5" s="9">
        <v>1</v>
      </c>
      <c r="E5" s="9" t="s">
        <v>22</v>
      </c>
    </row>
    <row r="6" spans="1:8" x14ac:dyDescent="0.25">
      <c r="A6" s="32">
        <v>45663</v>
      </c>
      <c r="B6" s="9" t="s">
        <v>21</v>
      </c>
      <c r="C6" s="9"/>
      <c r="D6" s="9">
        <v>6</v>
      </c>
      <c r="E6" s="9" t="s">
        <v>19</v>
      </c>
    </row>
    <row r="7" spans="1:8" x14ac:dyDescent="0.25">
      <c r="A7" s="33"/>
      <c r="B7" s="9" t="s">
        <v>20</v>
      </c>
      <c r="C7" s="9">
        <v>1</v>
      </c>
      <c r="D7" s="9"/>
      <c r="E7" s="9" t="s">
        <v>19</v>
      </c>
    </row>
    <row r="8" spans="1:8" x14ac:dyDescent="0.25">
      <c r="A8" s="30">
        <v>45664</v>
      </c>
      <c r="B8" s="10" t="s">
        <v>18</v>
      </c>
      <c r="C8" s="9">
        <v>4</v>
      </c>
      <c r="D8" s="9"/>
      <c r="E8" s="9" t="s">
        <v>17</v>
      </c>
    </row>
    <row r="9" spans="1:8" x14ac:dyDescent="0.25">
      <c r="A9" s="30"/>
      <c r="B9" s="9" t="s">
        <v>16</v>
      </c>
      <c r="C9" s="9"/>
      <c r="D9" s="9">
        <v>2</v>
      </c>
      <c r="E9" s="9" t="s">
        <v>15</v>
      </c>
    </row>
    <row r="10" spans="1:8" x14ac:dyDescent="0.25">
      <c r="A10" s="10">
        <v>45665</v>
      </c>
      <c r="B10" s="9" t="s">
        <v>29</v>
      </c>
      <c r="C10" s="9"/>
      <c r="D10" s="9">
        <v>10</v>
      </c>
      <c r="E10" s="9" t="s">
        <v>17</v>
      </c>
    </row>
    <row r="11" spans="1:8" x14ac:dyDescent="0.25">
      <c r="A11" s="10">
        <v>45666</v>
      </c>
      <c r="B11" s="9" t="s">
        <v>25</v>
      </c>
      <c r="C11" s="20"/>
      <c r="D11" s="20">
        <v>3</v>
      </c>
      <c r="E11" s="20" t="s">
        <v>50</v>
      </c>
    </row>
    <row r="12" spans="1:8" x14ac:dyDescent="0.25">
      <c r="A12" s="10">
        <v>45669</v>
      </c>
      <c r="B12" s="9" t="s">
        <v>29</v>
      </c>
      <c r="C12" s="9"/>
      <c r="D12" s="9">
        <v>10</v>
      </c>
      <c r="E12" s="9" t="s">
        <v>49</v>
      </c>
    </row>
    <row r="13" spans="1:8" x14ac:dyDescent="0.25">
      <c r="A13" s="32">
        <v>45670</v>
      </c>
      <c r="B13" s="9" t="s">
        <v>51</v>
      </c>
      <c r="C13" s="9">
        <v>5</v>
      </c>
      <c r="D13" s="9"/>
      <c r="E13" s="9" t="s">
        <v>52</v>
      </c>
    </row>
    <row r="14" spans="1:8" x14ac:dyDescent="0.25">
      <c r="A14" s="33"/>
      <c r="B14" s="9" t="s">
        <v>23</v>
      </c>
      <c r="C14" s="9"/>
      <c r="D14" s="9">
        <v>1</v>
      </c>
      <c r="E14" s="9" t="s">
        <v>52</v>
      </c>
    </row>
    <row r="15" spans="1:8" x14ac:dyDescent="0.25">
      <c r="A15" s="9"/>
      <c r="B15" s="9"/>
      <c r="C15" s="9"/>
      <c r="D15" s="9"/>
      <c r="E15" s="9"/>
    </row>
    <row r="16" spans="1:8" x14ac:dyDescent="0.25">
      <c r="A16" s="9"/>
      <c r="B16" s="9"/>
      <c r="C16" s="9"/>
      <c r="D16" s="9"/>
      <c r="E16" s="9"/>
    </row>
  </sheetData>
  <autoFilter ref="A1:E7" xr:uid="{171653DB-B967-4059-9CE3-FD13B7B63DBC}"/>
  <mergeCells count="4">
    <mergeCell ref="A2:A5"/>
    <mergeCell ref="A6:A7"/>
    <mergeCell ref="A8:A9"/>
    <mergeCell ref="A13:A14"/>
  </mergeCells>
  <conditionalFormatting sqref="C2:E1000">
    <cfRule type="expression" dxfId="1" priority="1">
      <formula>ISNUMBER(SEARCH("Đã trả",$E2))</formula>
    </cfRule>
    <cfRule type="expression" dxfId="0" priority="2">
      <formula>ISNUMBER(SEARCH("Chưa trả",$E2))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K15" sqref="K15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1" t="s">
        <v>14</v>
      </c>
      <c r="B1" s="22"/>
      <c r="C1" s="22"/>
      <c r="D1" s="22"/>
      <c r="E1" s="22"/>
      <c r="F1" s="22"/>
      <c r="G1" s="22"/>
      <c r="H1" s="23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44</v>
      </c>
      <c r="E3" s="4">
        <f>SUM('Nhập xuất tồn'!E3)</f>
        <v>37</v>
      </c>
      <c r="F3" s="4">
        <f>SUM(C3+D3-E3)</f>
        <v>14</v>
      </c>
      <c r="G3" s="6">
        <v>0</v>
      </c>
      <c r="H3" s="4">
        <f>SUM(F3-G3)</f>
        <v>14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45</v>
      </c>
      <c r="F4" s="4">
        <f>SUM(C4+D4-E4)</f>
        <v>99</v>
      </c>
      <c r="G4" s="6">
        <v>11</v>
      </c>
      <c r="H4" s="4">
        <f>SUM(F4-G4)</f>
        <v>88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4" t="s">
        <v>5</v>
      </c>
      <c r="B18" s="34"/>
      <c r="C18" s="18">
        <f>SUM(C3:C17)</f>
        <v>157</v>
      </c>
      <c r="D18" s="18">
        <f t="shared" ref="D18:F18" si="2">SUM(D3:D17)</f>
        <v>67</v>
      </c>
      <c r="E18" s="18">
        <f t="shared" si="2"/>
        <v>82</v>
      </c>
      <c r="F18" s="18">
        <f t="shared" si="2"/>
        <v>142</v>
      </c>
      <c r="G18" s="19">
        <f t="shared" ref="G18" si="3">SUM(G3:G17)</f>
        <v>11</v>
      </c>
      <c r="H18" s="18">
        <f t="shared" ref="H18" si="4">SUM(H3:H17)</f>
        <v>131</v>
      </c>
    </row>
    <row r="19" spans="1:8" x14ac:dyDescent="0.25">
      <c r="F19" s="17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2026-01-13T09:05:31Z</dcterms:modified>
</cp:coreProperties>
</file>