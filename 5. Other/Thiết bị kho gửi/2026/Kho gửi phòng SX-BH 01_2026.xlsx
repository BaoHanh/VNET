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VNET\5. Other\Thiết bị kho gửi\2026\"/>
    </mc:Choice>
  </mc:AlternateContent>
  <xr:revisionPtr revIDLastSave="0" documentId="13_ncr:1_{0D596E3D-5DFC-4795-AC59-18D6C31AB543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Nhập xuất tồn" sheetId="1" r:id="rId1"/>
    <sheet name="Nhập" sheetId="2" r:id="rId2"/>
    <sheet name="Xuất" sheetId="3" r:id="rId3"/>
    <sheet name="Huỷ" sheetId="4" r:id="rId4"/>
    <sheet name="Ghi chú" sheetId="5" r:id="rId5"/>
    <sheet name="Chốt Kho" sheetId="6" r:id="rId6"/>
  </sheets>
  <definedNames>
    <definedName name="_xlnm._FilterDatabase" localSheetId="4" hidden="1">'Ghi chú'!$A$1:$E$7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8" i="6" l="1"/>
  <c r="H18" i="6"/>
  <c r="C18" i="6"/>
  <c r="D18" i="6"/>
  <c r="E18" i="6"/>
  <c r="F18" i="6"/>
  <c r="F17" i="6"/>
  <c r="C17" i="6"/>
  <c r="H7" i="6"/>
  <c r="H8" i="6"/>
  <c r="H10" i="6"/>
  <c r="H11" i="6"/>
  <c r="H12" i="6"/>
  <c r="H13" i="6"/>
  <c r="H14" i="6"/>
  <c r="H15" i="6"/>
  <c r="H16" i="6"/>
  <c r="H17" i="6"/>
  <c r="H6" i="6"/>
  <c r="H5" i="6"/>
  <c r="H3" i="6"/>
  <c r="F3" i="6"/>
  <c r="E3" i="6"/>
  <c r="D4" i="6"/>
  <c r="D3" i="6"/>
  <c r="D11" i="6"/>
  <c r="F11" i="6" s="1"/>
  <c r="D10" i="6"/>
  <c r="D12" i="6"/>
  <c r="D13" i="6"/>
  <c r="D14" i="6"/>
  <c r="D15" i="6"/>
  <c r="D16" i="6"/>
  <c r="F16" i="6" s="1"/>
  <c r="D17" i="6"/>
  <c r="D8" i="6"/>
  <c r="D7" i="6"/>
  <c r="F7" i="6" s="1"/>
  <c r="E17" i="6"/>
  <c r="E16" i="6"/>
  <c r="E15" i="6"/>
  <c r="F15" i="6"/>
  <c r="E14" i="6"/>
  <c r="E13" i="6"/>
  <c r="E12" i="6"/>
  <c r="E11" i="6"/>
  <c r="E10" i="6"/>
  <c r="E9" i="6"/>
  <c r="E8" i="6"/>
  <c r="E7" i="6"/>
  <c r="E6" i="6"/>
  <c r="E5" i="6"/>
  <c r="H15" i="1"/>
  <c r="H16" i="1"/>
  <c r="F13" i="1"/>
  <c r="H13" i="1" s="1"/>
  <c r="F15" i="1"/>
  <c r="F1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6" i="1"/>
  <c r="D13" i="1"/>
  <c r="D14" i="1"/>
  <c r="F14" i="1" s="1"/>
  <c r="H14" i="1" s="1"/>
  <c r="D15" i="1"/>
  <c r="D16" i="1"/>
  <c r="D20" i="1"/>
  <c r="F20" i="1" s="1"/>
  <c r="H20" i="1" s="1"/>
  <c r="D21" i="1"/>
  <c r="F21" i="1" s="1"/>
  <c r="H21" i="1" s="1"/>
  <c r="D22" i="1"/>
  <c r="F22" i="1" s="1"/>
  <c r="H22" i="1" s="1"/>
  <c r="AH18" i="4"/>
  <c r="AH17" i="4"/>
  <c r="AH16" i="4"/>
  <c r="AH15" i="4"/>
  <c r="AH14" i="4"/>
  <c r="AH13" i="4"/>
  <c r="AH12" i="4"/>
  <c r="AH11" i="4"/>
  <c r="AH10" i="4"/>
  <c r="AH9" i="4"/>
  <c r="AH8" i="4"/>
  <c r="AH7" i="4"/>
  <c r="AH6" i="4"/>
  <c r="AH5" i="4"/>
  <c r="AH4" i="4"/>
  <c r="AH3" i="4"/>
  <c r="AH5" i="3" l="1"/>
  <c r="E4" i="1" s="1"/>
  <c r="E4" i="6" s="1"/>
  <c r="F4" i="6" s="1"/>
  <c r="AH6" i="3"/>
  <c r="E5" i="1" s="1"/>
  <c r="AH7" i="3"/>
  <c r="AH8" i="3"/>
  <c r="AH9" i="3"/>
  <c r="AH10" i="3"/>
  <c r="AH11" i="3"/>
  <c r="AH12" i="3"/>
  <c r="AH13" i="3"/>
  <c r="AH14" i="3"/>
  <c r="AH15" i="3"/>
  <c r="AH16" i="3"/>
  <c r="AH17" i="3"/>
  <c r="AH18" i="3"/>
  <c r="AH4" i="3"/>
  <c r="E3" i="1" s="1"/>
  <c r="AH8" i="2"/>
  <c r="AH9" i="2"/>
  <c r="AH10" i="2"/>
  <c r="AH11" i="2"/>
  <c r="D11" i="1" s="1"/>
  <c r="F11" i="1" s="1"/>
  <c r="H11" i="1" s="1"/>
  <c r="AH12" i="2"/>
  <c r="D12" i="1" s="1"/>
  <c r="F12" i="1" s="1"/>
  <c r="H12" i="1" s="1"/>
  <c r="AH17" i="2"/>
  <c r="AH18" i="2"/>
  <c r="AH19" i="2"/>
  <c r="AH4" i="2"/>
  <c r="AH5" i="2"/>
  <c r="AH6" i="2"/>
  <c r="AH7" i="2"/>
  <c r="D7" i="1" s="1"/>
  <c r="F7" i="1" s="1"/>
  <c r="H7" i="1" s="1"/>
  <c r="AH3" i="2"/>
  <c r="H4" i="6" l="1"/>
  <c r="D4" i="1"/>
  <c r="F4" i="1" s="1"/>
  <c r="D6" i="1"/>
  <c r="F6" i="1" s="1"/>
  <c r="H6" i="1" s="1"/>
  <c r="D6" i="6"/>
  <c r="F6" i="6" s="1"/>
  <c r="D5" i="1"/>
  <c r="F5" i="1" s="1"/>
  <c r="H5" i="1" s="1"/>
  <c r="D5" i="6"/>
  <c r="F5" i="6" s="1"/>
  <c r="D18" i="1"/>
  <c r="F18" i="1" s="1"/>
  <c r="H18" i="1" s="1"/>
  <c r="F13" i="6"/>
  <c r="D17" i="1"/>
  <c r="F17" i="1" s="1"/>
  <c r="H17" i="1" s="1"/>
  <c r="F12" i="6"/>
  <c r="D10" i="1"/>
  <c r="F10" i="6"/>
  <c r="D19" i="1"/>
  <c r="F19" i="1" s="1"/>
  <c r="H19" i="1" s="1"/>
  <c r="F14" i="6"/>
  <c r="D9" i="1"/>
  <c r="F9" i="1" s="1"/>
  <c r="H9" i="1" s="1"/>
  <c r="D3" i="1"/>
  <c r="D8" i="1"/>
  <c r="F8" i="1" s="1"/>
  <c r="H8" i="1" s="1"/>
  <c r="F8" i="6"/>
  <c r="F3" i="1"/>
  <c r="H3" i="1" s="1"/>
  <c r="H4" i="1" l="1"/>
  <c r="F24" i="1"/>
  <c r="F10" i="1"/>
  <c r="H10" i="1" s="1"/>
  <c r="D9" i="6"/>
  <c r="F9" i="6" s="1"/>
  <c r="H9" i="6" s="1"/>
</calcChain>
</file>

<file path=xl/sharedStrings.xml><?xml version="1.0" encoding="utf-8"?>
<sst xmlns="http://schemas.openxmlformats.org/spreadsheetml/2006/main" count="153" uniqueCount="51">
  <si>
    <t>VNSH01</t>
  </si>
  <si>
    <t>VNSH02</t>
  </si>
  <si>
    <t>Nhập</t>
  </si>
  <si>
    <t>Xuất</t>
  </si>
  <si>
    <t>Tồn</t>
  </si>
  <si>
    <t>Tổng</t>
  </si>
  <si>
    <t>Lỗi</t>
  </si>
  <si>
    <t>VNSH01 (BH)</t>
  </si>
  <si>
    <t>STT</t>
  </si>
  <si>
    <t>Tên Sản Phẩm</t>
  </si>
  <si>
    <t>Đầu Kỳ</t>
  </si>
  <si>
    <t>Bình Thường</t>
  </si>
  <si>
    <t>Ngày Nhập</t>
  </si>
  <si>
    <t>Ngày Xuất</t>
  </si>
  <si>
    <t>Danh Sách Thiết Bị Gửi Trên Bảo Hành - Sản Xuất Tháng 01</t>
  </si>
  <si>
    <t>Đã trả (07/01/26)</t>
  </si>
  <si>
    <t>Victory</t>
  </si>
  <si>
    <t>Đã trả (09/01/26)</t>
  </si>
  <si>
    <t>ĐL anh Tuấn NB</t>
  </si>
  <si>
    <t>Đã trả (06/01/26)</t>
  </si>
  <si>
    <t>ĐL anh Ân Thái Bình</t>
  </si>
  <si>
    <t>ĐL GPS Global</t>
  </si>
  <si>
    <t>Đã trả (05/01/26)</t>
  </si>
  <si>
    <t>ĐL Hay Huế</t>
  </si>
  <si>
    <t>Gsatcom</t>
  </si>
  <si>
    <t>ĐL SEA</t>
  </si>
  <si>
    <t>Trạng thái</t>
  </si>
  <si>
    <t>Đại lý</t>
  </si>
  <si>
    <t>Ngày</t>
  </si>
  <si>
    <t>Anh Tuấn BG</t>
  </si>
  <si>
    <t>TG102-E4G</t>
  </si>
  <si>
    <t>TG102-E4G ESIM</t>
  </si>
  <si>
    <t>TG102LE-4G(51 Nâng cấp)</t>
  </si>
  <si>
    <t>TG102LE-4G(51)</t>
  </si>
  <si>
    <t>TG102LE-4G(55)</t>
  </si>
  <si>
    <t>TG102LE-4G(56)</t>
  </si>
  <si>
    <t>TG102LE-4G(56 ESIM)</t>
  </si>
  <si>
    <t>TG102LE-4G(60)</t>
  </si>
  <si>
    <t>TG102LE-4G(60 ESIM)</t>
  </si>
  <si>
    <t>TG102LE-4G(77)</t>
  </si>
  <si>
    <t>TG102LE-4G(77 ESIM)</t>
  </si>
  <si>
    <t>CardReder</t>
  </si>
  <si>
    <t>ACT-01 (Bản cũ)</t>
  </si>
  <si>
    <t>ACT-01 (Bản mới)</t>
  </si>
  <si>
    <t>HUB_H1</t>
  </si>
  <si>
    <t>HUB_H2</t>
  </si>
  <si>
    <t>Vỏ Hộp LE</t>
  </si>
  <si>
    <t>TG102LE-4G</t>
  </si>
  <si>
    <t>TG102LE-4G(ESIM)</t>
  </si>
  <si>
    <t>Đã trả (12/01/26)</t>
  </si>
  <si>
    <t>Lực KD không lấy nữa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</si>
</sst>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4" fontId="2" fillId="0" borderId="6" xfId="0" applyNumberFormat="1" applyFont="1" applyBorder="1" applyAlignment="1">
      <alignment horizontal="left" vertical="center"/>
    </xf>
    <xf numFmtId="14" fontId="2" fillId="0" borderId="5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2">
    <dxf>
      <fill>
        <patternFill>
          <bgColor rgb="FFFFFF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showZeros="0" zoomScale="115" zoomScaleNormal="115" workbookViewId="0">
      <selection activeCell="H27" sqref="H27"/>
    </sheetView>
  </sheetViews>
  <sheetFormatPr defaultColWidth="8.85546875" defaultRowHeight="15" x14ac:dyDescent="0.25"/>
  <cols>
    <col min="1" max="1" width="8" style="1" customWidth="1"/>
    <col min="2" max="2" width="28.7109375" style="1" customWidth="1"/>
    <col min="3" max="3" width="14.28515625" style="1" customWidth="1"/>
    <col min="4" max="5" width="13.7109375" style="1" customWidth="1"/>
    <col min="6" max="6" width="13.42578125" style="1" customWidth="1"/>
    <col min="7" max="7" width="10.140625" style="1" customWidth="1"/>
    <col min="8" max="8" width="15" style="1" customWidth="1"/>
    <col min="9" max="16384" width="8.85546875" style="1"/>
  </cols>
  <sheetData>
    <row r="1" spans="1:8" ht="15.75" x14ac:dyDescent="0.25">
      <c r="A1" s="18" t="s">
        <v>14</v>
      </c>
      <c r="B1" s="19"/>
      <c r="C1" s="19"/>
      <c r="D1" s="19"/>
      <c r="E1" s="19"/>
      <c r="F1" s="19"/>
      <c r="G1" s="19"/>
      <c r="H1" s="20"/>
    </row>
    <row r="2" spans="1:8" x14ac:dyDescent="0.25">
      <c r="A2" s="3" t="s">
        <v>8</v>
      </c>
      <c r="B2" s="3" t="s">
        <v>9</v>
      </c>
      <c r="C2" s="3" t="s">
        <v>10</v>
      </c>
      <c r="D2" s="3" t="s">
        <v>2</v>
      </c>
      <c r="E2" s="3" t="s">
        <v>3</v>
      </c>
      <c r="F2" s="3" t="s">
        <v>4</v>
      </c>
      <c r="G2" s="5" t="s">
        <v>6</v>
      </c>
      <c r="H2" s="3" t="s">
        <v>11</v>
      </c>
    </row>
    <row r="3" spans="1:8" x14ac:dyDescent="0.25">
      <c r="A3" s="4">
        <v>1</v>
      </c>
      <c r="B3" s="4" t="s">
        <v>0</v>
      </c>
      <c r="C3" s="4">
        <v>7</v>
      </c>
      <c r="D3" s="4">
        <f>Nhập!AH3</f>
        <v>32</v>
      </c>
      <c r="E3" s="4">
        <f>Xuất!AH4+Huỷ!AH3</f>
        <v>37</v>
      </c>
      <c r="F3" s="4">
        <f>C3+D3-E3</f>
        <v>2</v>
      </c>
      <c r="G3" s="6">
        <v>0</v>
      </c>
      <c r="H3" s="4">
        <f>F3-G3</f>
        <v>2</v>
      </c>
    </row>
    <row r="4" spans="1:8" x14ac:dyDescent="0.25">
      <c r="A4" s="4">
        <v>2</v>
      </c>
      <c r="B4" s="4" t="s">
        <v>1</v>
      </c>
      <c r="C4" s="4">
        <v>144</v>
      </c>
      <c r="D4" s="4">
        <f>Nhập!AH4</f>
        <v>0</v>
      </c>
      <c r="E4" s="4">
        <f>Xuất!AH5+Huỷ!AH4</f>
        <v>45</v>
      </c>
      <c r="F4" s="4">
        <f>C4+D4-E4</f>
        <v>99</v>
      </c>
      <c r="G4" s="6">
        <v>11</v>
      </c>
      <c r="H4" s="4">
        <f t="shared" ref="H4:H22" si="0">F4-G4</f>
        <v>88</v>
      </c>
    </row>
    <row r="5" spans="1:8" x14ac:dyDescent="0.25">
      <c r="A5" s="4">
        <v>3</v>
      </c>
      <c r="B5" s="4" t="s">
        <v>30</v>
      </c>
      <c r="C5" s="4">
        <v>0</v>
      </c>
      <c r="D5" s="4">
        <f>Nhập!AH5</f>
        <v>4</v>
      </c>
      <c r="E5" s="4">
        <f>Xuất!AH6+Huỷ!AH5</f>
        <v>0</v>
      </c>
      <c r="F5" s="4">
        <f t="shared" ref="F5:F22" si="1">C5+D5-E5</f>
        <v>4</v>
      </c>
      <c r="G5" s="6">
        <v>0</v>
      </c>
      <c r="H5" s="4">
        <f t="shared" si="0"/>
        <v>4</v>
      </c>
    </row>
    <row r="6" spans="1:8" x14ac:dyDescent="0.25">
      <c r="A6" s="4">
        <v>4</v>
      </c>
      <c r="B6" s="4" t="s">
        <v>31</v>
      </c>
      <c r="C6" s="4">
        <v>0</v>
      </c>
      <c r="D6" s="4">
        <f>Nhập!AH6</f>
        <v>4</v>
      </c>
      <c r="E6" s="4">
        <f>Xuất!AH6</f>
        <v>0</v>
      </c>
      <c r="F6" s="4">
        <f t="shared" si="1"/>
        <v>4</v>
      </c>
      <c r="G6" s="6">
        <v>0</v>
      </c>
      <c r="H6" s="4">
        <f t="shared" si="0"/>
        <v>4</v>
      </c>
    </row>
    <row r="7" spans="1:8" x14ac:dyDescent="0.25">
      <c r="A7" s="4">
        <v>5</v>
      </c>
      <c r="B7" s="4" t="s">
        <v>32</v>
      </c>
      <c r="C7" s="4">
        <v>0</v>
      </c>
      <c r="D7" s="4">
        <f>Nhập!AH7</f>
        <v>0</v>
      </c>
      <c r="E7" s="4">
        <f>Xuất!AH7</f>
        <v>0</v>
      </c>
      <c r="F7" s="4">
        <f t="shared" si="1"/>
        <v>0</v>
      </c>
      <c r="G7" s="6">
        <v>0</v>
      </c>
      <c r="H7" s="4">
        <f t="shared" si="0"/>
        <v>0</v>
      </c>
    </row>
    <row r="8" spans="1:8" x14ac:dyDescent="0.25">
      <c r="A8" s="4">
        <v>6</v>
      </c>
      <c r="B8" s="4" t="s">
        <v>33</v>
      </c>
      <c r="C8" s="4">
        <v>0</v>
      </c>
      <c r="D8" s="4">
        <f>Nhập!AH8</f>
        <v>1</v>
      </c>
      <c r="E8" s="4">
        <f>Xuất!AH8</f>
        <v>0</v>
      </c>
      <c r="F8" s="4">
        <f t="shared" si="1"/>
        <v>1</v>
      </c>
      <c r="G8" s="6">
        <v>0</v>
      </c>
      <c r="H8" s="4">
        <f t="shared" si="0"/>
        <v>1</v>
      </c>
    </row>
    <row r="9" spans="1:8" x14ac:dyDescent="0.25">
      <c r="A9" s="4">
        <v>7</v>
      </c>
      <c r="B9" s="4" t="s">
        <v>34</v>
      </c>
      <c r="C9" s="4">
        <v>0</v>
      </c>
      <c r="D9" s="4">
        <f>Nhập!AH9</f>
        <v>1</v>
      </c>
      <c r="E9" s="4">
        <f>Xuất!AH9</f>
        <v>0</v>
      </c>
      <c r="F9" s="4">
        <f t="shared" si="1"/>
        <v>1</v>
      </c>
      <c r="G9" s="6">
        <v>0</v>
      </c>
      <c r="H9" s="4">
        <f t="shared" si="0"/>
        <v>1</v>
      </c>
    </row>
    <row r="10" spans="1:8" x14ac:dyDescent="0.25">
      <c r="A10" s="4">
        <v>8</v>
      </c>
      <c r="B10" s="4" t="s">
        <v>35</v>
      </c>
      <c r="C10" s="4">
        <v>0</v>
      </c>
      <c r="D10" s="4">
        <f>Nhập!AH10</f>
        <v>8</v>
      </c>
      <c r="E10" s="4">
        <f>Xuất!AH10</f>
        <v>0</v>
      </c>
      <c r="F10" s="4">
        <f t="shared" si="1"/>
        <v>8</v>
      </c>
      <c r="G10" s="6">
        <v>0</v>
      </c>
      <c r="H10" s="4">
        <f t="shared" si="0"/>
        <v>8</v>
      </c>
    </row>
    <row r="11" spans="1:8" x14ac:dyDescent="0.25">
      <c r="A11" s="4">
        <v>9</v>
      </c>
      <c r="B11" s="4" t="s">
        <v>36</v>
      </c>
      <c r="C11" s="4">
        <v>0</v>
      </c>
      <c r="D11" s="4">
        <f>Nhập!AH11</f>
        <v>0</v>
      </c>
      <c r="E11" s="4">
        <f>Xuất!AH11</f>
        <v>0</v>
      </c>
      <c r="F11" s="4">
        <f t="shared" si="1"/>
        <v>0</v>
      </c>
      <c r="G11" s="6">
        <v>0</v>
      </c>
      <c r="H11" s="4">
        <f t="shared" si="0"/>
        <v>0</v>
      </c>
    </row>
    <row r="12" spans="1:8" x14ac:dyDescent="0.25">
      <c r="A12" s="4">
        <v>10</v>
      </c>
      <c r="B12" s="4" t="s">
        <v>37</v>
      </c>
      <c r="C12" s="4">
        <v>0</v>
      </c>
      <c r="D12" s="4">
        <f>Nhập!AH12</f>
        <v>1</v>
      </c>
      <c r="E12" s="4">
        <f>Xuất!AH12</f>
        <v>0</v>
      </c>
      <c r="F12" s="4">
        <f t="shared" si="1"/>
        <v>1</v>
      </c>
      <c r="G12" s="6">
        <v>0</v>
      </c>
      <c r="H12" s="4">
        <f t="shared" si="0"/>
        <v>1</v>
      </c>
    </row>
    <row r="13" spans="1:8" x14ac:dyDescent="0.25">
      <c r="A13" s="4">
        <v>11</v>
      </c>
      <c r="B13" s="4" t="s">
        <v>38</v>
      </c>
      <c r="C13" s="4">
        <v>0</v>
      </c>
      <c r="D13" s="4">
        <f>Nhập!AH13</f>
        <v>0</v>
      </c>
      <c r="E13" s="4">
        <f>Xuất!AH13</f>
        <v>0</v>
      </c>
      <c r="F13" s="4">
        <f t="shared" si="1"/>
        <v>0</v>
      </c>
      <c r="G13" s="6">
        <v>0</v>
      </c>
      <c r="H13" s="4">
        <f t="shared" si="0"/>
        <v>0</v>
      </c>
    </row>
    <row r="14" spans="1:8" x14ac:dyDescent="0.25">
      <c r="A14" s="4">
        <v>12</v>
      </c>
      <c r="B14" s="4" t="s">
        <v>39</v>
      </c>
      <c r="C14" s="4">
        <v>0</v>
      </c>
      <c r="D14" s="4">
        <f>Nhập!AH14</f>
        <v>0</v>
      </c>
      <c r="E14" s="4">
        <f>Xuất!AH14</f>
        <v>0</v>
      </c>
      <c r="F14" s="4">
        <f t="shared" si="1"/>
        <v>0</v>
      </c>
      <c r="G14" s="6">
        <v>0</v>
      </c>
      <c r="H14" s="4">
        <f t="shared" si="0"/>
        <v>0</v>
      </c>
    </row>
    <row r="15" spans="1:8" x14ac:dyDescent="0.25">
      <c r="A15" s="4">
        <v>13</v>
      </c>
      <c r="B15" s="4" t="s">
        <v>40</v>
      </c>
      <c r="C15" s="4">
        <v>0</v>
      </c>
      <c r="D15" s="4">
        <f>Nhập!AH15</f>
        <v>0</v>
      </c>
      <c r="E15" s="4">
        <f>Xuất!AH15</f>
        <v>0</v>
      </c>
      <c r="F15" s="4">
        <f t="shared" si="1"/>
        <v>0</v>
      </c>
      <c r="G15" s="6">
        <v>0</v>
      </c>
      <c r="H15" s="4">
        <f t="shared" si="0"/>
        <v>0</v>
      </c>
    </row>
    <row r="16" spans="1:8" x14ac:dyDescent="0.25">
      <c r="A16" s="4">
        <v>14</v>
      </c>
      <c r="B16" s="4" t="s">
        <v>41</v>
      </c>
      <c r="C16" s="4"/>
      <c r="D16" s="4">
        <f>Nhập!AH16</f>
        <v>0</v>
      </c>
      <c r="E16" s="4">
        <f>Xuất!AH16</f>
        <v>0</v>
      </c>
      <c r="F16" s="4">
        <f t="shared" si="1"/>
        <v>0</v>
      </c>
      <c r="G16" s="6"/>
      <c r="H16" s="4">
        <f t="shared" si="0"/>
        <v>0</v>
      </c>
    </row>
    <row r="17" spans="1:8" x14ac:dyDescent="0.25">
      <c r="A17" s="4">
        <v>15</v>
      </c>
      <c r="B17" s="4" t="s">
        <v>42</v>
      </c>
      <c r="C17" s="4"/>
      <c r="D17" s="4">
        <f>Nhập!AH17</f>
        <v>4</v>
      </c>
      <c r="E17" s="4">
        <f>Xuất!AH17</f>
        <v>0</v>
      </c>
      <c r="F17" s="4">
        <f t="shared" si="1"/>
        <v>4</v>
      </c>
      <c r="G17" s="6"/>
      <c r="H17" s="4">
        <f t="shared" si="0"/>
        <v>4</v>
      </c>
    </row>
    <row r="18" spans="1:8" x14ac:dyDescent="0.25">
      <c r="A18" s="4">
        <v>16</v>
      </c>
      <c r="B18" s="4" t="s">
        <v>43</v>
      </c>
      <c r="C18" s="4"/>
      <c r="D18" s="4">
        <f>Nhập!AH18</f>
        <v>0</v>
      </c>
      <c r="E18" s="4">
        <f>Xuất!AH18</f>
        <v>0</v>
      </c>
      <c r="F18" s="4">
        <f t="shared" si="1"/>
        <v>0</v>
      </c>
      <c r="G18" s="6"/>
      <c r="H18" s="4">
        <f t="shared" si="0"/>
        <v>0</v>
      </c>
    </row>
    <row r="19" spans="1:8" x14ac:dyDescent="0.25">
      <c r="A19" s="4">
        <v>17</v>
      </c>
      <c r="B19" s="4" t="s">
        <v>44</v>
      </c>
      <c r="C19" s="4"/>
      <c r="D19" s="4">
        <f>Nhập!AH19</f>
        <v>0</v>
      </c>
      <c r="E19" s="4">
        <f>Xuất!AH19</f>
        <v>0</v>
      </c>
      <c r="F19" s="4">
        <f t="shared" si="1"/>
        <v>0</v>
      </c>
      <c r="G19" s="6"/>
      <c r="H19" s="4">
        <f t="shared" si="0"/>
        <v>0</v>
      </c>
    </row>
    <row r="20" spans="1:8" x14ac:dyDescent="0.25">
      <c r="A20" s="4">
        <v>18</v>
      </c>
      <c r="B20" s="4" t="s">
        <v>45</v>
      </c>
      <c r="C20" s="4"/>
      <c r="D20" s="4">
        <f>Nhập!AH20</f>
        <v>0</v>
      </c>
      <c r="E20" s="4">
        <f>Xuất!AH20</f>
        <v>0</v>
      </c>
      <c r="F20" s="4">
        <f t="shared" si="1"/>
        <v>0</v>
      </c>
      <c r="G20" s="6"/>
      <c r="H20" s="4">
        <f t="shared" si="0"/>
        <v>0</v>
      </c>
    </row>
    <row r="21" spans="1:8" x14ac:dyDescent="0.25">
      <c r="A21" s="4">
        <v>19</v>
      </c>
      <c r="B21" s="4" t="s">
        <v>46</v>
      </c>
      <c r="C21" s="4">
        <v>0</v>
      </c>
      <c r="D21" s="4">
        <f>Nhập!AH21</f>
        <v>0</v>
      </c>
      <c r="E21" s="4">
        <f>Xuất!AH21</f>
        <v>0</v>
      </c>
      <c r="F21" s="4">
        <f t="shared" si="1"/>
        <v>0</v>
      </c>
      <c r="G21" s="6">
        <v>0</v>
      </c>
      <c r="H21" s="4">
        <f t="shared" si="0"/>
        <v>0</v>
      </c>
    </row>
    <row r="22" spans="1:8" x14ac:dyDescent="0.25">
      <c r="A22" s="4">
        <v>20</v>
      </c>
      <c r="B22" s="4" t="s">
        <v>7</v>
      </c>
      <c r="C22" s="4">
        <v>6</v>
      </c>
      <c r="D22" s="4">
        <f>Nhập!AH22</f>
        <v>0</v>
      </c>
      <c r="E22" s="4">
        <f>Xuất!AH22</f>
        <v>0</v>
      </c>
      <c r="F22" s="4">
        <f t="shared" si="1"/>
        <v>6</v>
      </c>
      <c r="G22" s="6">
        <v>0</v>
      </c>
      <c r="H22" s="4">
        <f t="shared" si="0"/>
        <v>6</v>
      </c>
    </row>
    <row r="24" spans="1:8" x14ac:dyDescent="0.25">
      <c r="F24" s="1">
        <f>SUM(F3:F22)</f>
        <v>130</v>
      </c>
    </row>
    <row r="26" spans="1:8" x14ac:dyDescent="0.25">
      <c r="B26" s="2"/>
    </row>
    <row r="27" spans="1:8" x14ac:dyDescent="0.25">
      <c r="B27" s="2"/>
    </row>
    <row r="28" spans="1:8" x14ac:dyDescent="0.25">
      <c r="B28" s="2"/>
    </row>
    <row r="29" spans="1:8" x14ac:dyDescent="0.25">
      <c r="B29" s="2"/>
    </row>
    <row r="30" spans="1:8" x14ac:dyDescent="0.25">
      <c r="B30" s="2"/>
    </row>
    <row r="31" spans="1:8" x14ac:dyDescent="0.25">
      <c r="B31" s="2"/>
    </row>
  </sheetData>
  <mergeCells count="1">
    <mergeCell ref="A1:H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2"/>
  <sheetViews>
    <sheetView showZeros="0" zoomScale="130" zoomScaleNormal="130" workbookViewId="0">
      <selection activeCell="P27" sqref="P27"/>
    </sheetView>
  </sheetViews>
  <sheetFormatPr defaultColWidth="8.85546875" defaultRowHeight="15" x14ac:dyDescent="0.25"/>
  <cols>
    <col min="1" max="1" width="6.5703125" style="15" customWidth="1"/>
    <col min="2" max="2" width="27.5703125" style="15" customWidth="1"/>
    <col min="3" max="34" width="5.28515625" style="15" customWidth="1"/>
    <col min="35" max="16384" width="8.85546875" style="15"/>
  </cols>
  <sheetData>
    <row r="1" spans="1:34" x14ac:dyDescent="0.25">
      <c r="A1" s="21" t="s">
        <v>8</v>
      </c>
      <c r="B1" s="22" t="s">
        <v>9</v>
      </c>
      <c r="C1" s="24" t="s">
        <v>12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 t="s">
        <v>5</v>
      </c>
    </row>
    <row r="2" spans="1:34" x14ac:dyDescent="0.25">
      <c r="A2" s="21"/>
      <c r="B2" s="23"/>
      <c r="C2" s="13">
        <v>1</v>
      </c>
      <c r="D2" s="13">
        <v>2</v>
      </c>
      <c r="E2" s="13">
        <v>3</v>
      </c>
      <c r="F2" s="13">
        <v>4</v>
      </c>
      <c r="G2" s="13">
        <v>5</v>
      </c>
      <c r="H2" s="13">
        <v>6</v>
      </c>
      <c r="I2" s="13">
        <v>7</v>
      </c>
      <c r="J2" s="13">
        <v>8</v>
      </c>
      <c r="K2" s="13">
        <v>9</v>
      </c>
      <c r="L2" s="13">
        <v>10</v>
      </c>
      <c r="M2" s="13">
        <v>11</v>
      </c>
      <c r="N2" s="13">
        <v>12</v>
      </c>
      <c r="O2" s="13">
        <v>13</v>
      </c>
      <c r="P2" s="13">
        <v>14</v>
      </c>
      <c r="Q2" s="13">
        <v>15</v>
      </c>
      <c r="R2" s="13">
        <v>16</v>
      </c>
      <c r="S2" s="13">
        <v>17</v>
      </c>
      <c r="T2" s="13">
        <v>18</v>
      </c>
      <c r="U2" s="13">
        <v>19</v>
      </c>
      <c r="V2" s="13">
        <v>20</v>
      </c>
      <c r="W2" s="13">
        <v>21</v>
      </c>
      <c r="X2" s="13">
        <v>22</v>
      </c>
      <c r="Y2" s="13">
        <v>23</v>
      </c>
      <c r="Z2" s="13">
        <v>24</v>
      </c>
      <c r="AA2" s="13">
        <v>25</v>
      </c>
      <c r="AB2" s="13">
        <v>26</v>
      </c>
      <c r="AC2" s="13">
        <v>27</v>
      </c>
      <c r="AD2" s="13">
        <v>28</v>
      </c>
      <c r="AE2" s="13">
        <v>29</v>
      </c>
      <c r="AF2" s="13">
        <v>30</v>
      </c>
      <c r="AG2" s="13">
        <v>31</v>
      </c>
      <c r="AH2" s="24"/>
    </row>
    <row r="3" spans="1:34" x14ac:dyDescent="0.25">
      <c r="A3" s="13">
        <v>1</v>
      </c>
      <c r="B3" s="13" t="s">
        <v>0</v>
      </c>
      <c r="C3" s="13"/>
      <c r="D3" s="13"/>
      <c r="E3" s="13"/>
      <c r="F3" s="13"/>
      <c r="G3" s="13">
        <v>32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>
        <f>SUM(C3:AG3)</f>
        <v>32</v>
      </c>
    </row>
    <row r="4" spans="1:34" x14ac:dyDescent="0.25">
      <c r="A4" s="13">
        <v>2</v>
      </c>
      <c r="B4" s="13" t="s">
        <v>1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>
        <f t="shared" ref="AH4:AH19" si="0">SUM(C4:AG4)</f>
        <v>0</v>
      </c>
    </row>
    <row r="5" spans="1:34" x14ac:dyDescent="0.25">
      <c r="A5" s="13">
        <v>3</v>
      </c>
      <c r="B5" s="13" t="s">
        <v>30</v>
      </c>
      <c r="C5" s="13"/>
      <c r="D5" s="13"/>
      <c r="E5" s="13"/>
      <c r="F5" s="13"/>
      <c r="G5" s="13"/>
      <c r="H5" s="13"/>
      <c r="I5" s="13"/>
      <c r="J5" s="13"/>
      <c r="K5" s="13"/>
      <c r="L5" s="13">
        <v>4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>
        <f t="shared" si="0"/>
        <v>4</v>
      </c>
    </row>
    <row r="6" spans="1:34" x14ac:dyDescent="0.25">
      <c r="A6" s="13">
        <v>4</v>
      </c>
      <c r="B6" s="13" t="s">
        <v>31</v>
      </c>
      <c r="C6" s="13"/>
      <c r="D6" s="13"/>
      <c r="E6" s="13"/>
      <c r="F6" s="13"/>
      <c r="G6" s="13"/>
      <c r="H6" s="13"/>
      <c r="I6" s="13"/>
      <c r="J6" s="13"/>
      <c r="K6" s="13"/>
      <c r="L6" s="13">
        <v>4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>
        <f t="shared" si="0"/>
        <v>4</v>
      </c>
    </row>
    <row r="7" spans="1:34" x14ac:dyDescent="0.25">
      <c r="A7" s="13">
        <v>5</v>
      </c>
      <c r="B7" s="13" t="s">
        <v>32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>
        <f t="shared" si="0"/>
        <v>0</v>
      </c>
    </row>
    <row r="8" spans="1:34" x14ac:dyDescent="0.25">
      <c r="A8" s="13">
        <v>6</v>
      </c>
      <c r="B8" s="13" t="s">
        <v>33</v>
      </c>
      <c r="C8" s="13"/>
      <c r="D8" s="13"/>
      <c r="E8" s="13"/>
      <c r="F8" s="13"/>
      <c r="G8" s="13"/>
      <c r="H8" s="13"/>
      <c r="I8" s="13"/>
      <c r="J8" s="13"/>
      <c r="K8" s="13"/>
      <c r="L8" s="13">
        <v>1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>
        <f t="shared" si="0"/>
        <v>1</v>
      </c>
    </row>
    <row r="9" spans="1:34" x14ac:dyDescent="0.25">
      <c r="A9" s="13">
        <v>7</v>
      </c>
      <c r="B9" s="13" t="s">
        <v>34</v>
      </c>
      <c r="C9" s="13"/>
      <c r="D9" s="13"/>
      <c r="E9" s="13"/>
      <c r="F9" s="13"/>
      <c r="G9" s="13"/>
      <c r="H9" s="13"/>
      <c r="I9" s="13"/>
      <c r="J9" s="13"/>
      <c r="K9" s="13"/>
      <c r="L9" s="13">
        <v>1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>
        <f t="shared" si="0"/>
        <v>1</v>
      </c>
    </row>
    <row r="10" spans="1:34" x14ac:dyDescent="0.25">
      <c r="A10" s="13">
        <v>8</v>
      </c>
      <c r="B10" s="13" t="s">
        <v>35</v>
      </c>
      <c r="C10" s="13"/>
      <c r="D10" s="13"/>
      <c r="E10" s="13"/>
      <c r="F10" s="13"/>
      <c r="G10" s="13"/>
      <c r="H10" s="13"/>
      <c r="I10" s="13"/>
      <c r="J10" s="13">
        <v>4</v>
      </c>
      <c r="K10" s="13">
        <v>4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>
        <f t="shared" si="0"/>
        <v>8</v>
      </c>
    </row>
    <row r="11" spans="1:34" x14ac:dyDescent="0.25">
      <c r="A11" s="13">
        <v>9</v>
      </c>
      <c r="B11" s="13" t="s">
        <v>36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>
        <f t="shared" si="0"/>
        <v>0</v>
      </c>
    </row>
    <row r="12" spans="1:34" x14ac:dyDescent="0.25">
      <c r="A12" s="13">
        <v>10</v>
      </c>
      <c r="B12" s="13" t="s">
        <v>37</v>
      </c>
      <c r="C12" s="13"/>
      <c r="D12" s="13"/>
      <c r="E12" s="13"/>
      <c r="F12" s="13"/>
      <c r="G12" s="13"/>
      <c r="H12" s="13"/>
      <c r="I12" s="13"/>
      <c r="J12" s="13"/>
      <c r="K12" s="13"/>
      <c r="L12" s="13">
        <v>1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>
        <f t="shared" si="0"/>
        <v>1</v>
      </c>
    </row>
    <row r="13" spans="1:34" x14ac:dyDescent="0.25">
      <c r="A13" s="13">
        <v>11</v>
      </c>
      <c r="B13" s="13" t="s">
        <v>38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</row>
    <row r="14" spans="1:34" x14ac:dyDescent="0.25">
      <c r="A14" s="13">
        <v>12</v>
      </c>
      <c r="B14" s="13" t="s">
        <v>39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</row>
    <row r="15" spans="1:34" x14ac:dyDescent="0.25">
      <c r="A15" s="13">
        <v>13</v>
      </c>
      <c r="B15" s="13" t="s">
        <v>40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</row>
    <row r="16" spans="1:34" x14ac:dyDescent="0.25">
      <c r="A16" s="13">
        <v>14</v>
      </c>
      <c r="B16" s="13" t="s">
        <v>41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</row>
    <row r="17" spans="1:34" x14ac:dyDescent="0.25">
      <c r="A17" s="13">
        <v>15</v>
      </c>
      <c r="B17" s="13" t="s">
        <v>42</v>
      </c>
      <c r="C17" s="13"/>
      <c r="D17" s="13"/>
      <c r="E17" s="13"/>
      <c r="F17" s="13"/>
      <c r="G17" s="13"/>
      <c r="H17" s="13"/>
      <c r="I17" s="13"/>
      <c r="J17" s="13"/>
      <c r="K17" s="13"/>
      <c r="L17" s="13">
        <v>4</v>
      </c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>
        <f t="shared" si="0"/>
        <v>4</v>
      </c>
    </row>
    <row r="18" spans="1:34" x14ac:dyDescent="0.25">
      <c r="A18" s="13">
        <v>16</v>
      </c>
      <c r="B18" s="13" t="s">
        <v>43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>
        <f t="shared" si="0"/>
        <v>0</v>
      </c>
    </row>
    <row r="19" spans="1:34" x14ac:dyDescent="0.25">
      <c r="A19" s="13">
        <v>17</v>
      </c>
      <c r="B19" s="13" t="s">
        <v>44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>
        <f t="shared" si="0"/>
        <v>0</v>
      </c>
    </row>
    <row r="20" spans="1:34" x14ac:dyDescent="0.25">
      <c r="A20" s="13">
        <v>18</v>
      </c>
      <c r="B20" s="13" t="s">
        <v>45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25">
      <c r="A21" s="13">
        <v>19</v>
      </c>
      <c r="B21" s="13" t="s">
        <v>46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x14ac:dyDescent="0.25">
      <c r="A22" s="13">
        <v>20</v>
      </c>
      <c r="B22" s="13" t="s">
        <v>7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</sheetData>
  <mergeCells count="4">
    <mergeCell ref="A1:A2"/>
    <mergeCell ref="B1:B2"/>
    <mergeCell ref="AH1:AH2"/>
    <mergeCell ref="C1:AG1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23"/>
  <sheetViews>
    <sheetView showZeros="0" tabSelected="1" topLeftCell="A2" workbookViewId="0">
      <selection activeCell="AF28" sqref="AF28"/>
    </sheetView>
  </sheetViews>
  <sheetFormatPr defaultColWidth="8.85546875" defaultRowHeight="15" x14ac:dyDescent="0.25"/>
  <cols>
    <col min="1" max="1" width="6.5703125" style="16" customWidth="1"/>
    <col min="2" max="2" width="26.28515625" style="16" customWidth="1"/>
    <col min="3" max="34" width="5.28515625" style="16" customWidth="1"/>
    <col min="35" max="16384" width="8.85546875" style="16"/>
  </cols>
  <sheetData>
    <row r="1" spans="1:34" x14ac:dyDescent="0.25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</row>
    <row r="2" spans="1:34" x14ac:dyDescent="0.25">
      <c r="A2" s="24" t="s">
        <v>8</v>
      </c>
      <c r="B2" s="24" t="s">
        <v>9</v>
      </c>
      <c r="C2" s="24" t="s">
        <v>13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 t="s">
        <v>5</v>
      </c>
    </row>
    <row r="3" spans="1:34" x14ac:dyDescent="0.25">
      <c r="A3" s="24"/>
      <c r="B3" s="24"/>
      <c r="C3" s="13">
        <v>1</v>
      </c>
      <c r="D3" s="13">
        <v>2</v>
      </c>
      <c r="E3" s="13">
        <v>3</v>
      </c>
      <c r="F3" s="13">
        <v>4</v>
      </c>
      <c r="G3" s="13">
        <v>5</v>
      </c>
      <c r="H3" s="13">
        <v>6</v>
      </c>
      <c r="I3" s="13">
        <v>7</v>
      </c>
      <c r="J3" s="13">
        <v>8</v>
      </c>
      <c r="K3" s="13">
        <v>9</v>
      </c>
      <c r="L3" s="13">
        <v>10</v>
      </c>
      <c r="M3" s="13">
        <v>11</v>
      </c>
      <c r="N3" s="13">
        <v>12</v>
      </c>
      <c r="O3" s="13">
        <v>13</v>
      </c>
      <c r="P3" s="13">
        <v>14</v>
      </c>
      <c r="Q3" s="13">
        <v>15</v>
      </c>
      <c r="R3" s="13">
        <v>16</v>
      </c>
      <c r="S3" s="13">
        <v>17</v>
      </c>
      <c r="T3" s="13">
        <v>18</v>
      </c>
      <c r="U3" s="13">
        <v>19</v>
      </c>
      <c r="V3" s="13">
        <v>20</v>
      </c>
      <c r="W3" s="13">
        <v>21</v>
      </c>
      <c r="X3" s="13">
        <v>22</v>
      </c>
      <c r="Y3" s="13">
        <v>23</v>
      </c>
      <c r="Z3" s="13">
        <v>24</v>
      </c>
      <c r="AA3" s="13">
        <v>25</v>
      </c>
      <c r="AB3" s="13">
        <v>26</v>
      </c>
      <c r="AC3" s="13">
        <v>27</v>
      </c>
      <c r="AD3" s="13">
        <v>28</v>
      </c>
      <c r="AE3" s="13">
        <v>29</v>
      </c>
      <c r="AF3" s="13">
        <v>30</v>
      </c>
      <c r="AG3" s="13">
        <v>31</v>
      </c>
      <c r="AH3" s="24"/>
    </row>
    <row r="4" spans="1:34" x14ac:dyDescent="0.25">
      <c r="A4" s="13">
        <v>1</v>
      </c>
      <c r="B4" s="13" t="s">
        <v>0</v>
      </c>
      <c r="C4" s="13"/>
      <c r="D4" s="13"/>
      <c r="E4" s="13"/>
      <c r="F4" s="13"/>
      <c r="G4" s="13"/>
      <c r="H4" s="13">
        <v>1</v>
      </c>
      <c r="I4" s="13"/>
      <c r="J4" s="13"/>
      <c r="K4" s="13">
        <v>36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>
        <f>SUM(C4:AG4)</f>
        <v>37</v>
      </c>
    </row>
    <row r="5" spans="1:34" x14ac:dyDescent="0.25">
      <c r="A5" s="13">
        <v>2</v>
      </c>
      <c r="B5" s="13" t="s">
        <v>1</v>
      </c>
      <c r="C5" s="13"/>
      <c r="D5" s="13"/>
      <c r="E5" s="13"/>
      <c r="F5" s="13"/>
      <c r="G5" s="13">
        <v>7</v>
      </c>
      <c r="H5" s="13">
        <v>16</v>
      </c>
      <c r="I5" s="13">
        <v>2</v>
      </c>
      <c r="J5" s="13"/>
      <c r="K5" s="13">
        <v>10</v>
      </c>
      <c r="L5" s="13"/>
      <c r="M5" s="13"/>
      <c r="N5" s="13">
        <v>10</v>
      </c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>
        <f t="shared" ref="AH5:AH18" si="0">SUM(C5:AG5)</f>
        <v>45</v>
      </c>
    </row>
    <row r="6" spans="1:34" x14ac:dyDescent="0.25">
      <c r="A6" s="13">
        <v>3</v>
      </c>
      <c r="B6" s="13" t="s">
        <v>30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>
        <f t="shared" si="0"/>
        <v>0</v>
      </c>
    </row>
    <row r="7" spans="1:34" x14ac:dyDescent="0.25">
      <c r="A7" s="13">
        <v>4</v>
      </c>
      <c r="B7" s="13" t="s">
        <v>31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>
        <f t="shared" si="0"/>
        <v>0</v>
      </c>
    </row>
    <row r="8" spans="1:34" x14ac:dyDescent="0.25">
      <c r="A8" s="13">
        <v>5</v>
      </c>
      <c r="B8" s="13" t="s">
        <v>32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>
        <f t="shared" si="0"/>
        <v>0</v>
      </c>
    </row>
    <row r="9" spans="1:34" x14ac:dyDescent="0.25">
      <c r="A9" s="13">
        <v>7</v>
      </c>
      <c r="B9" s="13" t="s">
        <v>33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>
        <f t="shared" si="0"/>
        <v>0</v>
      </c>
    </row>
    <row r="10" spans="1:34" x14ac:dyDescent="0.25">
      <c r="A10" s="13">
        <v>8</v>
      </c>
      <c r="B10" s="13" t="s">
        <v>34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>
        <f t="shared" si="0"/>
        <v>0</v>
      </c>
    </row>
    <row r="11" spans="1:34" x14ac:dyDescent="0.25">
      <c r="A11" s="13">
        <v>9</v>
      </c>
      <c r="B11" s="13" t="s">
        <v>35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>
        <f t="shared" si="0"/>
        <v>0</v>
      </c>
    </row>
    <row r="12" spans="1:34" x14ac:dyDescent="0.25">
      <c r="A12" s="13">
        <v>10</v>
      </c>
      <c r="B12" s="13" t="s">
        <v>36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>
        <f t="shared" si="0"/>
        <v>0</v>
      </c>
    </row>
    <row r="13" spans="1:34" x14ac:dyDescent="0.25">
      <c r="A13" s="13">
        <v>11</v>
      </c>
      <c r="B13" s="13" t="s">
        <v>37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>
        <f t="shared" si="0"/>
        <v>0</v>
      </c>
    </row>
    <row r="14" spans="1:34" x14ac:dyDescent="0.25">
      <c r="A14" s="13">
        <v>12</v>
      </c>
      <c r="B14" s="13" t="s">
        <v>38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>
        <f t="shared" si="0"/>
        <v>0</v>
      </c>
    </row>
    <row r="15" spans="1:34" x14ac:dyDescent="0.25">
      <c r="A15" s="13">
        <v>13</v>
      </c>
      <c r="B15" s="13" t="s">
        <v>39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>
        <f t="shared" si="0"/>
        <v>0</v>
      </c>
    </row>
    <row r="16" spans="1:34" x14ac:dyDescent="0.25">
      <c r="A16" s="13">
        <v>14</v>
      </c>
      <c r="B16" s="13" t="s">
        <v>40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>
        <f t="shared" si="0"/>
        <v>0</v>
      </c>
    </row>
    <row r="17" spans="1:34" x14ac:dyDescent="0.25">
      <c r="A17" s="13">
        <v>15</v>
      </c>
      <c r="B17" s="13" t="s">
        <v>41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>
        <f t="shared" si="0"/>
        <v>0</v>
      </c>
    </row>
    <row r="18" spans="1:34" x14ac:dyDescent="0.25">
      <c r="A18" s="13">
        <v>16</v>
      </c>
      <c r="B18" s="13" t="s">
        <v>42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>
        <f t="shared" si="0"/>
        <v>0</v>
      </c>
    </row>
    <row r="19" spans="1:34" x14ac:dyDescent="0.25">
      <c r="A19" s="13"/>
      <c r="B19" s="13" t="s">
        <v>43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</row>
    <row r="20" spans="1:34" x14ac:dyDescent="0.25">
      <c r="A20" s="13"/>
      <c r="B20" s="13" t="s">
        <v>44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</row>
    <row r="21" spans="1:34" x14ac:dyDescent="0.25">
      <c r="A21" s="13"/>
      <c r="B21" s="13" t="s">
        <v>45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</row>
    <row r="22" spans="1:34" x14ac:dyDescent="0.25">
      <c r="A22" s="13"/>
      <c r="B22" s="13" t="s">
        <v>46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</row>
    <row r="23" spans="1:34" x14ac:dyDescent="0.25">
      <c r="A23" s="13"/>
      <c r="B23" s="13" t="s">
        <v>7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</row>
  </sheetData>
  <mergeCells count="5">
    <mergeCell ref="A1:AH1"/>
    <mergeCell ref="A2:A3"/>
    <mergeCell ref="B2:B3"/>
    <mergeCell ref="C2:AG2"/>
    <mergeCell ref="AH2:A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2"/>
  <sheetViews>
    <sheetView showZeros="0" zoomScale="130" zoomScaleNormal="130" workbookViewId="0">
      <selection activeCell="O11" sqref="O11"/>
    </sheetView>
  </sheetViews>
  <sheetFormatPr defaultColWidth="8.85546875" defaultRowHeight="15" x14ac:dyDescent="0.25"/>
  <cols>
    <col min="1" max="1" width="6.5703125" style="16" customWidth="1"/>
    <col min="2" max="2" width="24.28515625" style="16" customWidth="1"/>
    <col min="3" max="34" width="5.28515625" style="16" customWidth="1"/>
    <col min="35" max="16384" width="8.85546875" style="16"/>
  </cols>
  <sheetData>
    <row r="1" spans="1:34" x14ac:dyDescent="0.25">
      <c r="A1" s="24" t="s">
        <v>8</v>
      </c>
      <c r="B1" s="24" t="s">
        <v>9</v>
      </c>
      <c r="C1" s="24" t="s">
        <v>12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 t="s">
        <v>5</v>
      </c>
    </row>
    <row r="2" spans="1:34" x14ac:dyDescent="0.25">
      <c r="A2" s="24"/>
      <c r="B2" s="24"/>
      <c r="C2" s="13">
        <v>1</v>
      </c>
      <c r="D2" s="13">
        <v>2</v>
      </c>
      <c r="E2" s="13">
        <v>3</v>
      </c>
      <c r="F2" s="13">
        <v>4</v>
      </c>
      <c r="G2" s="13">
        <v>5</v>
      </c>
      <c r="H2" s="13">
        <v>6</v>
      </c>
      <c r="I2" s="13">
        <v>7</v>
      </c>
      <c r="J2" s="13">
        <v>8</v>
      </c>
      <c r="K2" s="13">
        <v>9</v>
      </c>
      <c r="L2" s="13">
        <v>10</v>
      </c>
      <c r="M2" s="13">
        <v>11</v>
      </c>
      <c r="N2" s="13">
        <v>12</v>
      </c>
      <c r="O2" s="13">
        <v>13</v>
      </c>
      <c r="P2" s="13">
        <v>14</v>
      </c>
      <c r="Q2" s="13">
        <v>15</v>
      </c>
      <c r="R2" s="13">
        <v>16</v>
      </c>
      <c r="S2" s="13">
        <v>17</v>
      </c>
      <c r="T2" s="13">
        <v>18</v>
      </c>
      <c r="U2" s="13">
        <v>19</v>
      </c>
      <c r="V2" s="13">
        <v>20</v>
      </c>
      <c r="W2" s="13">
        <v>21</v>
      </c>
      <c r="X2" s="13">
        <v>22</v>
      </c>
      <c r="Y2" s="13">
        <v>23</v>
      </c>
      <c r="Z2" s="13">
        <v>24</v>
      </c>
      <c r="AA2" s="13">
        <v>25</v>
      </c>
      <c r="AB2" s="13">
        <v>26</v>
      </c>
      <c r="AC2" s="13">
        <v>27</v>
      </c>
      <c r="AD2" s="13">
        <v>28</v>
      </c>
      <c r="AE2" s="13">
        <v>29</v>
      </c>
      <c r="AF2" s="13">
        <v>30</v>
      </c>
      <c r="AG2" s="13">
        <v>31</v>
      </c>
      <c r="AH2" s="24"/>
    </row>
    <row r="3" spans="1:34" x14ac:dyDescent="0.25">
      <c r="A3" s="13">
        <v>1</v>
      </c>
      <c r="B3" s="13" t="s">
        <v>0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>
        <f>SUM(C3:AG3)</f>
        <v>0</v>
      </c>
    </row>
    <row r="4" spans="1:34" x14ac:dyDescent="0.25">
      <c r="A4" s="13">
        <v>2</v>
      </c>
      <c r="B4" s="13" t="s">
        <v>1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>
        <f t="shared" ref="AH4:AH18" si="0">SUM(C4:AG4)</f>
        <v>0</v>
      </c>
    </row>
    <row r="5" spans="1:34" x14ac:dyDescent="0.25">
      <c r="A5" s="13">
        <v>3</v>
      </c>
      <c r="B5" s="13" t="s">
        <v>30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>
        <f t="shared" si="0"/>
        <v>0</v>
      </c>
    </row>
    <row r="6" spans="1:34" x14ac:dyDescent="0.25">
      <c r="A6" s="13">
        <v>4</v>
      </c>
      <c r="B6" s="13" t="s">
        <v>31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>
        <f t="shared" si="0"/>
        <v>0</v>
      </c>
    </row>
    <row r="7" spans="1:34" x14ac:dyDescent="0.25">
      <c r="A7" s="13">
        <v>5</v>
      </c>
      <c r="B7" s="13" t="s">
        <v>32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>
        <f t="shared" si="0"/>
        <v>0</v>
      </c>
    </row>
    <row r="8" spans="1:34" x14ac:dyDescent="0.25">
      <c r="A8" s="13">
        <v>6</v>
      </c>
      <c r="B8" s="13" t="s">
        <v>33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>
        <f t="shared" si="0"/>
        <v>0</v>
      </c>
    </row>
    <row r="9" spans="1:34" x14ac:dyDescent="0.25">
      <c r="A9" s="13">
        <v>7</v>
      </c>
      <c r="B9" s="13" t="s">
        <v>34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>
        <f t="shared" si="0"/>
        <v>0</v>
      </c>
    </row>
    <row r="10" spans="1:34" x14ac:dyDescent="0.25">
      <c r="A10" s="13">
        <v>8</v>
      </c>
      <c r="B10" s="13" t="s">
        <v>35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>
        <f t="shared" si="0"/>
        <v>0</v>
      </c>
    </row>
    <row r="11" spans="1:34" x14ac:dyDescent="0.25">
      <c r="A11" s="13">
        <v>9</v>
      </c>
      <c r="B11" s="13" t="s">
        <v>36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>
        <f t="shared" si="0"/>
        <v>0</v>
      </c>
    </row>
    <row r="12" spans="1:34" x14ac:dyDescent="0.25">
      <c r="A12" s="13">
        <v>10</v>
      </c>
      <c r="B12" s="13" t="s">
        <v>37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>
        <f t="shared" si="0"/>
        <v>0</v>
      </c>
    </row>
    <row r="13" spans="1:34" x14ac:dyDescent="0.25">
      <c r="A13" s="13">
        <v>11</v>
      </c>
      <c r="B13" s="13" t="s">
        <v>38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>
        <f t="shared" si="0"/>
        <v>0</v>
      </c>
    </row>
    <row r="14" spans="1:34" x14ac:dyDescent="0.25">
      <c r="A14" s="13">
        <v>12</v>
      </c>
      <c r="B14" s="13" t="s">
        <v>39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>
        <f t="shared" si="0"/>
        <v>0</v>
      </c>
    </row>
    <row r="15" spans="1:34" x14ac:dyDescent="0.25">
      <c r="A15" s="13">
        <v>13</v>
      </c>
      <c r="B15" s="13" t="s">
        <v>40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>
        <f t="shared" si="0"/>
        <v>0</v>
      </c>
    </row>
    <row r="16" spans="1:34" x14ac:dyDescent="0.25">
      <c r="A16" s="13">
        <v>14</v>
      </c>
      <c r="B16" s="13" t="s">
        <v>41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>
        <f t="shared" si="0"/>
        <v>0</v>
      </c>
    </row>
    <row r="17" spans="1:34" x14ac:dyDescent="0.25">
      <c r="A17" s="13">
        <v>15</v>
      </c>
      <c r="B17" s="13" t="s">
        <v>42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>
        <f t="shared" si="0"/>
        <v>0</v>
      </c>
    </row>
    <row r="18" spans="1:34" x14ac:dyDescent="0.25">
      <c r="A18" s="13">
        <v>16</v>
      </c>
      <c r="B18" s="13" t="s">
        <v>43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>
        <f t="shared" si="0"/>
        <v>0</v>
      </c>
    </row>
    <row r="19" spans="1:34" x14ac:dyDescent="0.25">
      <c r="A19" s="13"/>
      <c r="B19" s="13" t="s">
        <v>44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</row>
    <row r="20" spans="1:34" x14ac:dyDescent="0.25">
      <c r="A20" s="13"/>
      <c r="B20" s="13" t="s">
        <v>45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</row>
    <row r="21" spans="1:34" x14ac:dyDescent="0.25">
      <c r="A21" s="13"/>
      <c r="B21" s="13" t="s">
        <v>46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</row>
    <row r="22" spans="1:34" x14ac:dyDescent="0.25">
      <c r="A22" s="13"/>
      <c r="B22" s="13" t="s">
        <v>7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</row>
  </sheetData>
  <mergeCells count="4">
    <mergeCell ref="A1:A2"/>
    <mergeCell ref="B1:B2"/>
    <mergeCell ref="C1:AG1"/>
    <mergeCell ref="AH1:A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51F44-131D-46D9-8F20-A11BD47AE60F}">
  <dimension ref="A1:H16"/>
  <sheetViews>
    <sheetView workbookViewId="0">
      <selection activeCell="H7" sqref="H7"/>
    </sheetView>
  </sheetViews>
  <sheetFormatPr defaultRowHeight="15" x14ac:dyDescent="0.25"/>
  <cols>
    <col min="1" max="1" width="15.7109375" style="8" customWidth="1"/>
    <col min="2" max="2" width="20.7109375" style="8" customWidth="1"/>
    <col min="3" max="4" width="15.7109375" style="8" customWidth="1"/>
    <col min="5" max="5" width="21.5703125" style="8" customWidth="1"/>
    <col min="6" max="16384" width="9.140625" style="7"/>
  </cols>
  <sheetData>
    <row r="1" spans="1:8" x14ac:dyDescent="0.25">
      <c r="A1" s="12" t="s">
        <v>28</v>
      </c>
      <c r="B1" s="12" t="s">
        <v>27</v>
      </c>
      <c r="C1" s="12" t="s">
        <v>0</v>
      </c>
      <c r="D1" s="12" t="s">
        <v>1</v>
      </c>
      <c r="E1" s="12" t="s">
        <v>26</v>
      </c>
      <c r="H1" s="11"/>
    </row>
    <row r="2" spans="1:8" x14ac:dyDescent="0.25">
      <c r="A2" s="26">
        <v>45662</v>
      </c>
      <c r="B2" s="9" t="s">
        <v>25</v>
      </c>
      <c r="C2" s="9"/>
      <c r="D2" s="9">
        <v>6</v>
      </c>
      <c r="E2" s="9" t="s">
        <v>22</v>
      </c>
    </row>
    <row r="3" spans="1:8" x14ac:dyDescent="0.25">
      <c r="A3" s="27"/>
      <c r="B3" s="10" t="s">
        <v>18</v>
      </c>
      <c r="C3" s="9">
        <v>32</v>
      </c>
      <c r="D3" s="9"/>
      <c r="E3" s="9" t="s">
        <v>17</v>
      </c>
    </row>
    <row r="4" spans="1:8" x14ac:dyDescent="0.25">
      <c r="A4" s="27"/>
      <c r="B4" s="9" t="s">
        <v>24</v>
      </c>
      <c r="C4" s="9"/>
      <c r="D4" s="9">
        <v>10</v>
      </c>
      <c r="E4" s="9" t="s">
        <v>19</v>
      </c>
    </row>
    <row r="5" spans="1:8" x14ac:dyDescent="0.25">
      <c r="A5" s="27"/>
      <c r="B5" s="9" t="s">
        <v>23</v>
      </c>
      <c r="C5" s="9"/>
      <c r="D5" s="9">
        <v>1</v>
      </c>
      <c r="E5" s="9" t="s">
        <v>22</v>
      </c>
    </row>
    <row r="6" spans="1:8" x14ac:dyDescent="0.25">
      <c r="A6" s="28">
        <v>45663</v>
      </c>
      <c r="B6" s="9" t="s">
        <v>21</v>
      </c>
      <c r="C6" s="9"/>
      <c r="D6" s="9">
        <v>6</v>
      </c>
      <c r="E6" s="9" t="s">
        <v>19</v>
      </c>
    </row>
    <row r="7" spans="1:8" x14ac:dyDescent="0.25">
      <c r="A7" s="29"/>
      <c r="B7" s="9" t="s">
        <v>20</v>
      </c>
      <c r="C7" s="9">
        <v>1</v>
      </c>
      <c r="D7" s="9"/>
      <c r="E7" s="9" t="s">
        <v>19</v>
      </c>
    </row>
    <row r="8" spans="1:8" x14ac:dyDescent="0.25">
      <c r="A8" s="26">
        <v>45664</v>
      </c>
      <c r="B8" s="10" t="s">
        <v>18</v>
      </c>
      <c r="C8" s="9">
        <v>4</v>
      </c>
      <c r="D8" s="9"/>
      <c r="E8" s="9" t="s">
        <v>17</v>
      </c>
    </row>
    <row r="9" spans="1:8" x14ac:dyDescent="0.25">
      <c r="A9" s="26"/>
      <c r="B9" s="9" t="s">
        <v>16</v>
      </c>
      <c r="C9" s="9"/>
      <c r="D9" s="9">
        <v>2</v>
      </c>
      <c r="E9" s="9" t="s">
        <v>15</v>
      </c>
    </row>
    <row r="10" spans="1:8" x14ac:dyDescent="0.25">
      <c r="A10" s="10">
        <v>45665</v>
      </c>
      <c r="B10" s="9" t="s">
        <v>29</v>
      </c>
      <c r="C10" s="9"/>
      <c r="D10" s="9">
        <v>10</v>
      </c>
      <c r="E10" s="9" t="s">
        <v>17</v>
      </c>
    </row>
    <row r="11" spans="1:8" x14ac:dyDescent="0.25">
      <c r="A11" s="10">
        <v>45666</v>
      </c>
      <c r="B11" s="9" t="s">
        <v>25</v>
      </c>
      <c r="C11" s="33"/>
      <c r="D11" s="33">
        <v>3</v>
      </c>
      <c r="E11" s="33" t="s">
        <v>50</v>
      </c>
    </row>
    <row r="12" spans="1:8" x14ac:dyDescent="0.25">
      <c r="A12" s="10">
        <v>45669</v>
      </c>
      <c r="B12" s="9" t="s">
        <v>29</v>
      </c>
      <c r="C12" s="9"/>
      <c r="D12" s="9">
        <v>10</v>
      </c>
      <c r="E12" s="9" t="s">
        <v>49</v>
      </c>
    </row>
    <row r="13" spans="1:8" x14ac:dyDescent="0.25">
      <c r="A13" s="9"/>
      <c r="B13" s="9"/>
      <c r="C13" s="9"/>
      <c r="D13" s="9"/>
      <c r="E13" s="9"/>
    </row>
    <row r="14" spans="1:8" x14ac:dyDescent="0.25">
      <c r="A14" s="9"/>
      <c r="B14" s="9"/>
      <c r="C14" s="9"/>
      <c r="D14" s="9"/>
      <c r="E14" s="9"/>
    </row>
    <row r="15" spans="1:8" x14ac:dyDescent="0.25">
      <c r="A15" s="9"/>
      <c r="B15" s="9"/>
      <c r="C15" s="9"/>
      <c r="D15" s="9"/>
      <c r="E15" s="9"/>
    </row>
    <row r="16" spans="1:8" x14ac:dyDescent="0.25">
      <c r="A16" s="9"/>
      <c r="B16" s="9"/>
      <c r="C16" s="9"/>
      <c r="D16" s="9"/>
      <c r="E16" s="9"/>
    </row>
  </sheetData>
  <autoFilter ref="A1:E7" xr:uid="{171653DB-B967-4059-9CE3-FD13B7B63DBC}"/>
  <mergeCells count="3">
    <mergeCell ref="A2:A5"/>
    <mergeCell ref="A6:A7"/>
    <mergeCell ref="A8:A9"/>
  </mergeCells>
  <conditionalFormatting sqref="C2:E1000">
    <cfRule type="expression" dxfId="1" priority="1">
      <formula>ISNUMBER(SEARCH("Đã trả",$E2))</formula>
    </cfRule>
    <cfRule type="expression" dxfId="0" priority="2">
      <formula>ISNUMBER(SEARCH("Chưa trả",$E2))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D2FD3-91FF-42CA-8178-C2AD22F246DD}">
  <dimension ref="A1:H19"/>
  <sheetViews>
    <sheetView showZeros="0" zoomScale="145" zoomScaleNormal="145" workbookViewId="0">
      <selection activeCell="K15" sqref="K15"/>
    </sheetView>
  </sheetViews>
  <sheetFormatPr defaultRowHeight="15" x14ac:dyDescent="0.25"/>
  <cols>
    <col min="2" max="2" width="27.5703125" customWidth="1"/>
    <col min="4" max="4" width="10.140625" bestFit="1" customWidth="1"/>
    <col min="8" max="8" width="16.28515625" customWidth="1"/>
  </cols>
  <sheetData>
    <row r="1" spans="1:8" ht="15.75" x14ac:dyDescent="0.25">
      <c r="A1" s="18" t="s">
        <v>14</v>
      </c>
      <c r="B1" s="19"/>
      <c r="C1" s="19"/>
      <c r="D1" s="19"/>
      <c r="E1" s="19"/>
      <c r="F1" s="19"/>
      <c r="G1" s="19"/>
      <c r="H1" s="20"/>
    </row>
    <row r="2" spans="1:8" x14ac:dyDescent="0.25">
      <c r="A2" s="3" t="s">
        <v>8</v>
      </c>
      <c r="B2" s="3" t="s">
        <v>9</v>
      </c>
      <c r="C2" s="3" t="s">
        <v>10</v>
      </c>
      <c r="D2" s="3" t="s">
        <v>2</v>
      </c>
      <c r="E2" s="3" t="s">
        <v>3</v>
      </c>
      <c r="F2" s="3" t="s">
        <v>4</v>
      </c>
      <c r="G2" s="5" t="s">
        <v>6</v>
      </c>
      <c r="H2" s="3" t="s">
        <v>11</v>
      </c>
    </row>
    <row r="3" spans="1:8" x14ac:dyDescent="0.25">
      <c r="A3" s="4">
        <v>1</v>
      </c>
      <c r="B3" s="4" t="s">
        <v>0</v>
      </c>
      <c r="C3" s="4">
        <v>7</v>
      </c>
      <c r="D3" s="4">
        <f>SUM('Nhập xuất tồn'!D3)</f>
        <v>32</v>
      </c>
      <c r="E3" s="4">
        <f>SUM('Nhập xuất tồn'!E3)</f>
        <v>37</v>
      </c>
      <c r="F3" s="4">
        <f>SUM(C3+D3-E3)</f>
        <v>2</v>
      </c>
      <c r="G3" s="6">
        <v>0</v>
      </c>
      <c r="H3" s="4">
        <f>SUM(F3-G3)</f>
        <v>2</v>
      </c>
    </row>
    <row r="4" spans="1:8" x14ac:dyDescent="0.25">
      <c r="A4" s="4">
        <v>2</v>
      </c>
      <c r="B4" s="4" t="s">
        <v>1</v>
      </c>
      <c r="C4" s="4">
        <v>144</v>
      </c>
      <c r="D4" s="4">
        <f>SUM('Nhập xuất tồn'!D4)</f>
        <v>0</v>
      </c>
      <c r="E4" s="4">
        <f>SUM('Nhập xuất tồn'!E4)</f>
        <v>45</v>
      </c>
      <c r="F4" s="4">
        <f>SUM(C4+D4-E4)</f>
        <v>99</v>
      </c>
      <c r="G4" s="6">
        <v>11</v>
      </c>
      <c r="H4" s="4">
        <f>SUM(F4-G4)</f>
        <v>88</v>
      </c>
    </row>
    <row r="5" spans="1:8" x14ac:dyDescent="0.25">
      <c r="A5" s="4">
        <v>3</v>
      </c>
      <c r="B5" s="4" t="s">
        <v>30</v>
      </c>
      <c r="C5" s="4">
        <v>0</v>
      </c>
      <c r="D5" s="4">
        <f>Nhập!AH5</f>
        <v>4</v>
      </c>
      <c r="E5" s="4">
        <f>Xuất!AH6+Huỷ!AH5</f>
        <v>0</v>
      </c>
      <c r="F5" s="4">
        <f t="shared" ref="F5:F16" si="0">C5+D5-E5</f>
        <v>4</v>
      </c>
      <c r="G5" s="6">
        <v>0</v>
      </c>
      <c r="H5" s="4">
        <f>SUM(F5-G5)</f>
        <v>4</v>
      </c>
    </row>
    <row r="6" spans="1:8" x14ac:dyDescent="0.25">
      <c r="A6" s="4">
        <v>4</v>
      </c>
      <c r="B6" s="4" t="s">
        <v>31</v>
      </c>
      <c r="C6" s="4">
        <v>0</v>
      </c>
      <c r="D6" s="4">
        <f>Nhập!AH6</f>
        <v>4</v>
      </c>
      <c r="E6" s="4">
        <f>Xuất!AH6</f>
        <v>0</v>
      </c>
      <c r="F6" s="4">
        <f t="shared" si="0"/>
        <v>4</v>
      </c>
      <c r="G6" s="6">
        <v>0</v>
      </c>
      <c r="H6" s="4">
        <f>SUM(F6-G6)</f>
        <v>4</v>
      </c>
    </row>
    <row r="7" spans="1:8" x14ac:dyDescent="0.25">
      <c r="A7" s="4">
        <v>5</v>
      </c>
      <c r="B7" s="4" t="s">
        <v>47</v>
      </c>
      <c r="C7" s="4">
        <v>0</v>
      </c>
      <c r="D7" s="4">
        <f>SUM('Nhập xuất tồn'!D7,'Nhập xuất tồn'!D8,'Nhập xuất tồn'!D9,'Nhập xuất tồn'!D12,'Nhập xuất tồn'!D14)</f>
        <v>3</v>
      </c>
      <c r="E7" s="4">
        <f>Xuất!AH7</f>
        <v>0</v>
      </c>
      <c r="F7" s="4">
        <f t="shared" si="0"/>
        <v>3</v>
      </c>
      <c r="G7" s="6">
        <v>0</v>
      </c>
      <c r="H7" s="4">
        <f t="shared" ref="H7:H17" si="1">SUM(F7-G7)</f>
        <v>3</v>
      </c>
    </row>
    <row r="8" spans="1:8" x14ac:dyDescent="0.25">
      <c r="A8" s="4">
        <v>6</v>
      </c>
      <c r="B8" s="4" t="s">
        <v>48</v>
      </c>
      <c r="C8" s="4">
        <v>0</v>
      </c>
      <c r="D8" s="4">
        <f>SUM('Nhập xuất tồn'!D13,'Nhập xuất tồn'!D15)</f>
        <v>0</v>
      </c>
      <c r="E8" s="4">
        <f>Xuất!AH8</f>
        <v>0</v>
      </c>
      <c r="F8" s="4">
        <f t="shared" si="0"/>
        <v>0</v>
      </c>
      <c r="G8" s="6">
        <v>0</v>
      </c>
      <c r="H8" s="4">
        <f t="shared" si="1"/>
        <v>0</v>
      </c>
    </row>
    <row r="9" spans="1:8" x14ac:dyDescent="0.25">
      <c r="A9" s="4">
        <v>7</v>
      </c>
      <c r="B9" s="4" t="s">
        <v>35</v>
      </c>
      <c r="C9" s="4">
        <v>0</v>
      </c>
      <c r="D9" s="4">
        <f>SUM('Nhập xuất tồn'!D10)</f>
        <v>8</v>
      </c>
      <c r="E9" s="4">
        <f>Xuất!AH9</f>
        <v>0</v>
      </c>
      <c r="F9" s="4">
        <f t="shared" si="0"/>
        <v>8</v>
      </c>
      <c r="G9" s="6">
        <v>0</v>
      </c>
      <c r="H9" s="4">
        <f t="shared" si="1"/>
        <v>8</v>
      </c>
    </row>
    <row r="10" spans="1:8" x14ac:dyDescent="0.25">
      <c r="A10" s="4">
        <v>8</v>
      </c>
      <c r="B10" s="4" t="s">
        <v>36</v>
      </c>
      <c r="C10" s="4">
        <v>0</v>
      </c>
      <c r="D10" s="4">
        <f>SUM('Nhập xuất tồn'!D11)</f>
        <v>0</v>
      </c>
      <c r="E10" s="4">
        <f>Xuất!AH10</f>
        <v>0</v>
      </c>
      <c r="F10" s="4">
        <f t="shared" si="0"/>
        <v>0</v>
      </c>
      <c r="G10" s="6">
        <v>0</v>
      </c>
      <c r="H10" s="4">
        <f t="shared" si="1"/>
        <v>0</v>
      </c>
    </row>
    <row r="11" spans="1:8" x14ac:dyDescent="0.25">
      <c r="A11" s="4">
        <v>14</v>
      </c>
      <c r="B11" s="4" t="s">
        <v>41</v>
      </c>
      <c r="C11" s="4"/>
      <c r="D11" s="4">
        <f>SUM('Nhập xuất tồn'!D16)</f>
        <v>0</v>
      </c>
      <c r="E11" s="4">
        <f>Xuất!AH16</f>
        <v>0</v>
      </c>
      <c r="F11" s="4">
        <f t="shared" si="0"/>
        <v>0</v>
      </c>
      <c r="G11" s="6"/>
      <c r="H11" s="4">
        <f t="shared" si="1"/>
        <v>0</v>
      </c>
    </row>
    <row r="12" spans="1:8" x14ac:dyDescent="0.25">
      <c r="A12" s="4">
        <v>15</v>
      </c>
      <c r="B12" s="4" t="s">
        <v>42</v>
      </c>
      <c r="C12" s="4"/>
      <c r="D12" s="4">
        <f>Nhập!AH17</f>
        <v>4</v>
      </c>
      <c r="E12" s="4">
        <f>Xuất!AH17</f>
        <v>0</v>
      </c>
      <c r="F12" s="4">
        <f t="shared" si="0"/>
        <v>4</v>
      </c>
      <c r="G12" s="6"/>
      <c r="H12" s="4">
        <f t="shared" si="1"/>
        <v>4</v>
      </c>
    </row>
    <row r="13" spans="1:8" x14ac:dyDescent="0.25">
      <c r="A13" s="4">
        <v>16</v>
      </c>
      <c r="B13" s="4" t="s">
        <v>43</v>
      </c>
      <c r="C13" s="4"/>
      <c r="D13" s="4">
        <f>Nhập!AH18</f>
        <v>0</v>
      </c>
      <c r="E13" s="4">
        <f>Xuất!AH18</f>
        <v>0</v>
      </c>
      <c r="F13" s="4">
        <f t="shared" si="0"/>
        <v>0</v>
      </c>
      <c r="G13" s="6"/>
      <c r="H13" s="4">
        <f t="shared" si="1"/>
        <v>0</v>
      </c>
    </row>
    <row r="14" spans="1:8" x14ac:dyDescent="0.25">
      <c r="A14" s="4">
        <v>17</v>
      </c>
      <c r="B14" s="4" t="s">
        <v>44</v>
      </c>
      <c r="C14" s="4"/>
      <c r="D14" s="4">
        <f>Nhập!AH19</f>
        <v>0</v>
      </c>
      <c r="E14" s="4">
        <f>Xuất!AH19</f>
        <v>0</v>
      </c>
      <c r="F14" s="4">
        <f t="shared" si="0"/>
        <v>0</v>
      </c>
      <c r="G14" s="6"/>
      <c r="H14" s="4">
        <f t="shared" si="1"/>
        <v>0</v>
      </c>
    </row>
    <row r="15" spans="1:8" x14ac:dyDescent="0.25">
      <c r="A15" s="4">
        <v>18</v>
      </c>
      <c r="B15" s="4" t="s">
        <v>45</v>
      </c>
      <c r="C15" s="4"/>
      <c r="D15" s="4">
        <f>Nhập!AH20</f>
        <v>0</v>
      </c>
      <c r="E15" s="4">
        <f>Xuất!AH20</f>
        <v>0</v>
      </c>
      <c r="F15" s="4">
        <f t="shared" si="0"/>
        <v>0</v>
      </c>
      <c r="G15" s="6"/>
      <c r="H15" s="4">
        <f t="shared" si="1"/>
        <v>0</v>
      </c>
    </row>
    <row r="16" spans="1:8" x14ac:dyDescent="0.25">
      <c r="A16" s="4">
        <v>19</v>
      </c>
      <c r="B16" s="4" t="s">
        <v>46</v>
      </c>
      <c r="C16" s="4">
        <v>0</v>
      </c>
      <c r="D16" s="4">
        <f>Nhập!AH21</f>
        <v>0</v>
      </c>
      <c r="E16" s="4">
        <f>Xuất!AH21</f>
        <v>0</v>
      </c>
      <c r="F16" s="4">
        <f t="shared" si="0"/>
        <v>0</v>
      </c>
      <c r="G16" s="6">
        <v>0</v>
      </c>
      <c r="H16" s="4">
        <f t="shared" si="1"/>
        <v>0</v>
      </c>
    </row>
    <row r="17" spans="1:8" x14ac:dyDescent="0.25">
      <c r="A17" s="4">
        <v>20</v>
      </c>
      <c r="B17" s="4" t="s">
        <v>7</v>
      </c>
      <c r="C17" s="4">
        <f>SUM('Nhập xuất tồn'!C22)</f>
        <v>6</v>
      </c>
      <c r="D17" s="4">
        <f>Nhập!AH22</f>
        <v>0</v>
      </c>
      <c r="E17" s="4">
        <f>Xuất!AH22</f>
        <v>0</v>
      </c>
      <c r="F17" s="4">
        <f>SUM(C17+D17-E17)</f>
        <v>6</v>
      </c>
      <c r="G17" s="6">
        <v>0</v>
      </c>
      <c r="H17" s="4">
        <f t="shared" si="1"/>
        <v>6</v>
      </c>
    </row>
    <row r="18" spans="1:8" x14ac:dyDescent="0.25">
      <c r="A18" s="30" t="s">
        <v>5</v>
      </c>
      <c r="B18" s="30"/>
      <c r="C18" s="31">
        <f>SUM(C3:C17)</f>
        <v>157</v>
      </c>
      <c r="D18" s="31">
        <f t="shared" ref="D18:F18" si="2">SUM(D3:D17)</f>
        <v>55</v>
      </c>
      <c r="E18" s="31">
        <f t="shared" si="2"/>
        <v>82</v>
      </c>
      <c r="F18" s="31">
        <f t="shared" si="2"/>
        <v>130</v>
      </c>
      <c r="G18" s="32">
        <f t="shared" ref="G18" si="3">SUM(G3:G17)</f>
        <v>11</v>
      </c>
      <c r="H18" s="31">
        <f t="shared" ref="H18" si="4">SUM(H3:H17)</f>
        <v>119</v>
      </c>
    </row>
    <row r="19" spans="1:8" x14ac:dyDescent="0.25">
      <c r="F19" s="17"/>
    </row>
  </sheetData>
  <mergeCells count="2">
    <mergeCell ref="A1:H1"/>
    <mergeCell ref="A18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Nhập xuất tồn</vt:lpstr>
      <vt:lpstr>Nhập</vt:lpstr>
      <vt:lpstr>Xuất</vt:lpstr>
      <vt:lpstr>Huỷ</vt:lpstr>
      <vt:lpstr>Ghi chú</vt:lpstr>
      <vt:lpstr>Chốt Kho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KT-KHO</dc:creator>
  <cp:lastModifiedBy>TungNM</cp:lastModifiedBy>
  <dcterms:created xsi:type="dcterms:W3CDTF">2015-06-05T18:17:20Z</dcterms:created>
  <dcterms:modified xsi:type="dcterms:W3CDTF">2026-01-13T01:46:21Z</dcterms:modified>
</cp:coreProperties>
</file>