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42A742F4-5F9F-4F69-BDB8-9A8E05972115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definedNames>
    <definedName name="_xlnm._FilterDatabase" localSheetId="4" hidden="1">'Ghi chú'!$A$1:$F$7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13" i="2" l="1"/>
  <c r="F18" i="1"/>
  <c r="F20" i="1"/>
  <c r="F21" i="1"/>
  <c r="G23" i="1"/>
  <c r="C23" i="1"/>
  <c r="G18" i="6"/>
  <c r="C18" i="6"/>
  <c r="F17" i="6"/>
  <c r="C17" i="6"/>
  <c r="H10" i="6"/>
  <c r="H11" i="6"/>
  <c r="H12" i="6"/>
  <c r="H13" i="6"/>
  <c r="H15" i="6"/>
  <c r="H16" i="6"/>
  <c r="H17" i="6"/>
  <c r="H6" i="6"/>
  <c r="H5" i="6"/>
  <c r="D11" i="6"/>
  <c r="F11" i="6" s="1"/>
  <c r="D10" i="6"/>
  <c r="D12" i="6"/>
  <c r="D13" i="6"/>
  <c r="D15" i="6"/>
  <c r="D16" i="6"/>
  <c r="F16" i="6" s="1"/>
  <c r="D17" i="6"/>
  <c r="D8" i="6"/>
  <c r="E17" i="6"/>
  <c r="E16" i="6"/>
  <c r="E15" i="6"/>
  <c r="F15" i="6"/>
  <c r="E14" i="6"/>
  <c r="E13" i="6"/>
  <c r="E12" i="6"/>
  <c r="E11" i="6"/>
  <c r="E10" i="6"/>
  <c r="E9" i="6"/>
  <c r="E8" i="6"/>
  <c r="E7" i="6"/>
  <c r="E6" i="6"/>
  <c r="E5" i="6"/>
  <c r="H15" i="1"/>
  <c r="H16" i="1"/>
  <c r="F13" i="1"/>
  <c r="H13" i="1" s="1"/>
  <c r="F15" i="1"/>
  <c r="F1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6" i="1"/>
  <c r="D13" i="1"/>
  <c r="D14" i="1"/>
  <c r="F14" i="1" s="1"/>
  <c r="H14" i="1" s="1"/>
  <c r="D15" i="1"/>
  <c r="D16" i="1"/>
  <c r="D20" i="1"/>
  <c r="H20" i="1" s="1"/>
  <c r="D21" i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H21" i="1" l="1"/>
  <c r="AH5" i="3"/>
  <c r="E4" i="1" s="1"/>
  <c r="E4" i="6" s="1"/>
  <c r="AH6" i="3"/>
  <c r="E5" i="1" s="1"/>
  <c r="AH7" i="3"/>
  <c r="AH8" i="3"/>
  <c r="AH9" i="3"/>
  <c r="AH10" i="3"/>
  <c r="AH11" i="3"/>
  <c r="AH12" i="3"/>
  <c r="AH13" i="3"/>
  <c r="AH14" i="3"/>
  <c r="AH15" i="3"/>
  <c r="AH16" i="3"/>
  <c r="AH17" i="3"/>
  <c r="AH18" i="3"/>
  <c r="AH4" i="3"/>
  <c r="E3" i="1" s="1"/>
  <c r="AH8" i="2"/>
  <c r="AH9" i="2"/>
  <c r="AH10" i="2"/>
  <c r="AH11" i="2"/>
  <c r="D11" i="1" s="1"/>
  <c r="F11" i="1" s="1"/>
  <c r="H11" i="1" s="1"/>
  <c r="AH12" i="2"/>
  <c r="D12" i="1" s="1"/>
  <c r="F12" i="1" s="1"/>
  <c r="H12" i="1" s="1"/>
  <c r="AH17" i="2"/>
  <c r="AH18" i="2"/>
  <c r="AH19" i="2"/>
  <c r="D14" i="6" s="1"/>
  <c r="AH4" i="2"/>
  <c r="AH5" i="2"/>
  <c r="AH6" i="2"/>
  <c r="AH7" i="2"/>
  <c r="D7" i="1" s="1"/>
  <c r="F7" i="1" s="1"/>
  <c r="H7" i="1" s="1"/>
  <c r="AH3" i="2"/>
  <c r="E23" i="1" l="1"/>
  <c r="E3" i="6"/>
  <c r="E18" i="6" s="1"/>
  <c r="D4" i="1"/>
  <c r="D6" i="1"/>
  <c r="F6" i="1" s="1"/>
  <c r="H6" i="1" s="1"/>
  <c r="D6" i="6"/>
  <c r="F6" i="6" s="1"/>
  <c r="D5" i="1"/>
  <c r="F5" i="1" s="1"/>
  <c r="H5" i="1" s="1"/>
  <c r="D5" i="6"/>
  <c r="F5" i="6" s="1"/>
  <c r="D18" i="1"/>
  <c r="H18" i="1" s="1"/>
  <c r="F13" i="6"/>
  <c r="D17" i="1"/>
  <c r="F17" i="1" s="1"/>
  <c r="H17" i="1" s="1"/>
  <c r="F12" i="6"/>
  <c r="D10" i="1"/>
  <c r="F10" i="6"/>
  <c r="D19" i="1"/>
  <c r="F14" i="6"/>
  <c r="H14" i="6" s="1"/>
  <c r="D9" i="1"/>
  <c r="F9" i="1" s="1"/>
  <c r="H9" i="1" s="1"/>
  <c r="D3" i="1"/>
  <c r="D8" i="1"/>
  <c r="F8" i="6"/>
  <c r="H8" i="6" s="1"/>
  <c r="F8" i="1" l="1"/>
  <c r="H8" i="1" s="1"/>
  <c r="D7" i="6"/>
  <c r="F7" i="6" s="1"/>
  <c r="H7" i="6" s="1"/>
  <c r="F19" i="1"/>
  <c r="H19" i="1" s="1"/>
  <c r="F4" i="1"/>
  <c r="D4" i="6"/>
  <c r="F4" i="6" s="1"/>
  <c r="H4" i="6" s="1"/>
  <c r="D3" i="6"/>
  <c r="D23" i="1"/>
  <c r="F3" i="6"/>
  <c r="F3" i="1"/>
  <c r="H4" i="1"/>
  <c r="F10" i="1"/>
  <c r="H10" i="1" s="1"/>
  <c r="D9" i="6"/>
  <c r="F9" i="6" s="1"/>
  <c r="H9" i="6" s="1"/>
  <c r="D18" i="6" l="1"/>
  <c r="H3" i="1"/>
  <c r="H23" i="1" s="1"/>
  <c r="F23" i="1"/>
  <c r="H3" i="6"/>
  <c r="H18" i="6" s="1"/>
  <c r="F18" i="6"/>
</calcChain>
</file>

<file path=xl/sharedStrings.xml><?xml version="1.0" encoding="utf-8"?>
<sst xmlns="http://schemas.openxmlformats.org/spreadsheetml/2006/main" count="215" uniqueCount="81">
  <si>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</si>
  <si>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</si>
  <si>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</si>
  <si>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</si>
  <si>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</si>
  <si>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</si>
  <si>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</si>
  <si>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</si>
  <si>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</si>
  <si>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</si>
  <si>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</si>
  <si>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</si>
  <si>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</si>
  <si>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</si>
  <si>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Danh Sách Thiết Bị Gửi Trên Bảo Hành - Sản Xuất Tháng 01</t>
  </si>
  <si>
    <t>Đã trả (07/01/26)</t>
  </si>
  <si>
    <t>Victory</t>
  </si>
  <si>
    <t>Đã trả (09/01/26)</t>
  </si>
  <si>
    <t>ĐL anh Tuấn NB</t>
  </si>
  <si>
    <t>Đã trả (06/01/26)</t>
  </si>
  <si>
    <t>ĐL anh Ân Thái Bình</t>
  </si>
  <si>
    <t>ĐL GPS Global</t>
  </si>
  <si>
    <t>Đã trả (05/01/26)</t>
  </si>
  <si>
    <t>ĐL Hay Huế</t>
  </si>
  <si>
    <t>Gsatcom</t>
  </si>
  <si>
    <t>ĐL SEA</t>
  </si>
  <si>
    <t>Trạng thái</t>
  </si>
  <si>
    <t>Đại lý</t>
  </si>
  <si>
    <t>Ngày</t>
  </si>
  <si>
    <t>Anh Tuấn BG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</si>
  <si>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</si>
  <si>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</si>
  <si>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</si>
  <si>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</si>
  <si>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</si>
  <si>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</si>
  <si>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</si>
  <si>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</si>
  <si>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</si>
  <si>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</si>
  <si>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</si>
  <si>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</si>
  <si>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</si>
  <si>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</si>
  <si>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</si>
  <si>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</si>
  <si>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</si>
  <si>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</si>
  <si>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</si>
  <si>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Đã trả (12/01/26)</t>
  </si>
  <si>
    <t>Lực KD không lấy nữa</t>
  </si>
  <si>
    <t>ĐL Anh Trực</t>
  </si>
  <si>
    <t>Đã trả (13/01/26)</t>
  </si>
  <si>
    <t>ĐL Anh Thái QN</t>
  </si>
  <si>
    <t>ĐL Anh Sửu Bình Định</t>
  </si>
  <si>
    <t>Đã trả (14/01/26)</t>
  </si>
  <si>
    <t>ĐL Tuyên Hằng</t>
  </si>
  <si>
    <t>Đã trả (15/01/26)</t>
  </si>
  <si>
    <t>Ghi chú</t>
  </si>
  <si>
    <t>Chưa trả kho</t>
  </si>
  <si>
    <t>Thiết bị anh Tuấn BG Thảo đã đổi trước, xử lý xong trả kho</t>
  </si>
  <si>
    <t>ĐL Tiến Long</t>
  </si>
  <si>
    <t>Đã trả (16/01/26)</t>
  </si>
  <si>
    <t>kl vnet</t>
  </si>
  <si>
    <t>Đã trả (19/01/26)</t>
  </si>
  <si>
    <t>Etuka</t>
  </si>
  <si>
    <t>ĐL Anh Tuấn NB</t>
  </si>
  <si>
    <t>Skytech</t>
  </si>
  <si>
    <t>Đã trả (20/01/26)</t>
  </si>
  <si>
    <t>Anh Dân Thái Bình</t>
  </si>
  <si>
    <t>Đã trả (21/01/26)</t>
  </si>
  <si>
    <t>Đã trả (22/01/26)</t>
  </si>
  <si>
    <t>GPS Global</t>
  </si>
  <si>
    <t>Đã trả (23/01/26)</t>
  </si>
  <si>
    <t>Đã trả (26/01/26)</t>
  </si>
  <si>
    <t>Gara anh Tập</t>
  </si>
  <si>
    <t>Đã trả (27/01/26)</t>
  </si>
  <si>
    <t>GPS Tây Ninh</t>
  </si>
  <si>
    <t>Đã trả (28/01/26)</t>
  </si>
  <si>
    <t>ĐL Phúc Hưng</t>
  </si>
  <si>
    <t>Đã trả (30/01/26)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</si>
</sst>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6" fillId="3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showZeros="0" tabSelected="1" zoomScale="115" zoomScaleNormal="115" workbookViewId="0">
      <selection activeCell="L9" sqref="L9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3" t="s">
        <v>14</v>
      </c>
      <c r="B1" s="24"/>
      <c r="C1" s="24"/>
      <c r="D1" s="24"/>
      <c r="E1" s="24"/>
      <c r="F1" s="24"/>
      <c r="G1" s="24"/>
      <c r="H1" s="25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v>7</v>
      </c>
      <c r="D3" s="4">
        <f>Nhập!AH3</f>
        <v>64</v>
      </c>
      <c r="E3" s="4">
        <f>Xuất!AH4+Huỷ!AH3</f>
        <v>68</v>
      </c>
      <c r="F3" s="4">
        <f>C3+D3-E3</f>
        <v>3</v>
      </c>
      <c r="G3" s="6">
        <v>1</v>
      </c>
      <c r="H3" s="4">
        <f>F3-G3</f>
        <v>2</v>
      </c>
    </row>
    <row r="4" spans="1:8" x14ac:dyDescent="0.25">
      <c r="A4" s="4">
        <v>2</v>
      </c>
      <c r="B4" s="4" t="s">
        <v>1</v>
      </c>
      <c r="C4" s="4">
        <v>144</v>
      </c>
      <c r="D4" s="4">
        <f>Nhập!AH4</f>
        <v>144</v>
      </c>
      <c r="E4" s="4">
        <f>Xuất!AH5+Huỷ!AH4</f>
        <v>201</v>
      </c>
      <c r="F4" s="4">
        <f>C4+D4-E4</f>
        <v>87</v>
      </c>
      <c r="G4" s="6">
        <v>15</v>
      </c>
      <c r="H4" s="4">
        <f t="shared" ref="H4:H22" si="0">F4-G4</f>
        <v>72</v>
      </c>
    </row>
    <row r="5" spans="1:8" x14ac:dyDescent="0.25">
      <c r="A5" s="4">
        <v>3</v>
      </c>
      <c r="B5" s="4" t="s">
        <v>30</v>
      </c>
      <c r="C5" s="4">
        <v>0</v>
      </c>
      <c r="D5" s="4">
        <f>Nhập!AH5</f>
        <v>4</v>
      </c>
      <c r="E5" s="4">
        <f>Xuất!AH6+Huỷ!AH5</f>
        <v>0</v>
      </c>
      <c r="F5" s="4">
        <f t="shared" ref="F5:F22" si="1">C5+D5-E5</f>
        <v>4</v>
      </c>
      <c r="G5" s="6">
        <v>0</v>
      </c>
      <c r="H5" s="4">
        <f t="shared" si="0"/>
        <v>4</v>
      </c>
    </row>
    <row r="6" spans="1:8" x14ac:dyDescent="0.25">
      <c r="A6" s="4">
        <v>4</v>
      </c>
      <c r="B6" s="4" t="s">
        <v>31</v>
      </c>
      <c r="C6" s="4">
        <v>0</v>
      </c>
      <c r="D6" s="4">
        <f>Nhập!AH6</f>
        <v>4</v>
      </c>
      <c r="E6" s="4">
        <f>Xuất!AH6</f>
        <v>0</v>
      </c>
      <c r="F6" s="4">
        <f t="shared" si="1"/>
        <v>4</v>
      </c>
      <c r="G6" s="6">
        <v>0</v>
      </c>
      <c r="H6" s="4">
        <f t="shared" si="0"/>
        <v>4</v>
      </c>
    </row>
    <row r="7" spans="1:8" x14ac:dyDescent="0.25">
      <c r="A7" s="4">
        <v>5</v>
      </c>
      <c r="B7" s="4" t="s">
        <v>32</v>
      </c>
      <c r="C7" s="4">
        <v>0</v>
      </c>
      <c r="D7" s="4">
        <f>Nhập!AH7</f>
        <v>0</v>
      </c>
      <c r="E7" s="4">
        <f>Xuất!AH7</f>
        <v>0</v>
      </c>
      <c r="F7" s="4">
        <f t="shared" si="1"/>
        <v>0</v>
      </c>
      <c r="G7" s="6">
        <v>0</v>
      </c>
      <c r="H7" s="4">
        <f t="shared" si="0"/>
        <v>0</v>
      </c>
    </row>
    <row r="8" spans="1:8" x14ac:dyDescent="0.25">
      <c r="A8" s="4">
        <v>6</v>
      </c>
      <c r="B8" s="4" t="s">
        <v>33</v>
      </c>
      <c r="C8" s="4">
        <v>0</v>
      </c>
      <c r="D8" s="4">
        <f>Nhập!AH8</f>
        <v>9</v>
      </c>
      <c r="E8" s="4">
        <f>Xuất!AH8</f>
        <v>0</v>
      </c>
      <c r="F8" s="4">
        <f t="shared" si="1"/>
        <v>9</v>
      </c>
      <c r="G8" s="6">
        <v>0</v>
      </c>
      <c r="H8" s="4">
        <f t="shared" si="0"/>
        <v>9</v>
      </c>
    </row>
    <row r="9" spans="1:8" x14ac:dyDescent="0.25">
      <c r="A9" s="4">
        <v>7</v>
      </c>
      <c r="B9" s="4" t="s">
        <v>34</v>
      </c>
      <c r="C9" s="4">
        <v>0</v>
      </c>
      <c r="D9" s="4">
        <f>Nhập!AH9</f>
        <v>6</v>
      </c>
      <c r="E9" s="4">
        <f>Xuất!AH9</f>
        <v>0</v>
      </c>
      <c r="F9" s="4">
        <f t="shared" si="1"/>
        <v>6</v>
      </c>
      <c r="G9" s="6">
        <v>0</v>
      </c>
      <c r="H9" s="4">
        <f t="shared" si="0"/>
        <v>6</v>
      </c>
    </row>
    <row r="10" spans="1:8" x14ac:dyDescent="0.25">
      <c r="A10" s="4">
        <v>8</v>
      </c>
      <c r="B10" s="4" t="s">
        <v>35</v>
      </c>
      <c r="C10" s="4">
        <v>0</v>
      </c>
      <c r="D10" s="4">
        <f>Nhập!AH10</f>
        <v>8</v>
      </c>
      <c r="E10" s="4">
        <f>Xuất!AH10</f>
        <v>0</v>
      </c>
      <c r="F10" s="4">
        <f t="shared" si="1"/>
        <v>8</v>
      </c>
      <c r="G10" s="6">
        <v>0</v>
      </c>
      <c r="H10" s="4">
        <f t="shared" si="0"/>
        <v>8</v>
      </c>
    </row>
    <row r="11" spans="1:8" x14ac:dyDescent="0.25">
      <c r="A11" s="4">
        <v>9</v>
      </c>
      <c r="B11" s="4" t="s">
        <v>36</v>
      </c>
      <c r="C11" s="4">
        <v>0</v>
      </c>
      <c r="D11" s="4">
        <f>Nhập!AH11</f>
        <v>0</v>
      </c>
      <c r="E11" s="4">
        <f>Xuất!AH11</f>
        <v>0</v>
      </c>
      <c r="F11" s="4">
        <f t="shared" si="1"/>
        <v>0</v>
      </c>
      <c r="G11" s="6">
        <v>0</v>
      </c>
      <c r="H11" s="4">
        <f t="shared" si="0"/>
        <v>0</v>
      </c>
    </row>
    <row r="12" spans="1:8" x14ac:dyDescent="0.25">
      <c r="A12" s="4">
        <v>10</v>
      </c>
      <c r="B12" s="4" t="s">
        <v>37</v>
      </c>
      <c r="C12" s="4">
        <v>0</v>
      </c>
      <c r="D12" s="4">
        <f>Nhập!AH12</f>
        <v>1</v>
      </c>
      <c r="E12" s="4">
        <f>Xuất!AH12</f>
        <v>0</v>
      </c>
      <c r="F12" s="4">
        <f t="shared" si="1"/>
        <v>1</v>
      </c>
      <c r="G12" s="6">
        <v>0</v>
      </c>
      <c r="H12" s="4">
        <f t="shared" si="0"/>
        <v>1</v>
      </c>
    </row>
    <row r="13" spans="1:8" x14ac:dyDescent="0.25">
      <c r="A13" s="4">
        <v>11</v>
      </c>
      <c r="B13" s="4" t="s">
        <v>38</v>
      </c>
      <c r="C13" s="4">
        <v>0</v>
      </c>
      <c r="D13" s="4">
        <f>Nhập!AH13</f>
        <v>3</v>
      </c>
      <c r="E13" s="4">
        <f>Xuất!AH13</f>
        <v>0</v>
      </c>
      <c r="F13" s="4">
        <f t="shared" si="1"/>
        <v>3</v>
      </c>
      <c r="G13" s="6">
        <v>0</v>
      </c>
      <c r="H13" s="4">
        <f t="shared" si="0"/>
        <v>3</v>
      </c>
    </row>
    <row r="14" spans="1:8" x14ac:dyDescent="0.25">
      <c r="A14" s="4">
        <v>12</v>
      </c>
      <c r="B14" s="4" t="s">
        <v>39</v>
      </c>
      <c r="C14" s="4">
        <v>0</v>
      </c>
      <c r="D14" s="4">
        <f>Nhập!AH14</f>
        <v>0</v>
      </c>
      <c r="E14" s="4">
        <f>Xuất!AH14</f>
        <v>0</v>
      </c>
      <c r="F14" s="4">
        <f t="shared" si="1"/>
        <v>0</v>
      </c>
      <c r="G14" s="6">
        <v>0</v>
      </c>
      <c r="H14" s="4">
        <f t="shared" si="0"/>
        <v>0</v>
      </c>
    </row>
    <row r="15" spans="1:8" x14ac:dyDescent="0.25">
      <c r="A15" s="4">
        <v>13</v>
      </c>
      <c r="B15" s="4" t="s">
        <v>40</v>
      </c>
      <c r="C15" s="4">
        <v>0</v>
      </c>
      <c r="D15" s="4">
        <f>Nhập!AH15</f>
        <v>0</v>
      </c>
      <c r="E15" s="4">
        <f>Xuất!AH15</f>
        <v>0</v>
      </c>
      <c r="F15" s="4">
        <f t="shared" si="1"/>
        <v>0</v>
      </c>
      <c r="G15" s="6">
        <v>0</v>
      </c>
      <c r="H15" s="4">
        <f t="shared" si="0"/>
        <v>0</v>
      </c>
    </row>
    <row r="16" spans="1:8" x14ac:dyDescent="0.25">
      <c r="A16" s="4">
        <v>14</v>
      </c>
      <c r="B16" s="4" t="s">
        <v>41</v>
      </c>
      <c r="C16" s="4"/>
      <c r="D16" s="4">
        <f>Nhập!AH16</f>
        <v>0</v>
      </c>
      <c r="E16" s="4">
        <f>Xuất!AH16</f>
        <v>0</v>
      </c>
      <c r="F16" s="4">
        <f t="shared" si="1"/>
        <v>0</v>
      </c>
      <c r="G16" s="6"/>
      <c r="H16" s="4">
        <f t="shared" si="0"/>
        <v>0</v>
      </c>
    </row>
    <row r="17" spans="1:8" x14ac:dyDescent="0.25">
      <c r="A17" s="4">
        <v>15</v>
      </c>
      <c r="B17" s="4" t="s">
        <v>42</v>
      </c>
      <c r="C17" s="4"/>
      <c r="D17" s="4">
        <f>Nhập!AH17</f>
        <v>4</v>
      </c>
      <c r="E17" s="4">
        <f>Xuất!AH17</f>
        <v>0</v>
      </c>
      <c r="F17" s="4">
        <f t="shared" si="1"/>
        <v>4</v>
      </c>
      <c r="G17" s="6"/>
      <c r="H17" s="4">
        <f t="shared" si="0"/>
        <v>4</v>
      </c>
    </row>
    <row r="18" spans="1:8" x14ac:dyDescent="0.25">
      <c r="A18" s="4">
        <v>16</v>
      </c>
      <c r="B18" s="4" t="s">
        <v>43</v>
      </c>
      <c r="C18" s="4"/>
      <c r="D18" s="4">
        <f>Nhập!AH18</f>
        <v>0</v>
      </c>
      <c r="E18" s="4">
        <f>Xuất!AH18</f>
        <v>0</v>
      </c>
      <c r="F18" s="4">
        <f t="shared" si="1"/>
        <v>0</v>
      </c>
      <c r="G18" s="6"/>
      <c r="H18" s="4">
        <f t="shared" si="0"/>
        <v>0</v>
      </c>
    </row>
    <row r="19" spans="1:8" x14ac:dyDescent="0.25">
      <c r="A19" s="4">
        <v>17</v>
      </c>
      <c r="B19" s="4" t="s">
        <v>44</v>
      </c>
      <c r="C19" s="4"/>
      <c r="D19" s="4">
        <f>Nhập!AH19</f>
        <v>1</v>
      </c>
      <c r="E19" s="4">
        <f>Xuất!AH19</f>
        <v>0</v>
      </c>
      <c r="F19" s="4">
        <f t="shared" si="1"/>
        <v>1</v>
      </c>
      <c r="G19" s="6">
        <v>1</v>
      </c>
      <c r="H19" s="4">
        <f t="shared" si="0"/>
        <v>0</v>
      </c>
    </row>
    <row r="20" spans="1:8" x14ac:dyDescent="0.25">
      <c r="A20" s="4">
        <v>18</v>
      </c>
      <c r="B20" s="4" t="s">
        <v>45</v>
      </c>
      <c r="C20" s="4"/>
      <c r="D20" s="4">
        <f>Nhập!AH20</f>
        <v>0</v>
      </c>
      <c r="E20" s="4">
        <f>Xuất!AH20</f>
        <v>0</v>
      </c>
      <c r="F20" s="4">
        <f t="shared" si="1"/>
        <v>0</v>
      </c>
      <c r="G20" s="6"/>
      <c r="H20" s="4">
        <f t="shared" si="0"/>
        <v>0</v>
      </c>
    </row>
    <row r="21" spans="1:8" x14ac:dyDescent="0.25">
      <c r="A21" s="4">
        <v>19</v>
      </c>
      <c r="B21" s="4" t="s">
        <v>46</v>
      </c>
      <c r="C21" s="4">
        <v>0</v>
      </c>
      <c r="D21" s="4">
        <f>Nhập!AH21</f>
        <v>0</v>
      </c>
      <c r="E21" s="4">
        <f>Xuất!AH21</f>
        <v>0</v>
      </c>
      <c r="F21" s="4">
        <f t="shared" si="1"/>
        <v>0</v>
      </c>
      <c r="G21" s="6">
        <v>0</v>
      </c>
      <c r="H21" s="4">
        <f t="shared" si="0"/>
        <v>0</v>
      </c>
    </row>
    <row r="22" spans="1:8" x14ac:dyDescent="0.25">
      <c r="A22" s="4">
        <v>20</v>
      </c>
      <c r="B22" s="4" t="s">
        <v>7</v>
      </c>
      <c r="C22" s="4">
        <v>6</v>
      </c>
      <c r="D22" s="4">
        <f>Nhập!AH22</f>
        <v>0</v>
      </c>
      <c r="E22" s="4">
        <f>Xuất!AH22</f>
        <v>0</v>
      </c>
      <c r="F22" s="4">
        <f t="shared" si="1"/>
        <v>6</v>
      </c>
      <c r="G22" s="6">
        <v>0</v>
      </c>
      <c r="H22" s="4">
        <f t="shared" si="0"/>
        <v>6</v>
      </c>
    </row>
    <row r="23" spans="1:8" x14ac:dyDescent="0.25">
      <c r="A23" s="26" t="s">
        <v>5</v>
      </c>
      <c r="B23" s="26"/>
      <c r="C23" s="4">
        <f>SUM(C3:C22)</f>
        <v>157</v>
      </c>
      <c r="D23" s="4">
        <f t="shared" ref="D23:H23" si="2">SUM(D3:D22)</f>
        <v>248</v>
      </c>
      <c r="E23" s="4">
        <f t="shared" si="2"/>
        <v>269</v>
      </c>
      <c r="F23" s="4">
        <f t="shared" si="2"/>
        <v>136</v>
      </c>
      <c r="G23" s="4">
        <f t="shared" si="2"/>
        <v>17</v>
      </c>
      <c r="H23" s="4">
        <f t="shared" si="2"/>
        <v>119</v>
      </c>
    </row>
    <row r="26" spans="1:8" x14ac:dyDescent="0.25">
      <c r="B26" s="2"/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</sheetData>
  <mergeCells count="2">
    <mergeCell ref="A1:H1"/>
    <mergeCell ref="A23:B23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2"/>
  <sheetViews>
    <sheetView showZeros="0" zoomScale="130" zoomScaleNormal="130" workbookViewId="0">
      <selection activeCell="S13" sqref="S13"/>
    </sheetView>
  </sheetViews>
  <sheetFormatPr defaultColWidth="8.85546875" defaultRowHeight="15" x14ac:dyDescent="0.25"/>
  <cols>
    <col min="1" max="1" width="6.5703125" style="9" customWidth="1"/>
    <col min="2" max="2" width="27.5703125" style="9" customWidth="1"/>
    <col min="3" max="34" width="5.28515625" style="9" customWidth="1"/>
    <col min="35" max="16384" width="8.85546875" style="9"/>
  </cols>
  <sheetData>
    <row r="1" spans="1:34" x14ac:dyDescent="0.25">
      <c r="A1" s="27" t="s">
        <v>8</v>
      </c>
      <c r="B1" s="28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27"/>
      <c r="B2" s="29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0"/>
    </row>
    <row r="3" spans="1:34" x14ac:dyDescent="0.25">
      <c r="A3" s="7">
        <v>1</v>
      </c>
      <c r="B3" s="7" t="s">
        <v>0</v>
      </c>
      <c r="C3" s="7"/>
      <c r="D3" s="7"/>
      <c r="E3" s="7"/>
      <c r="F3" s="7"/>
      <c r="G3" s="7">
        <v>32</v>
      </c>
      <c r="H3" s="7"/>
      <c r="I3" s="7"/>
      <c r="J3" s="7"/>
      <c r="K3" s="7"/>
      <c r="L3" s="7"/>
      <c r="M3" s="7"/>
      <c r="N3" s="7"/>
      <c r="O3" s="7">
        <v>12</v>
      </c>
      <c r="P3" s="7"/>
      <c r="Q3" s="7"/>
      <c r="R3" s="7"/>
      <c r="S3" s="7"/>
      <c r="T3" s="7"/>
      <c r="U3" s="7"/>
      <c r="V3" s="7">
        <v>20</v>
      </c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64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>
        <v>72</v>
      </c>
      <c r="Z4" s="7"/>
      <c r="AA4" s="7"/>
      <c r="AB4" s="7"/>
      <c r="AC4" s="7"/>
      <c r="AD4" s="7"/>
      <c r="AE4" s="7"/>
      <c r="AF4" s="7">
        <v>72</v>
      </c>
      <c r="AG4" s="7"/>
      <c r="AH4" s="7">
        <f t="shared" ref="AH4:AH19" si="0">SUM(C4:AG4)</f>
        <v>144</v>
      </c>
    </row>
    <row r="5" spans="1:34" x14ac:dyDescent="0.25">
      <c r="A5" s="7">
        <v>3</v>
      </c>
      <c r="B5" s="7" t="s">
        <v>30</v>
      </c>
      <c r="C5" s="7"/>
      <c r="D5" s="7"/>
      <c r="E5" s="7"/>
      <c r="F5" s="7"/>
      <c r="G5" s="7"/>
      <c r="H5" s="7"/>
      <c r="I5" s="7"/>
      <c r="J5" s="7"/>
      <c r="K5" s="7"/>
      <c r="L5" s="7">
        <v>4</v>
      </c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4</v>
      </c>
    </row>
    <row r="6" spans="1:34" x14ac:dyDescent="0.25">
      <c r="A6" s="7">
        <v>4</v>
      </c>
      <c r="B6" s="7" t="s">
        <v>31</v>
      </c>
      <c r="C6" s="7"/>
      <c r="D6" s="7"/>
      <c r="E6" s="7"/>
      <c r="F6" s="7"/>
      <c r="G6" s="7"/>
      <c r="H6" s="7"/>
      <c r="I6" s="7"/>
      <c r="J6" s="7"/>
      <c r="K6" s="7"/>
      <c r="L6" s="7">
        <v>4</v>
      </c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4</v>
      </c>
    </row>
    <row r="7" spans="1:34" x14ac:dyDescent="0.25">
      <c r="A7" s="7">
        <v>5</v>
      </c>
      <c r="B7" s="7" t="s">
        <v>32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33</v>
      </c>
      <c r="C8" s="7"/>
      <c r="D8" s="7"/>
      <c r="E8" s="7"/>
      <c r="F8" s="7"/>
      <c r="G8" s="7"/>
      <c r="H8" s="7"/>
      <c r="I8" s="7"/>
      <c r="J8" s="7"/>
      <c r="K8" s="7"/>
      <c r="L8" s="7">
        <v>1</v>
      </c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>
        <v>8</v>
      </c>
      <c r="AE8" s="7"/>
      <c r="AF8" s="7"/>
      <c r="AG8" s="7"/>
      <c r="AH8" s="7">
        <f t="shared" si="0"/>
        <v>9</v>
      </c>
    </row>
    <row r="9" spans="1:34" x14ac:dyDescent="0.25">
      <c r="A9" s="7">
        <v>7</v>
      </c>
      <c r="B9" s="7" t="s">
        <v>34</v>
      </c>
      <c r="C9" s="7"/>
      <c r="D9" s="7"/>
      <c r="E9" s="7"/>
      <c r="F9" s="7"/>
      <c r="G9" s="7"/>
      <c r="H9" s="7"/>
      <c r="I9" s="7"/>
      <c r="J9" s="7"/>
      <c r="K9" s="7"/>
      <c r="L9" s="7">
        <v>1</v>
      </c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>
        <v>5</v>
      </c>
      <c r="AE9" s="7"/>
      <c r="AF9" s="7"/>
      <c r="AG9" s="7"/>
      <c r="AH9" s="7">
        <f t="shared" si="0"/>
        <v>6</v>
      </c>
    </row>
    <row r="10" spans="1:34" x14ac:dyDescent="0.25">
      <c r="A10" s="7">
        <v>8</v>
      </c>
      <c r="B10" s="7" t="s">
        <v>35</v>
      </c>
      <c r="C10" s="7"/>
      <c r="D10" s="7"/>
      <c r="E10" s="7"/>
      <c r="F10" s="7"/>
      <c r="G10" s="7"/>
      <c r="H10" s="7"/>
      <c r="I10" s="7"/>
      <c r="J10" s="7">
        <v>4</v>
      </c>
      <c r="K10" s="7">
        <v>4</v>
      </c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8</v>
      </c>
    </row>
    <row r="11" spans="1:34" x14ac:dyDescent="0.25">
      <c r="A11" s="7">
        <v>9</v>
      </c>
      <c r="B11" s="7" t="s">
        <v>36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37</v>
      </c>
      <c r="C12" s="7"/>
      <c r="D12" s="7"/>
      <c r="E12" s="7"/>
      <c r="F12" s="7"/>
      <c r="G12" s="7"/>
      <c r="H12" s="7"/>
      <c r="I12" s="7"/>
      <c r="J12" s="7"/>
      <c r="K12" s="7"/>
      <c r="L12" s="7">
        <v>1</v>
      </c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1</v>
      </c>
    </row>
    <row r="13" spans="1:34" x14ac:dyDescent="0.25">
      <c r="A13" s="7">
        <v>11</v>
      </c>
      <c r="B13" s="7" t="s">
        <v>38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>
        <v>3</v>
      </c>
      <c r="AE13" s="7"/>
      <c r="AF13" s="7"/>
      <c r="AG13" s="7"/>
      <c r="AH13" s="7">
        <f t="shared" si="0"/>
        <v>3</v>
      </c>
    </row>
    <row r="14" spans="1:34" x14ac:dyDescent="0.25">
      <c r="A14" s="7">
        <v>12</v>
      </c>
      <c r="B14" s="7" t="s">
        <v>39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</row>
    <row r="15" spans="1:34" x14ac:dyDescent="0.25">
      <c r="A15" s="7">
        <v>13</v>
      </c>
      <c r="B15" s="7" t="s">
        <v>40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</row>
    <row r="16" spans="1:34" x14ac:dyDescent="0.25">
      <c r="A16" s="7">
        <v>14</v>
      </c>
      <c r="B16" s="7" t="s">
        <v>41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</row>
    <row r="17" spans="1:34" x14ac:dyDescent="0.25">
      <c r="A17" s="7">
        <v>15</v>
      </c>
      <c r="B17" s="7" t="s">
        <v>42</v>
      </c>
      <c r="C17" s="7"/>
      <c r="D17" s="7"/>
      <c r="E17" s="7"/>
      <c r="F17" s="7"/>
      <c r="G17" s="7"/>
      <c r="H17" s="7"/>
      <c r="I17" s="7"/>
      <c r="J17" s="7"/>
      <c r="K17" s="7"/>
      <c r="L17" s="7">
        <v>4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4</v>
      </c>
    </row>
    <row r="18" spans="1:34" x14ac:dyDescent="0.25">
      <c r="A18" s="7">
        <v>16</v>
      </c>
      <c r="B18" s="7" t="s">
        <v>43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>
        <v>17</v>
      </c>
      <c r="B19" s="7" t="s">
        <v>44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>
        <v>1</v>
      </c>
      <c r="Y19" s="7"/>
      <c r="Z19" s="7"/>
      <c r="AA19" s="7"/>
      <c r="AB19" s="7"/>
      <c r="AC19" s="7"/>
      <c r="AD19" s="7"/>
      <c r="AE19" s="7"/>
      <c r="AF19" s="7"/>
      <c r="AG19" s="7"/>
      <c r="AH19" s="7">
        <f t="shared" si="0"/>
        <v>1</v>
      </c>
    </row>
    <row r="20" spans="1:34" x14ac:dyDescent="0.25">
      <c r="A20" s="7">
        <v>18</v>
      </c>
      <c r="B20" s="7" t="s">
        <v>45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</row>
    <row r="21" spans="1:34" x14ac:dyDescent="0.25">
      <c r="A21" s="7">
        <v>19</v>
      </c>
      <c r="B21" s="7" t="s">
        <v>46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</row>
    <row r="22" spans="1:34" x14ac:dyDescent="0.25">
      <c r="A22" s="7">
        <v>20</v>
      </c>
      <c r="B22" s="7" t="s">
        <v>7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3"/>
  <sheetViews>
    <sheetView showZeros="0" topLeftCell="A2" workbookViewId="0">
      <selection activeCell="AG5" sqref="AG5"/>
    </sheetView>
  </sheetViews>
  <sheetFormatPr defaultColWidth="8.85546875" defaultRowHeight="15" x14ac:dyDescent="0.25"/>
  <cols>
    <col min="1" max="1" width="6.5703125" style="10" customWidth="1"/>
    <col min="2" max="2" width="26.28515625" style="10" customWidth="1"/>
    <col min="3" max="34" width="5.28515625" style="10" customWidth="1"/>
    <col min="35" max="16384" width="8.85546875" style="10"/>
  </cols>
  <sheetData>
    <row r="1" spans="1:34" x14ac:dyDescent="0.25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 spans="1:34" x14ac:dyDescent="0.25">
      <c r="A2" s="30" t="s">
        <v>8</v>
      </c>
      <c r="B2" s="30" t="s">
        <v>9</v>
      </c>
      <c r="C2" s="30" t="s">
        <v>13</v>
      </c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 t="s">
        <v>5</v>
      </c>
    </row>
    <row r="3" spans="1:34" x14ac:dyDescent="0.25">
      <c r="A3" s="30"/>
      <c r="B3" s="30"/>
      <c r="C3" s="7">
        <v>1</v>
      </c>
      <c r="D3" s="7">
        <v>2</v>
      </c>
      <c r="E3" s="7">
        <v>3</v>
      </c>
      <c r="F3" s="7">
        <v>4</v>
      </c>
      <c r="G3" s="7">
        <v>5</v>
      </c>
      <c r="H3" s="7">
        <v>6</v>
      </c>
      <c r="I3" s="7">
        <v>7</v>
      </c>
      <c r="J3" s="7">
        <v>8</v>
      </c>
      <c r="K3" s="7">
        <v>9</v>
      </c>
      <c r="L3" s="7">
        <v>10</v>
      </c>
      <c r="M3" s="7">
        <v>11</v>
      </c>
      <c r="N3" s="7">
        <v>12</v>
      </c>
      <c r="O3" s="7">
        <v>13</v>
      </c>
      <c r="P3" s="7">
        <v>14</v>
      </c>
      <c r="Q3" s="7">
        <v>15</v>
      </c>
      <c r="R3" s="7">
        <v>16</v>
      </c>
      <c r="S3" s="7">
        <v>17</v>
      </c>
      <c r="T3" s="7">
        <v>18</v>
      </c>
      <c r="U3" s="7">
        <v>19</v>
      </c>
      <c r="V3" s="7">
        <v>20</v>
      </c>
      <c r="W3" s="7">
        <v>21</v>
      </c>
      <c r="X3" s="7">
        <v>22</v>
      </c>
      <c r="Y3" s="7">
        <v>23</v>
      </c>
      <c r="Z3" s="7">
        <v>24</v>
      </c>
      <c r="AA3" s="7">
        <v>25</v>
      </c>
      <c r="AB3" s="7">
        <v>26</v>
      </c>
      <c r="AC3" s="7">
        <v>27</v>
      </c>
      <c r="AD3" s="7">
        <v>28</v>
      </c>
      <c r="AE3" s="7">
        <v>29</v>
      </c>
      <c r="AF3" s="7">
        <v>30</v>
      </c>
      <c r="AG3" s="7">
        <v>31</v>
      </c>
      <c r="AH3" s="30"/>
    </row>
    <row r="4" spans="1:34" x14ac:dyDescent="0.25">
      <c r="A4" s="7">
        <v>1</v>
      </c>
      <c r="B4" s="7" t="s">
        <v>0</v>
      </c>
      <c r="C4" s="7"/>
      <c r="D4" s="7"/>
      <c r="E4" s="7"/>
      <c r="F4" s="7"/>
      <c r="G4" s="7"/>
      <c r="H4" s="7">
        <v>1</v>
      </c>
      <c r="I4" s="7"/>
      <c r="J4" s="7"/>
      <c r="K4" s="7">
        <v>36</v>
      </c>
      <c r="L4" s="7"/>
      <c r="M4" s="7"/>
      <c r="N4" s="7"/>
      <c r="O4" s="7">
        <v>5</v>
      </c>
      <c r="P4" s="7"/>
      <c r="Q4" s="7"/>
      <c r="R4" s="7"/>
      <c r="S4" s="7"/>
      <c r="T4" s="7"/>
      <c r="U4" s="7"/>
      <c r="V4" s="7">
        <v>8</v>
      </c>
      <c r="W4" s="7"/>
      <c r="X4" s="7">
        <v>8</v>
      </c>
      <c r="Y4" s="7"/>
      <c r="Z4" s="7"/>
      <c r="AA4" s="7"/>
      <c r="AB4" s="7"/>
      <c r="AC4" s="7"/>
      <c r="AD4" s="7"/>
      <c r="AE4" s="7"/>
      <c r="AF4" s="7">
        <v>10</v>
      </c>
      <c r="AG4" s="7"/>
      <c r="AH4" s="7">
        <f>SUM(C4:AG4)</f>
        <v>68</v>
      </c>
    </row>
    <row r="5" spans="1:34" x14ac:dyDescent="0.25">
      <c r="A5" s="7">
        <v>2</v>
      </c>
      <c r="B5" s="7" t="s">
        <v>1</v>
      </c>
      <c r="C5" s="7"/>
      <c r="D5" s="7"/>
      <c r="E5" s="7"/>
      <c r="F5" s="7"/>
      <c r="G5" s="7">
        <v>7</v>
      </c>
      <c r="H5" s="7">
        <v>16</v>
      </c>
      <c r="I5" s="7">
        <v>2</v>
      </c>
      <c r="J5" s="7"/>
      <c r="K5" s="7">
        <v>10</v>
      </c>
      <c r="L5" s="7"/>
      <c r="M5" s="7"/>
      <c r="N5" s="7">
        <v>10</v>
      </c>
      <c r="O5" s="7">
        <v>1</v>
      </c>
      <c r="P5" s="7">
        <v>20</v>
      </c>
      <c r="Q5" s="7">
        <v>3</v>
      </c>
      <c r="R5" s="7">
        <v>2</v>
      </c>
      <c r="S5" s="7"/>
      <c r="T5" s="7"/>
      <c r="U5" s="7">
        <v>14</v>
      </c>
      <c r="V5" s="7">
        <v>3</v>
      </c>
      <c r="W5" s="7">
        <v>5</v>
      </c>
      <c r="X5" s="7">
        <v>18</v>
      </c>
      <c r="Y5" s="7">
        <v>22</v>
      </c>
      <c r="Z5" s="7"/>
      <c r="AA5" s="7"/>
      <c r="AB5" s="7">
        <v>17</v>
      </c>
      <c r="AC5" s="7">
        <v>16</v>
      </c>
      <c r="AD5" s="7">
        <v>11</v>
      </c>
      <c r="AE5" s="7"/>
      <c r="AF5" s="7">
        <v>24</v>
      </c>
      <c r="AG5" s="7"/>
      <c r="AH5" s="7">
        <f t="shared" ref="AH5:AH18" si="0">SUM(C5:AG5)</f>
        <v>201</v>
      </c>
    </row>
    <row r="6" spans="1:34" x14ac:dyDescent="0.25">
      <c r="A6" s="7">
        <v>3</v>
      </c>
      <c r="B6" s="7" t="s">
        <v>30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4</v>
      </c>
      <c r="B7" s="7" t="s">
        <v>31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5</v>
      </c>
      <c r="B8" s="7" t="s">
        <v>32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33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34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35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36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37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38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39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40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0</v>
      </c>
    </row>
    <row r="17" spans="1:34" x14ac:dyDescent="0.25">
      <c r="A17" s="7">
        <v>15</v>
      </c>
      <c r="B17" s="7" t="s">
        <v>41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42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/>
      <c r="B19" s="7" t="s">
        <v>43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44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45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46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  <row r="23" spans="1:34" x14ac:dyDescent="0.25">
      <c r="A23" s="7"/>
      <c r="B23" s="7" t="s">
        <v>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10" customWidth="1"/>
    <col min="2" max="2" width="24.28515625" style="10" customWidth="1"/>
    <col min="3" max="34" width="5.28515625" style="10" customWidth="1"/>
    <col min="35" max="16384" width="8.85546875" style="10"/>
  </cols>
  <sheetData>
    <row r="1" spans="1:34" x14ac:dyDescent="0.25">
      <c r="A1" s="30" t="s">
        <v>8</v>
      </c>
      <c r="B1" s="30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30"/>
      <c r="B2" s="30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0"/>
    </row>
    <row r="3" spans="1:34" x14ac:dyDescent="0.25">
      <c r="A3" s="7">
        <v>1</v>
      </c>
      <c r="B3" s="7" t="s">
        <v>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0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 t="shared" ref="AH4:AH18" si="0">SUM(C4:AG4)</f>
        <v>0</v>
      </c>
    </row>
    <row r="5" spans="1:34" x14ac:dyDescent="0.25">
      <c r="A5" s="7">
        <v>3</v>
      </c>
      <c r="B5" s="7" t="s">
        <v>30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0</v>
      </c>
    </row>
    <row r="6" spans="1:34" x14ac:dyDescent="0.25">
      <c r="A6" s="7">
        <v>4</v>
      </c>
      <c r="B6" s="7" t="s">
        <v>31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5</v>
      </c>
      <c r="B7" s="7" t="s">
        <v>32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33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34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35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36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37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38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39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40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41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0</v>
      </c>
    </row>
    <row r="17" spans="1:34" x14ac:dyDescent="0.25">
      <c r="A17" s="7">
        <v>15</v>
      </c>
      <c r="B17" s="7" t="s">
        <v>42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43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/>
      <c r="B19" s="7" t="s">
        <v>44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45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46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7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48"/>
  <sheetViews>
    <sheetView topLeftCell="A10" workbookViewId="0">
      <selection activeCell="H28" sqref="H28"/>
    </sheetView>
  </sheetViews>
  <sheetFormatPr defaultRowHeight="15" x14ac:dyDescent="0.25"/>
  <cols>
    <col min="1" max="1" width="15.7109375" style="22" customWidth="1"/>
    <col min="2" max="2" width="20.7109375" style="22" customWidth="1"/>
    <col min="3" max="3" width="16.5703125" style="22" customWidth="1"/>
    <col min="4" max="5" width="15.7109375" style="22" customWidth="1"/>
    <col min="6" max="6" width="21.5703125" style="22" customWidth="1"/>
    <col min="7" max="7" width="28" style="17" customWidth="1"/>
    <col min="8" max="16384" width="9.140625" style="17"/>
  </cols>
  <sheetData>
    <row r="1" spans="1:8" x14ac:dyDescent="0.25">
      <c r="A1" s="14" t="s">
        <v>28</v>
      </c>
      <c r="B1" s="14" t="s">
        <v>27</v>
      </c>
      <c r="C1" s="14" t="s">
        <v>47</v>
      </c>
      <c r="D1" s="14" t="s">
        <v>0</v>
      </c>
      <c r="E1" s="14" t="s">
        <v>1</v>
      </c>
      <c r="F1" s="14" t="s">
        <v>26</v>
      </c>
      <c r="G1" s="15" t="s">
        <v>58</v>
      </c>
      <c r="H1" s="16"/>
    </row>
    <row r="2" spans="1:8" x14ac:dyDescent="0.25">
      <c r="A2" s="34">
        <v>46027</v>
      </c>
      <c r="B2" s="19" t="s">
        <v>25</v>
      </c>
      <c r="C2" s="19"/>
      <c r="D2" s="19"/>
      <c r="E2" s="19">
        <v>6</v>
      </c>
      <c r="F2" s="19" t="s">
        <v>22</v>
      </c>
      <c r="G2" s="20"/>
    </row>
    <row r="3" spans="1:8" x14ac:dyDescent="0.25">
      <c r="A3" s="35"/>
      <c r="B3" s="18" t="s">
        <v>18</v>
      </c>
      <c r="C3" s="18"/>
      <c r="D3" s="19">
        <v>32</v>
      </c>
      <c r="E3" s="19"/>
      <c r="F3" s="19" t="s">
        <v>17</v>
      </c>
      <c r="G3" s="20"/>
    </row>
    <row r="4" spans="1:8" x14ac:dyDescent="0.25">
      <c r="A4" s="35"/>
      <c r="B4" s="19" t="s">
        <v>24</v>
      </c>
      <c r="C4" s="19"/>
      <c r="D4" s="19"/>
      <c r="E4" s="19">
        <v>10</v>
      </c>
      <c r="F4" s="19" t="s">
        <v>19</v>
      </c>
      <c r="G4" s="20"/>
    </row>
    <row r="5" spans="1:8" x14ac:dyDescent="0.25">
      <c r="A5" s="35"/>
      <c r="B5" s="19" t="s">
        <v>23</v>
      </c>
      <c r="C5" s="19"/>
      <c r="D5" s="19"/>
      <c r="E5" s="19">
        <v>1</v>
      </c>
      <c r="F5" s="19" t="s">
        <v>22</v>
      </c>
      <c r="G5" s="20"/>
    </row>
    <row r="6" spans="1:8" x14ac:dyDescent="0.25">
      <c r="A6" s="34">
        <v>46028</v>
      </c>
      <c r="B6" s="19" t="s">
        <v>21</v>
      </c>
      <c r="C6" s="19"/>
      <c r="D6" s="19"/>
      <c r="E6" s="19">
        <v>6</v>
      </c>
      <c r="F6" s="19" t="s">
        <v>19</v>
      </c>
      <c r="G6" s="20"/>
    </row>
    <row r="7" spans="1:8" x14ac:dyDescent="0.25">
      <c r="A7" s="34"/>
      <c r="B7" s="19" t="s">
        <v>20</v>
      </c>
      <c r="C7" s="19"/>
      <c r="D7" s="19">
        <v>1</v>
      </c>
      <c r="E7" s="19"/>
      <c r="F7" s="19" t="s">
        <v>19</v>
      </c>
      <c r="G7" s="20"/>
    </row>
    <row r="8" spans="1:8" x14ac:dyDescent="0.25">
      <c r="A8" s="34">
        <v>46029</v>
      </c>
      <c r="B8" s="18" t="s">
        <v>18</v>
      </c>
      <c r="C8" s="18"/>
      <c r="D8" s="19">
        <v>4</v>
      </c>
      <c r="E8" s="19"/>
      <c r="F8" s="19" t="s">
        <v>17</v>
      </c>
      <c r="G8" s="20"/>
    </row>
    <row r="9" spans="1:8" x14ac:dyDescent="0.25">
      <c r="A9" s="34"/>
      <c r="B9" s="19" t="s">
        <v>16</v>
      </c>
      <c r="C9" s="19"/>
      <c r="D9" s="19"/>
      <c r="E9" s="19">
        <v>2</v>
      </c>
      <c r="F9" s="19" t="s">
        <v>15</v>
      </c>
      <c r="G9" s="20"/>
    </row>
    <row r="10" spans="1:8" x14ac:dyDescent="0.25">
      <c r="A10" s="18">
        <v>46030</v>
      </c>
      <c r="B10" s="19" t="s">
        <v>29</v>
      </c>
      <c r="C10" s="19"/>
      <c r="D10" s="19"/>
      <c r="E10" s="19">
        <v>10</v>
      </c>
      <c r="F10" s="19" t="s">
        <v>17</v>
      </c>
      <c r="G10" s="20"/>
    </row>
    <row r="11" spans="1:8" x14ac:dyDescent="0.25">
      <c r="A11" s="18">
        <v>46031</v>
      </c>
      <c r="B11" s="19" t="s">
        <v>25</v>
      </c>
      <c r="C11" s="19"/>
      <c r="D11" s="21"/>
      <c r="E11" s="21">
        <v>3</v>
      </c>
      <c r="F11" s="21" t="s">
        <v>50</v>
      </c>
      <c r="G11" s="20"/>
    </row>
    <row r="12" spans="1:8" x14ac:dyDescent="0.25">
      <c r="A12" s="18">
        <v>46034</v>
      </c>
      <c r="B12" s="19" t="s">
        <v>29</v>
      </c>
      <c r="C12" s="19"/>
      <c r="D12" s="19"/>
      <c r="E12" s="19">
        <v>10</v>
      </c>
      <c r="F12" s="19" t="s">
        <v>49</v>
      </c>
      <c r="G12" s="20"/>
    </row>
    <row r="13" spans="1:8" x14ac:dyDescent="0.25">
      <c r="A13" s="34">
        <v>46035</v>
      </c>
      <c r="B13" s="19" t="s">
        <v>51</v>
      </c>
      <c r="C13" s="19"/>
      <c r="D13" s="19">
        <v>5</v>
      </c>
      <c r="E13" s="19"/>
      <c r="F13" s="19" t="s">
        <v>52</v>
      </c>
      <c r="G13" s="20"/>
    </row>
    <row r="14" spans="1:8" x14ac:dyDescent="0.25">
      <c r="A14" s="34"/>
      <c r="B14" s="19" t="s">
        <v>23</v>
      </c>
      <c r="C14" s="19"/>
      <c r="D14" s="19"/>
      <c r="E14" s="19">
        <v>1</v>
      </c>
      <c r="F14" s="19" t="s">
        <v>52</v>
      </c>
      <c r="G14" s="20"/>
    </row>
    <row r="15" spans="1:8" x14ac:dyDescent="0.25">
      <c r="A15" s="34">
        <v>46036</v>
      </c>
      <c r="B15" s="19" t="s">
        <v>53</v>
      </c>
      <c r="C15" s="19"/>
      <c r="D15" s="19"/>
      <c r="E15" s="19">
        <v>10</v>
      </c>
      <c r="F15" s="19" t="s">
        <v>55</v>
      </c>
      <c r="G15" s="20"/>
    </row>
    <row r="16" spans="1:8" ht="30" x14ac:dyDescent="0.25">
      <c r="A16" s="34"/>
      <c r="B16" s="19" t="s">
        <v>54</v>
      </c>
      <c r="C16" s="19"/>
      <c r="D16" s="19"/>
      <c r="E16" s="19">
        <v>10</v>
      </c>
      <c r="F16" s="19" t="s">
        <v>55</v>
      </c>
      <c r="G16" s="20"/>
    </row>
    <row r="17" spans="1:7" x14ac:dyDescent="0.25">
      <c r="A17" s="32">
        <v>46037</v>
      </c>
      <c r="B17" s="19" t="s">
        <v>56</v>
      </c>
      <c r="C17" s="19"/>
      <c r="D17" s="19"/>
      <c r="E17" s="19">
        <v>3</v>
      </c>
      <c r="F17" s="19" t="s">
        <v>57</v>
      </c>
      <c r="G17" s="20"/>
    </row>
    <row r="18" spans="1:7" ht="30" x14ac:dyDescent="0.25">
      <c r="A18" s="33"/>
      <c r="B18" s="19" t="s">
        <v>29</v>
      </c>
      <c r="C18" s="19">
        <v>16</v>
      </c>
      <c r="D18" s="19"/>
      <c r="E18" s="19"/>
      <c r="F18" s="19" t="s">
        <v>59</v>
      </c>
      <c r="G18" s="20" t="s">
        <v>60</v>
      </c>
    </row>
    <row r="19" spans="1:7" x14ac:dyDescent="0.25">
      <c r="A19" s="18">
        <v>46038</v>
      </c>
      <c r="B19" s="19" t="s">
        <v>61</v>
      </c>
      <c r="C19" s="19"/>
      <c r="D19" s="19"/>
      <c r="E19" s="19">
        <v>2</v>
      </c>
      <c r="F19" s="19" t="s">
        <v>62</v>
      </c>
      <c r="G19" s="20"/>
    </row>
    <row r="20" spans="1:7" x14ac:dyDescent="0.25">
      <c r="A20" s="32">
        <v>46041</v>
      </c>
      <c r="B20" s="19" t="s">
        <v>29</v>
      </c>
      <c r="C20" s="19"/>
      <c r="D20" s="19"/>
      <c r="E20" s="19">
        <v>10</v>
      </c>
      <c r="F20" s="19" t="s">
        <v>64</v>
      </c>
      <c r="G20" s="20"/>
    </row>
    <row r="21" spans="1:7" x14ac:dyDescent="0.25">
      <c r="A21" s="36"/>
      <c r="B21" s="19" t="s">
        <v>63</v>
      </c>
      <c r="C21" s="19"/>
      <c r="D21" s="19"/>
      <c r="E21" s="19">
        <v>1</v>
      </c>
      <c r="F21" s="19" t="s">
        <v>64</v>
      </c>
      <c r="G21" s="20"/>
    </row>
    <row r="22" spans="1:7" x14ac:dyDescent="0.25">
      <c r="A22" s="36"/>
      <c r="B22" s="19" t="s">
        <v>23</v>
      </c>
      <c r="C22" s="19"/>
      <c r="D22" s="19"/>
      <c r="E22" s="19">
        <v>1</v>
      </c>
      <c r="F22" s="19" t="s">
        <v>64</v>
      </c>
      <c r="G22" s="20"/>
    </row>
    <row r="23" spans="1:7" x14ac:dyDescent="0.25">
      <c r="A23" s="33"/>
      <c r="B23" s="19" t="s">
        <v>65</v>
      </c>
      <c r="C23" s="19"/>
      <c r="D23" s="19"/>
      <c r="E23" s="19">
        <v>2</v>
      </c>
      <c r="F23" s="19" t="s">
        <v>64</v>
      </c>
      <c r="G23" s="20"/>
    </row>
    <row r="24" spans="1:7" x14ac:dyDescent="0.25">
      <c r="A24" s="32">
        <v>46042</v>
      </c>
      <c r="B24" s="19" t="s">
        <v>66</v>
      </c>
      <c r="C24" s="19"/>
      <c r="D24" s="19"/>
      <c r="E24" s="19">
        <v>8</v>
      </c>
      <c r="F24" s="19" t="s">
        <v>68</v>
      </c>
      <c r="G24" s="20"/>
    </row>
    <row r="25" spans="1:7" x14ac:dyDescent="0.25">
      <c r="A25" s="36"/>
      <c r="B25" s="19" t="s">
        <v>16</v>
      </c>
      <c r="C25" s="19"/>
      <c r="D25" s="19"/>
      <c r="E25" s="19">
        <v>2</v>
      </c>
      <c r="F25" s="19" t="s">
        <v>68</v>
      </c>
      <c r="G25" s="20"/>
    </row>
    <row r="26" spans="1:7" x14ac:dyDescent="0.25">
      <c r="A26" s="33"/>
      <c r="B26" s="19" t="s">
        <v>67</v>
      </c>
      <c r="C26" s="19"/>
      <c r="D26" s="19"/>
      <c r="E26" s="19">
        <v>1</v>
      </c>
      <c r="F26" s="19" t="s">
        <v>68</v>
      </c>
      <c r="G26" s="20"/>
    </row>
    <row r="27" spans="1:7" x14ac:dyDescent="0.25">
      <c r="A27" s="34">
        <v>46043</v>
      </c>
      <c r="B27" s="19" t="s">
        <v>25</v>
      </c>
      <c r="C27" s="19"/>
      <c r="D27" s="19"/>
      <c r="E27" s="19">
        <v>4</v>
      </c>
      <c r="F27" s="19" t="s">
        <v>70</v>
      </c>
      <c r="G27" s="20"/>
    </row>
    <row r="28" spans="1:7" x14ac:dyDescent="0.25">
      <c r="A28" s="34"/>
      <c r="B28" s="19" t="s">
        <v>69</v>
      </c>
      <c r="C28" s="19"/>
      <c r="D28" s="19"/>
      <c r="E28" s="19">
        <v>1</v>
      </c>
      <c r="F28" s="19" t="s">
        <v>70</v>
      </c>
      <c r="G28" s="20"/>
    </row>
    <row r="29" spans="1:7" x14ac:dyDescent="0.25">
      <c r="A29" s="18">
        <v>46044</v>
      </c>
      <c r="B29" s="19" t="s">
        <v>66</v>
      </c>
      <c r="C29" s="19"/>
      <c r="D29" s="19">
        <v>8</v>
      </c>
      <c r="E29" s="19">
        <v>18</v>
      </c>
      <c r="F29" s="19" t="s">
        <v>71</v>
      </c>
      <c r="G29" s="20"/>
    </row>
    <row r="30" spans="1:7" x14ac:dyDescent="0.25">
      <c r="A30" s="32">
        <v>46045</v>
      </c>
      <c r="B30" s="19" t="s">
        <v>72</v>
      </c>
      <c r="C30" s="19"/>
      <c r="D30" s="19"/>
      <c r="E30" s="19">
        <v>12</v>
      </c>
      <c r="F30" s="19" t="s">
        <v>73</v>
      </c>
      <c r="G30" s="20"/>
    </row>
    <row r="31" spans="1:7" x14ac:dyDescent="0.25">
      <c r="A31" s="33"/>
      <c r="B31" s="19" t="s">
        <v>29</v>
      </c>
      <c r="C31" s="19"/>
      <c r="D31" s="19"/>
      <c r="E31" s="19">
        <v>10</v>
      </c>
      <c r="F31" s="19" t="s">
        <v>73</v>
      </c>
      <c r="G31" s="20"/>
    </row>
    <row r="32" spans="1:7" x14ac:dyDescent="0.25">
      <c r="A32" s="32">
        <v>46048</v>
      </c>
      <c r="B32" s="19" t="s">
        <v>16</v>
      </c>
      <c r="C32" s="19"/>
      <c r="D32" s="19"/>
      <c r="E32" s="19">
        <v>3</v>
      </c>
      <c r="F32" s="19" t="s">
        <v>74</v>
      </c>
      <c r="G32" s="20"/>
    </row>
    <row r="33" spans="1:7" x14ac:dyDescent="0.25">
      <c r="A33" s="36"/>
      <c r="B33" s="19" t="s">
        <v>75</v>
      </c>
      <c r="C33" s="19"/>
      <c r="D33" s="19"/>
      <c r="E33" s="19">
        <v>2</v>
      </c>
      <c r="F33" s="19" t="s">
        <v>74</v>
      </c>
      <c r="G33" s="20"/>
    </row>
    <row r="34" spans="1:7" x14ac:dyDescent="0.25">
      <c r="A34" s="33"/>
      <c r="B34" s="19" t="s">
        <v>53</v>
      </c>
      <c r="C34" s="19"/>
      <c r="D34" s="19"/>
      <c r="E34" s="19">
        <v>12</v>
      </c>
      <c r="F34" s="19" t="s">
        <v>74</v>
      </c>
      <c r="G34" s="20"/>
    </row>
    <row r="35" spans="1:7" x14ac:dyDescent="0.25">
      <c r="A35" s="34">
        <v>46049</v>
      </c>
      <c r="B35" s="19" t="s">
        <v>51</v>
      </c>
      <c r="C35" s="19"/>
      <c r="D35" s="19"/>
      <c r="E35" s="19">
        <v>6</v>
      </c>
      <c r="F35" s="19" t="s">
        <v>76</v>
      </c>
      <c r="G35" s="20"/>
    </row>
    <row r="36" spans="1:7" x14ac:dyDescent="0.25">
      <c r="A36" s="34"/>
      <c r="B36" s="19" t="s">
        <v>29</v>
      </c>
      <c r="C36" s="19"/>
      <c r="D36" s="19"/>
      <c r="E36" s="19">
        <v>10</v>
      </c>
      <c r="F36" s="19" t="s">
        <v>76</v>
      </c>
      <c r="G36" s="20"/>
    </row>
    <row r="37" spans="1:7" x14ac:dyDescent="0.25">
      <c r="A37" s="32">
        <v>46050</v>
      </c>
      <c r="B37" s="19" t="s">
        <v>24</v>
      </c>
      <c r="C37" s="19"/>
      <c r="D37" s="19"/>
      <c r="E37" s="19">
        <v>5</v>
      </c>
      <c r="F37" s="19" t="s">
        <v>78</v>
      </c>
      <c r="G37" s="20"/>
    </row>
    <row r="38" spans="1:7" x14ac:dyDescent="0.25">
      <c r="A38" s="33"/>
      <c r="B38" s="19" t="s">
        <v>77</v>
      </c>
      <c r="C38" s="19"/>
      <c r="D38" s="19"/>
      <c r="E38" s="19">
        <v>6</v>
      </c>
      <c r="F38" s="19" t="s">
        <v>78</v>
      </c>
      <c r="G38" s="20"/>
    </row>
    <row r="39" spans="1:7" x14ac:dyDescent="0.25">
      <c r="A39" s="32">
        <v>46052</v>
      </c>
      <c r="B39" s="19" t="s">
        <v>66</v>
      </c>
      <c r="C39" s="19"/>
      <c r="D39" s="19">
        <v>8</v>
      </c>
      <c r="E39" s="19">
        <v>18</v>
      </c>
      <c r="F39" s="19" t="s">
        <v>80</v>
      </c>
      <c r="G39" s="20"/>
    </row>
    <row r="40" spans="1:7" x14ac:dyDescent="0.25">
      <c r="A40" s="36"/>
      <c r="B40" s="19" t="s">
        <v>25</v>
      </c>
      <c r="C40" s="19"/>
      <c r="D40" s="19">
        <v>1</v>
      </c>
      <c r="E40" s="19">
        <v>6</v>
      </c>
      <c r="F40" s="19" t="s">
        <v>80</v>
      </c>
      <c r="G40" s="20"/>
    </row>
    <row r="41" spans="1:7" x14ac:dyDescent="0.25">
      <c r="A41" s="33"/>
      <c r="B41" s="19" t="s">
        <v>79</v>
      </c>
      <c r="C41" s="19"/>
      <c r="D41" s="19">
        <v>1</v>
      </c>
      <c r="E41" s="19"/>
      <c r="F41" s="19" t="s">
        <v>80</v>
      </c>
      <c r="G41" s="20"/>
    </row>
    <row r="42" spans="1:7" x14ac:dyDescent="0.25">
      <c r="A42" s="19"/>
      <c r="B42" s="19"/>
      <c r="C42" s="19"/>
      <c r="D42" s="19"/>
      <c r="E42" s="19"/>
      <c r="F42" s="19"/>
      <c r="G42" s="20"/>
    </row>
    <row r="43" spans="1:7" x14ac:dyDescent="0.25">
      <c r="A43" s="19"/>
      <c r="B43" s="19"/>
      <c r="C43" s="19"/>
      <c r="D43" s="19"/>
      <c r="E43" s="19"/>
      <c r="F43" s="19"/>
      <c r="G43" s="20"/>
    </row>
    <row r="44" spans="1:7" x14ac:dyDescent="0.25">
      <c r="A44" s="19"/>
      <c r="B44" s="19"/>
      <c r="C44" s="19"/>
      <c r="D44" s="19"/>
      <c r="E44" s="19"/>
      <c r="F44" s="19"/>
      <c r="G44" s="20"/>
    </row>
    <row r="45" spans="1:7" x14ac:dyDescent="0.25">
      <c r="A45" s="19"/>
      <c r="B45" s="19"/>
      <c r="C45" s="19"/>
      <c r="D45" s="19"/>
      <c r="E45" s="19"/>
      <c r="F45" s="19"/>
      <c r="G45" s="20"/>
    </row>
    <row r="46" spans="1:7" x14ac:dyDescent="0.25">
      <c r="A46" s="19"/>
      <c r="B46" s="19"/>
      <c r="C46" s="19"/>
      <c r="D46" s="19"/>
      <c r="E46" s="19"/>
      <c r="F46" s="19"/>
      <c r="G46" s="20"/>
    </row>
    <row r="47" spans="1:7" x14ac:dyDescent="0.25">
      <c r="A47" s="19"/>
      <c r="B47" s="19"/>
      <c r="C47" s="19"/>
      <c r="D47" s="19"/>
      <c r="E47" s="19"/>
      <c r="F47" s="19"/>
      <c r="G47" s="20"/>
    </row>
    <row r="48" spans="1:7" x14ac:dyDescent="0.25">
      <c r="A48" s="19"/>
      <c r="B48" s="19"/>
      <c r="C48" s="19"/>
      <c r="D48" s="19"/>
      <c r="E48" s="19"/>
      <c r="F48" s="19"/>
      <c r="G48" s="20"/>
    </row>
  </sheetData>
  <autoFilter ref="A1:F7" xr:uid="{171653DB-B967-4059-9CE3-FD13B7B63DBC}"/>
  <mergeCells count="14">
    <mergeCell ref="A39:A41"/>
    <mergeCell ref="A37:A38"/>
    <mergeCell ref="A35:A36"/>
    <mergeCell ref="A17:A18"/>
    <mergeCell ref="A2:A5"/>
    <mergeCell ref="A6:A7"/>
    <mergeCell ref="A8:A9"/>
    <mergeCell ref="A13:A14"/>
    <mergeCell ref="A15:A16"/>
    <mergeCell ref="A32:A34"/>
    <mergeCell ref="A30:A31"/>
    <mergeCell ref="A27:A28"/>
    <mergeCell ref="A24:A26"/>
    <mergeCell ref="A20:A23"/>
  </mergeCells>
  <conditionalFormatting sqref="D2:F999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19"/>
  <sheetViews>
    <sheetView showZeros="0" zoomScale="145" zoomScaleNormal="145" workbookViewId="0">
      <selection activeCell="J5" sqref="J5"/>
    </sheetView>
  </sheetViews>
  <sheetFormatPr defaultRowHeight="15" x14ac:dyDescent="0.25"/>
  <cols>
    <col min="2" max="2" width="27.5703125" customWidth="1"/>
    <col min="4" max="4" width="10.140625" bestFit="1" customWidth="1"/>
    <col min="8" max="8" width="16.28515625" customWidth="1"/>
  </cols>
  <sheetData>
    <row r="1" spans="1:8" ht="15.75" x14ac:dyDescent="0.25">
      <c r="A1" s="23" t="s">
        <v>14</v>
      </c>
      <c r="B1" s="24"/>
      <c r="C1" s="24"/>
      <c r="D1" s="24"/>
      <c r="E1" s="24"/>
      <c r="F1" s="24"/>
      <c r="G1" s="24"/>
      <c r="H1" s="25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v>7</v>
      </c>
      <c r="D3" s="4">
        <f>SUM('Nhập xuất tồn'!D3)</f>
        <v>64</v>
      </c>
      <c r="E3" s="4">
        <f>SUM('Nhập xuất tồn'!E3)</f>
        <v>68</v>
      </c>
      <c r="F3" s="4">
        <f>SUM(C3+D3-E3)</f>
        <v>3</v>
      </c>
      <c r="G3" s="6">
        <v>1</v>
      </c>
      <c r="H3" s="4">
        <f>SUM(F3-G3)</f>
        <v>2</v>
      </c>
    </row>
    <row r="4" spans="1:8" x14ac:dyDescent="0.25">
      <c r="A4" s="4">
        <v>2</v>
      </c>
      <c r="B4" s="4" t="s">
        <v>1</v>
      </c>
      <c r="C4" s="4">
        <v>144</v>
      </c>
      <c r="D4" s="4">
        <f>SUM('Nhập xuất tồn'!D4)</f>
        <v>144</v>
      </c>
      <c r="E4" s="4">
        <f>SUM('Nhập xuất tồn'!E4)</f>
        <v>201</v>
      </c>
      <c r="F4" s="4">
        <f>SUM(C4+D4-E4)</f>
        <v>87</v>
      </c>
      <c r="G4" s="6">
        <v>16</v>
      </c>
      <c r="H4" s="4">
        <f>SUM(F4-G4)</f>
        <v>71</v>
      </c>
    </row>
    <row r="5" spans="1:8" x14ac:dyDescent="0.25">
      <c r="A5" s="4">
        <v>3</v>
      </c>
      <c r="B5" s="4" t="s">
        <v>30</v>
      </c>
      <c r="C5" s="4">
        <v>0</v>
      </c>
      <c r="D5" s="4">
        <f>Nhập!AH5</f>
        <v>4</v>
      </c>
      <c r="E5" s="4">
        <f>Xuất!AH6+Huỷ!AH5</f>
        <v>0</v>
      </c>
      <c r="F5" s="4">
        <f t="shared" ref="F5:F16" si="0">C5+D5-E5</f>
        <v>4</v>
      </c>
      <c r="G5" s="6">
        <v>0</v>
      </c>
      <c r="H5" s="4">
        <f>SUM(F5-G5)</f>
        <v>4</v>
      </c>
    </row>
    <row r="6" spans="1:8" x14ac:dyDescent="0.25">
      <c r="A6" s="4">
        <v>4</v>
      </c>
      <c r="B6" s="4" t="s">
        <v>31</v>
      </c>
      <c r="C6" s="4">
        <v>0</v>
      </c>
      <c r="D6" s="4">
        <f>Nhập!AH6</f>
        <v>4</v>
      </c>
      <c r="E6" s="4">
        <f>Xuất!AH6</f>
        <v>0</v>
      </c>
      <c r="F6" s="4">
        <f t="shared" si="0"/>
        <v>4</v>
      </c>
      <c r="G6" s="6">
        <v>0</v>
      </c>
      <c r="H6" s="4">
        <f>SUM(F6-G6)</f>
        <v>4</v>
      </c>
    </row>
    <row r="7" spans="1:8" x14ac:dyDescent="0.25">
      <c r="A7" s="4">
        <v>5</v>
      </c>
      <c r="B7" s="4" t="s">
        <v>47</v>
      </c>
      <c r="C7" s="4">
        <v>0</v>
      </c>
      <c r="D7" s="4">
        <f>SUM('Nhập xuất tồn'!D7,'Nhập xuất tồn'!D8,'Nhập xuất tồn'!D9,'Nhập xuất tồn'!D12,'Nhập xuất tồn'!D14)</f>
        <v>16</v>
      </c>
      <c r="E7" s="4">
        <f>Xuất!AH7</f>
        <v>0</v>
      </c>
      <c r="F7" s="4">
        <f t="shared" si="0"/>
        <v>16</v>
      </c>
      <c r="G7" s="6">
        <v>0</v>
      </c>
      <c r="H7" s="4">
        <f t="shared" ref="H7:H17" si="1">SUM(F7-G7)</f>
        <v>16</v>
      </c>
    </row>
    <row r="8" spans="1:8" x14ac:dyDescent="0.25">
      <c r="A8" s="4">
        <v>6</v>
      </c>
      <c r="B8" s="4" t="s">
        <v>48</v>
      </c>
      <c r="C8" s="4">
        <v>0</v>
      </c>
      <c r="D8" s="4">
        <f>SUM('Nhập xuất tồn'!D13,'Nhập xuất tồn'!D15)</f>
        <v>3</v>
      </c>
      <c r="E8" s="4">
        <f>Xuất!AH8</f>
        <v>0</v>
      </c>
      <c r="F8" s="4">
        <f t="shared" si="0"/>
        <v>3</v>
      </c>
      <c r="G8" s="6">
        <v>0</v>
      </c>
      <c r="H8" s="4">
        <f t="shared" si="1"/>
        <v>3</v>
      </c>
    </row>
    <row r="9" spans="1:8" x14ac:dyDescent="0.25">
      <c r="A9" s="4">
        <v>7</v>
      </c>
      <c r="B9" s="4" t="s">
        <v>35</v>
      </c>
      <c r="C9" s="4">
        <v>0</v>
      </c>
      <c r="D9" s="4">
        <f>SUM('Nhập xuất tồn'!D10)</f>
        <v>8</v>
      </c>
      <c r="E9" s="4">
        <f>Xuất!AH9</f>
        <v>0</v>
      </c>
      <c r="F9" s="4">
        <f t="shared" si="0"/>
        <v>8</v>
      </c>
      <c r="G9" s="6">
        <v>0</v>
      </c>
      <c r="H9" s="4">
        <f t="shared" si="1"/>
        <v>8</v>
      </c>
    </row>
    <row r="10" spans="1:8" x14ac:dyDescent="0.25">
      <c r="A10" s="4">
        <v>8</v>
      </c>
      <c r="B10" s="4" t="s">
        <v>36</v>
      </c>
      <c r="C10" s="4">
        <v>0</v>
      </c>
      <c r="D10" s="4">
        <f>SUM('Nhập xuất tồn'!D11)</f>
        <v>0</v>
      </c>
      <c r="E10" s="4">
        <f>Xuất!AH10</f>
        <v>0</v>
      </c>
      <c r="F10" s="4">
        <f t="shared" si="0"/>
        <v>0</v>
      </c>
      <c r="G10" s="6">
        <v>0</v>
      </c>
      <c r="H10" s="4">
        <f t="shared" si="1"/>
        <v>0</v>
      </c>
    </row>
    <row r="11" spans="1:8" x14ac:dyDescent="0.25">
      <c r="A11" s="4">
        <v>14</v>
      </c>
      <c r="B11" s="4" t="s">
        <v>41</v>
      </c>
      <c r="C11" s="4"/>
      <c r="D11" s="4">
        <f>SUM('Nhập xuất tồn'!D16)</f>
        <v>0</v>
      </c>
      <c r="E11" s="4">
        <f>Xuất!AH16</f>
        <v>0</v>
      </c>
      <c r="F11" s="4">
        <f t="shared" si="0"/>
        <v>0</v>
      </c>
      <c r="G11" s="6"/>
      <c r="H11" s="4">
        <f t="shared" si="1"/>
        <v>0</v>
      </c>
    </row>
    <row r="12" spans="1:8" x14ac:dyDescent="0.25">
      <c r="A12" s="4">
        <v>15</v>
      </c>
      <c r="B12" s="4" t="s">
        <v>42</v>
      </c>
      <c r="C12" s="4"/>
      <c r="D12" s="4">
        <f>Nhập!AH17</f>
        <v>4</v>
      </c>
      <c r="E12" s="4">
        <f>Xuất!AH17</f>
        <v>0</v>
      </c>
      <c r="F12" s="4">
        <f t="shared" si="0"/>
        <v>4</v>
      </c>
      <c r="G12" s="6"/>
      <c r="H12" s="4">
        <f t="shared" si="1"/>
        <v>4</v>
      </c>
    </row>
    <row r="13" spans="1:8" x14ac:dyDescent="0.25">
      <c r="A13" s="4">
        <v>16</v>
      </c>
      <c r="B13" s="4" t="s">
        <v>43</v>
      </c>
      <c r="C13" s="4"/>
      <c r="D13" s="4">
        <f>Nhập!AH18</f>
        <v>0</v>
      </c>
      <c r="E13" s="4">
        <f>Xuất!AH18</f>
        <v>0</v>
      </c>
      <c r="F13" s="4">
        <f t="shared" si="0"/>
        <v>0</v>
      </c>
      <c r="G13" s="6"/>
      <c r="H13" s="4">
        <f t="shared" si="1"/>
        <v>0</v>
      </c>
    </row>
    <row r="14" spans="1:8" x14ac:dyDescent="0.25">
      <c r="A14" s="4">
        <v>17</v>
      </c>
      <c r="B14" s="4" t="s">
        <v>44</v>
      </c>
      <c r="C14" s="4"/>
      <c r="D14" s="4">
        <f>Nhập!AH19</f>
        <v>1</v>
      </c>
      <c r="E14" s="4">
        <f>Xuất!AH19</f>
        <v>0</v>
      </c>
      <c r="F14" s="4">
        <f t="shared" si="0"/>
        <v>1</v>
      </c>
      <c r="G14" s="6"/>
      <c r="H14" s="4">
        <f t="shared" si="1"/>
        <v>1</v>
      </c>
    </row>
    <row r="15" spans="1:8" x14ac:dyDescent="0.25">
      <c r="A15" s="4">
        <v>18</v>
      </c>
      <c r="B15" s="4" t="s">
        <v>45</v>
      </c>
      <c r="C15" s="4"/>
      <c r="D15" s="4">
        <f>Nhập!AH20</f>
        <v>0</v>
      </c>
      <c r="E15" s="4">
        <f>Xuất!AH20</f>
        <v>0</v>
      </c>
      <c r="F15" s="4">
        <f t="shared" si="0"/>
        <v>0</v>
      </c>
      <c r="G15" s="6"/>
      <c r="H15" s="4">
        <f t="shared" si="1"/>
        <v>0</v>
      </c>
    </row>
    <row r="16" spans="1:8" x14ac:dyDescent="0.25">
      <c r="A16" s="4">
        <v>19</v>
      </c>
      <c r="B16" s="4" t="s">
        <v>46</v>
      </c>
      <c r="C16" s="4">
        <v>0</v>
      </c>
      <c r="D16" s="4">
        <f>Nhập!AH21</f>
        <v>0</v>
      </c>
      <c r="E16" s="4">
        <f>Xuất!AH21</f>
        <v>0</v>
      </c>
      <c r="F16" s="4">
        <f t="shared" si="0"/>
        <v>0</v>
      </c>
      <c r="G16" s="6">
        <v>0</v>
      </c>
      <c r="H16" s="4">
        <f t="shared" si="1"/>
        <v>0</v>
      </c>
    </row>
    <row r="17" spans="1:8" x14ac:dyDescent="0.25">
      <c r="A17" s="4">
        <v>20</v>
      </c>
      <c r="B17" s="4" t="s">
        <v>7</v>
      </c>
      <c r="C17" s="4">
        <f>SUM('Nhập xuất tồn'!C22)</f>
        <v>6</v>
      </c>
      <c r="D17" s="4">
        <f>Nhập!AH22</f>
        <v>0</v>
      </c>
      <c r="E17" s="4">
        <f>Xuất!AH22</f>
        <v>0</v>
      </c>
      <c r="F17" s="4">
        <f>SUM(C17+D17-E17)</f>
        <v>6</v>
      </c>
      <c r="G17" s="6">
        <v>0</v>
      </c>
      <c r="H17" s="4">
        <f t="shared" si="1"/>
        <v>6</v>
      </c>
    </row>
    <row r="18" spans="1:8" x14ac:dyDescent="0.25">
      <c r="A18" s="37" t="s">
        <v>5</v>
      </c>
      <c r="B18" s="37"/>
      <c r="C18" s="12">
        <f>SUM(C3:C17)</f>
        <v>157</v>
      </c>
      <c r="D18" s="12">
        <f t="shared" ref="D18:F18" si="2">SUM(D3:D17)</f>
        <v>248</v>
      </c>
      <c r="E18" s="12">
        <f t="shared" si="2"/>
        <v>269</v>
      </c>
      <c r="F18" s="12">
        <f t="shared" si="2"/>
        <v>136</v>
      </c>
      <c r="G18" s="13">
        <f t="shared" ref="G18" si="3">SUM(G3:G17)</f>
        <v>17</v>
      </c>
      <c r="H18" s="12">
        <f t="shared" ref="H18" si="4">SUM(H3:H17)</f>
        <v>119</v>
      </c>
    </row>
    <row r="19" spans="1:8" x14ac:dyDescent="0.25">
      <c r="F19" s="11"/>
    </row>
  </sheetData>
  <mergeCells count="2">
    <mergeCell ref="A1:H1"/>
    <mergeCell ref="A18:B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2026-02-02T04:40:21Z</dcterms:modified>
</cp:coreProperties>
</file>