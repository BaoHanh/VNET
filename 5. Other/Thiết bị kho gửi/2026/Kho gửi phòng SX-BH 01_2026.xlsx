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DD86A1A2-5DF5-4F5B-9403-226982B7C767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1" l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H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8" i="1"/>
  <c r="F8" i="1" s="1"/>
  <c r="H8" i="1" s="1"/>
  <c r="F8" i="6"/>
  <c r="D3" i="6" l="1"/>
  <c r="D23" i="1"/>
  <c r="D18" i="6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<sst xmlns="http://schemas.openxmlformats.org/spreadsheetml/2006/main" count="191" uniqueCount="72">
  <si>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</si>
  <si>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</si>
  <si>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</si>
  <si>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</si>
  <si>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</si>
  <si>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</si>
  <si>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</si>
  <si>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</si>
  <si>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</si>
  <si>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</si>
  <si>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</si>
  <si>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</si>
  <si>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</si>
  <si>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</si>
  <si>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</si>
  <si>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</si>
  <si>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</si>
  <si>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</si>
  <si>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</si>
  <si>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</si>
  <si>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</si>
  <si>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</si>
  <si>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</si>
  <si>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</si>
  <si>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</si>
  <si>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</si>
  <si>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</si>
  <si>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</si>
  <si>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</si>
  <si>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</si>
  <si>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</si>
  <si>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</si>
  <si>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</si>
  <si>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</si>
  <si>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</si>
  <si>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</si>
  <si>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</si>
  <si>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</si>
  <si>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</si>
  <si>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</si>
  <si>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</si>
  <si>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</si>
  <si>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</si>
  <si>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</si>
  <si>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</si>
  <si>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</si>
  <si>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</si>
  <si>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</si>
  <si>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</si>
  <si>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</si>
  <si>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</si>
  <si>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</si>
  <si>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</si>
  <si>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</si>
  <si>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</si>
  <si>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</si>
  <si>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</si>
  <si>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</si>
  <si>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</si>
  <si>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</si>
  <si>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</si>
  <si>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</si>
  <si>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</si>
  <si>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</si>
  <si>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</si>
  <si>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</si>
  <si>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</si>
  <si>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</si>
  <si>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</si>
  <si>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Anh Dân Thái Bình</t>
  </si>
  <si>
    <t>Đã trả (21/01/26)</t>
  </si>
  <si>
    <t>Đã trả (22/01/26)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</si>
</sst>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opLeftCell="A7" zoomScale="115" zoomScaleNormal="115" workbookViewId="0">
      <selection activeCell="J18" sqref="J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58</v>
      </c>
      <c r="F3" s="4">
        <f>C3+D3-E3</f>
        <v>13</v>
      </c>
      <c r="G3" s="6">
        <v>1</v>
      </c>
      <c r="H3" s="4">
        <f>F3-G3</f>
        <v>12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111</v>
      </c>
      <c r="F4" s="4">
        <f>C4+D4-E4</f>
        <v>33</v>
      </c>
      <c r="G4" s="6">
        <v>15</v>
      </c>
      <c r="H4" s="4">
        <f t="shared" ref="H4:H22" si="0">F4-G4</f>
        <v>18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87</v>
      </c>
      <c r="E23" s="4">
        <f t="shared" si="2"/>
        <v>169</v>
      </c>
      <c r="F23" s="4">
        <f t="shared" si="2"/>
        <v>75</v>
      </c>
      <c r="G23" s="4">
        <f t="shared" si="2"/>
        <v>16</v>
      </c>
      <c r="H23" s="4">
        <f t="shared" si="2"/>
        <v>59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V8" sqref="V8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abSelected="1" topLeftCell="A2" workbookViewId="0">
      <selection activeCell="W29" sqref="W29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>
        <v>8</v>
      </c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58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>
        <v>5</v>
      </c>
      <c r="X5" s="7">
        <v>18</v>
      </c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111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35"/>
  <sheetViews>
    <sheetView topLeftCell="A13" workbookViewId="0">
      <selection activeCell="I21" sqref="I21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2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6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6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6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2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2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2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2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2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2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2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2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3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5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3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4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4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5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3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4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5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32">
        <v>46043</v>
      </c>
      <c r="B27" s="19" t="s">
        <v>25</v>
      </c>
      <c r="C27" s="19"/>
      <c r="D27" s="19"/>
      <c r="E27" s="19">
        <v>4</v>
      </c>
      <c r="F27" s="19" t="s">
        <v>70</v>
      </c>
      <c r="G27" s="20"/>
    </row>
    <row r="28" spans="1:7" x14ac:dyDescent="0.25">
      <c r="A28" s="32"/>
      <c r="B28" s="19" t="s">
        <v>69</v>
      </c>
      <c r="C28" s="19"/>
      <c r="D28" s="19"/>
      <c r="E28" s="19">
        <v>1</v>
      </c>
      <c r="F28" s="19" t="s">
        <v>70</v>
      </c>
      <c r="G28" s="20"/>
    </row>
    <row r="29" spans="1:7" x14ac:dyDescent="0.25">
      <c r="A29" s="18">
        <v>46317</v>
      </c>
      <c r="B29" s="19" t="s">
        <v>66</v>
      </c>
      <c r="C29" s="19"/>
      <c r="D29" s="19">
        <v>8</v>
      </c>
      <c r="E29" s="19">
        <v>18</v>
      </c>
      <c r="F29" s="19" t="s">
        <v>71</v>
      </c>
      <c r="G29" s="20"/>
    </row>
    <row r="30" spans="1:7" x14ac:dyDescent="0.25">
      <c r="A30" s="19"/>
      <c r="B30" s="19"/>
      <c r="C30" s="19"/>
      <c r="D30" s="19"/>
      <c r="E30" s="19"/>
      <c r="F30" s="19"/>
      <c r="G30" s="20"/>
    </row>
    <row r="31" spans="1:7" x14ac:dyDescent="0.25">
      <c r="A31" s="19"/>
      <c r="B31" s="19"/>
      <c r="C31" s="19"/>
      <c r="D31" s="19"/>
      <c r="E31" s="19"/>
      <c r="F31" s="19"/>
      <c r="G31" s="20"/>
    </row>
    <row r="32" spans="1:7" x14ac:dyDescent="0.25">
      <c r="A32" s="19"/>
      <c r="B32" s="19"/>
      <c r="C32" s="19"/>
      <c r="D32" s="19"/>
      <c r="E32" s="19"/>
      <c r="F32" s="19"/>
      <c r="G32" s="20"/>
    </row>
    <row r="33" spans="1:7" x14ac:dyDescent="0.25">
      <c r="A33" s="19"/>
      <c r="B33" s="19"/>
      <c r="C33" s="19"/>
      <c r="D33" s="19"/>
      <c r="E33" s="19"/>
      <c r="F33" s="19"/>
      <c r="G33" s="20"/>
    </row>
    <row r="34" spans="1:7" x14ac:dyDescent="0.25">
      <c r="A34" s="19"/>
      <c r="B34" s="19"/>
      <c r="C34" s="19"/>
      <c r="D34" s="19"/>
      <c r="E34" s="19"/>
      <c r="F34" s="19"/>
      <c r="G34" s="20"/>
    </row>
    <row r="35" spans="1:7" x14ac:dyDescent="0.25">
      <c r="A35" s="19"/>
      <c r="B35" s="19"/>
      <c r="C35" s="19"/>
      <c r="D35" s="19"/>
      <c r="E35" s="19"/>
      <c r="F35" s="19"/>
      <c r="G35" s="20"/>
    </row>
  </sheetData>
  <autoFilter ref="A1:F7" xr:uid="{171653DB-B967-4059-9CE3-FD13B7B63DBC}"/>
  <mergeCells count="9">
    <mergeCell ref="A27:A28"/>
    <mergeCell ref="A24:A26"/>
    <mergeCell ref="A20:A23"/>
    <mergeCell ref="A17:A18"/>
    <mergeCell ref="A2:A5"/>
    <mergeCell ref="A6:A7"/>
    <mergeCell ref="A8:A9"/>
    <mergeCell ref="A13:A14"/>
    <mergeCell ref="A15:A16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J5" sqref="J5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58</v>
      </c>
      <c r="F3" s="4">
        <f>SUM(C3+D3-E3)</f>
        <v>13</v>
      </c>
      <c r="G3" s="6">
        <v>1</v>
      </c>
      <c r="H3" s="4">
        <f>SUM(F3-G3)</f>
        <v>12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111</v>
      </c>
      <c r="F4" s="4">
        <f>SUM(C4+D4-E4)</f>
        <v>33</v>
      </c>
      <c r="G4" s="6">
        <v>15</v>
      </c>
      <c r="H4" s="4">
        <f>SUM(F4-G4)</f>
        <v>18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87</v>
      </c>
      <c r="E18" s="12">
        <f t="shared" si="2"/>
        <v>169</v>
      </c>
      <c r="F18" s="12">
        <f t="shared" si="2"/>
        <v>75</v>
      </c>
      <c r="G18" s="13">
        <f t="shared" ref="G18" si="3">SUM(G3:G17)</f>
        <v>16</v>
      </c>
      <c r="H18" s="12">
        <f t="shared" ref="H18" si="4">SUM(H3:H17)</f>
        <v>59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2026-01-23T01:44:00Z</dcterms:modified>
</cp:coreProperties>
</file>