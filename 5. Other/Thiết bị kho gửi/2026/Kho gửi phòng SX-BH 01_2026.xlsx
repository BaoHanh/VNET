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B7C133AF-E05D-4A6D-8CF3-0AF9979E3CFD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3" i="2" l="1"/>
  <c r="F18" i="1"/>
  <c r="F20" i="1"/>
  <c r="F21" i="1"/>
  <c r="G23" i="1"/>
  <c r="C23" i="1"/>
  <c r="G18" i="6"/>
  <c r="C18" i="6"/>
  <c r="F17" i="6"/>
  <c r="C17" i="6"/>
  <c r="H10" i="6"/>
  <c r="H11" i="6"/>
  <c r="H12" i="6"/>
  <c r="H13" i="6"/>
  <c r="H15" i="6"/>
  <c r="H16" i="6"/>
  <c r="H17" i="6"/>
  <c r="H6" i="6"/>
  <c r="H5" i="6"/>
  <c r="D11" i="6"/>
  <c r="F11" i="6" s="1"/>
  <c r="D10" i="6"/>
  <c r="D12" i="6"/>
  <c r="D13" i="6"/>
  <c r="D15" i="6"/>
  <c r="D16" i="6"/>
  <c r="F16" i="6" s="1"/>
  <c r="D17" i="6"/>
  <c r="D8" i="6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H20" i="1" s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1" i="1" l="1"/>
  <c r="AH5" i="3"/>
  <c r="E4" i="1" s="1"/>
  <c r="E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D14" i="6" s="1"/>
  <c r="AH4" i="2"/>
  <c r="AH5" i="2"/>
  <c r="AH6" i="2"/>
  <c r="AH7" i="2"/>
  <c r="D7" i="1" s="1"/>
  <c r="F7" i="1" s="1"/>
  <c r="H7" i="1" s="1"/>
  <c r="AH3" i="2"/>
  <c r="E23" i="1" l="1"/>
  <c r="E3" i="6"/>
  <c r="E18" i="6" s="1"/>
  <c r="D4" i="1"/>
  <c r="D6" i="1"/>
  <c r="F6" i="1" s="1"/>
  <c r="H6" i="1" s="1"/>
  <c r="D6" i="6"/>
  <c r="F6" i="6" s="1"/>
  <c r="D5" i="1"/>
  <c r="F5" i="1" s="1"/>
  <c r="H5" i="1" s="1"/>
  <c r="D5" i="6"/>
  <c r="F5" i="6" s="1"/>
  <c r="D18" i="1"/>
  <c r="H18" i="1" s="1"/>
  <c r="F13" i="6"/>
  <c r="D17" i="1"/>
  <c r="F17" i="1" s="1"/>
  <c r="H17" i="1" s="1"/>
  <c r="F12" i="6"/>
  <c r="D10" i="1"/>
  <c r="F10" i="6"/>
  <c r="D19" i="1"/>
  <c r="F14" i="6"/>
  <c r="H14" i="6" s="1"/>
  <c r="D9" i="1"/>
  <c r="F9" i="1" s="1"/>
  <c r="H9" i="1" s="1"/>
  <c r="D3" i="1"/>
  <c r="D8" i="1"/>
  <c r="F8" i="6"/>
  <c r="H8" i="6" s="1"/>
  <c r="F8" i="1" l="1"/>
  <c r="H8" i="1" s="1"/>
  <c r="D7" i="6"/>
  <c r="F7" i="6" s="1"/>
  <c r="H7" i="6" s="1"/>
  <c r="F19" i="1"/>
  <c r="H19" i="1" s="1"/>
  <c r="F4" i="1"/>
  <c r="D4" i="6"/>
  <c r="F4" i="6" s="1"/>
  <c r="H4" i="6" s="1"/>
  <c r="D3" i="6"/>
  <c r="D23" i="1"/>
  <c r="F3" i="6"/>
  <c r="F3" i="1"/>
  <c r="H4" i="1"/>
  <c r="F10" i="1"/>
  <c r="H10" i="1" s="1"/>
  <c r="D9" i="6"/>
  <c r="F9" i="6" s="1"/>
  <c r="H9" i="6" s="1"/>
  <c r="D18" i="6" l="1"/>
  <c r="H3" i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<sst xmlns="http://schemas.openxmlformats.org/spreadsheetml/2006/main" count="209" uniqueCount="79">
  <si>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</si>
  <si>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</si>
  <si>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</si>
  <si>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</si>
  <si>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</si>
  <si>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</si>
  <si>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</si>
  <si>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</si>
  <si>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</si>
  <si>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</si>
  <si>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</si>
  <si>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</si>
  <si>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</si>
  <si>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</si>
  <si>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</si>
  <si>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</si>
  <si>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</si>
  <si>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</si>
  <si>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</si>
  <si>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</si>
  <si>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</si>
  <si>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</si>
  <si>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</si>
  <si>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</si>
  <si>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</si>
  <si>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</si>
  <si>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</si>
  <si>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</si>
  <si>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</si>
  <si>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</si>
  <si>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</si>
  <si>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</si>
  <si>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</si>
  <si>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</si>
  <si>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</si>
  <si>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</si>
  <si>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</si>
  <si>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</si>
  <si>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</si>
  <si>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</si>
  <si>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</si>
  <si>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</si>
  <si>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</si>
  <si>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</si>
  <si>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</si>
  <si>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</si>
  <si>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</si>
  <si>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</si>
  <si>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</si>
  <si>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</si>
  <si>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</si>
  <si>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</si>
  <si>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</si>
  <si>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</si>
  <si>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</si>
  <si>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</si>
  <si>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</si>
  <si>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</si>
  <si>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</si>
  <si>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</si>
  <si>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</si>
  <si>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</si>
  <si>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</si>
  <si>
    <t>kl vnet</t>
  </si>
  <si>
    <t>Đã trả (19/01/26)</t>
  </si>
  <si>
    <t>Etuka</t>
  </si>
  <si>
    <t>ĐL Anh Tuấn NB</t>
  </si>
  <si>
    <t>Skytech</t>
  </si>
  <si>
    <t>Đã trả (20/01/26)</t>
  </si>
  <si>
    <t>Anh Dân Thái Bình</t>
  </si>
  <si>
    <t>Đã trả (21/01/26)</t>
  </si>
  <si>
    <t>Đã trả (22/01/26)</t>
  </si>
  <si>
    <t>GPS Global</t>
  </si>
  <si>
    <t>Đã trả (23/01/26)</t>
  </si>
  <si>
    <t>Đã trả (26/01/26)</t>
  </si>
  <si>
    <t>Gara anh Tập</t>
  </si>
  <si>
    <t>Đã trả (27/01/26)</t>
  </si>
  <si>
    <t>GPS Tây Ninh</t>
  </si>
  <si>
    <t>Đã trả (28/01/26)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</si>
</sst>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M15" sqref="M15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64</v>
      </c>
      <c r="E3" s="4">
        <f>Xuất!AH4+Huỷ!AH3</f>
        <v>58</v>
      </c>
      <c r="F3" s="4">
        <f>C3+D3-E3</f>
        <v>13</v>
      </c>
      <c r="G3" s="6">
        <v>1</v>
      </c>
      <c r="H3" s="4">
        <f>F3-G3</f>
        <v>12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72</v>
      </c>
      <c r="E4" s="4">
        <f>Xuất!AH5+Huỷ!AH4</f>
        <v>177</v>
      </c>
      <c r="F4" s="4">
        <f>C4+D4-E4</f>
        <v>39</v>
      </c>
      <c r="G4" s="6">
        <v>15</v>
      </c>
      <c r="H4" s="4">
        <f t="shared" ref="H4:H22" si="0">F4-G4</f>
        <v>24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9</v>
      </c>
      <c r="E8" s="4">
        <f>Xuất!AH8</f>
        <v>0</v>
      </c>
      <c r="F8" s="4">
        <f t="shared" si="1"/>
        <v>9</v>
      </c>
      <c r="G8" s="6">
        <v>0</v>
      </c>
      <c r="H8" s="4">
        <f t="shared" si="0"/>
        <v>9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6</v>
      </c>
      <c r="E9" s="4">
        <f>Xuất!AH9</f>
        <v>0</v>
      </c>
      <c r="F9" s="4">
        <f t="shared" si="1"/>
        <v>6</v>
      </c>
      <c r="G9" s="6">
        <v>0</v>
      </c>
      <c r="H9" s="4">
        <f t="shared" si="0"/>
        <v>6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3</v>
      </c>
      <c r="E13" s="4">
        <f>Xuất!AH13</f>
        <v>0</v>
      </c>
      <c r="F13" s="4">
        <f t="shared" si="1"/>
        <v>3</v>
      </c>
      <c r="G13" s="6">
        <v>0</v>
      </c>
      <c r="H13" s="4">
        <f t="shared" si="0"/>
        <v>3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1</v>
      </c>
      <c r="E19" s="4">
        <f>Xuất!AH19</f>
        <v>0</v>
      </c>
      <c r="F19" s="4">
        <f t="shared" si="1"/>
        <v>1</v>
      </c>
      <c r="G19" s="6">
        <v>1</v>
      </c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176</v>
      </c>
      <c r="E23" s="4">
        <f t="shared" si="2"/>
        <v>235</v>
      </c>
      <c r="F23" s="4">
        <f t="shared" si="2"/>
        <v>98</v>
      </c>
      <c r="G23" s="4">
        <f t="shared" si="2"/>
        <v>17</v>
      </c>
      <c r="H23" s="4">
        <f t="shared" si="2"/>
        <v>81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AG15" sqref="AG15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>
        <v>20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64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>
        <v>72</v>
      </c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72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>
        <v>8</v>
      </c>
      <c r="AE8" s="7"/>
      <c r="AF8" s="7"/>
      <c r="AG8" s="7"/>
      <c r="AH8" s="7">
        <f t="shared" si="0"/>
        <v>9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>
        <v>5</v>
      </c>
      <c r="AE9" s="7"/>
      <c r="AF9" s="7"/>
      <c r="AG9" s="7"/>
      <c r="AH9" s="7">
        <f t="shared" si="0"/>
        <v>6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>
        <v>3</v>
      </c>
      <c r="AE13" s="7"/>
      <c r="AF13" s="7"/>
      <c r="AG13" s="7"/>
      <c r="AH13" s="7">
        <f t="shared" si="0"/>
        <v>3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>
        <v>1</v>
      </c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1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AI22" sqref="AI22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>
        <v>8</v>
      </c>
      <c r="W4" s="7"/>
      <c r="X4" s="7">
        <v>8</v>
      </c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58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>
        <v>14</v>
      </c>
      <c r="V5" s="7">
        <v>3</v>
      </c>
      <c r="W5" s="7">
        <v>5</v>
      </c>
      <c r="X5" s="7">
        <v>18</v>
      </c>
      <c r="Y5" s="7">
        <v>22</v>
      </c>
      <c r="Z5" s="7"/>
      <c r="AA5" s="7"/>
      <c r="AB5" s="7">
        <v>17</v>
      </c>
      <c r="AC5" s="7">
        <v>16</v>
      </c>
      <c r="AD5" s="7">
        <v>11</v>
      </c>
      <c r="AE5" s="7"/>
      <c r="AF5" s="7"/>
      <c r="AG5" s="7"/>
      <c r="AH5" s="7">
        <f t="shared" ref="AH5:AH18" si="0">SUM(C5:AG5)</f>
        <v>177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topLeftCell="A13" workbookViewId="0">
      <selection activeCell="G33" sqref="G33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4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5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5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5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4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4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4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4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4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4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4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4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2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3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32">
        <v>46041</v>
      </c>
      <c r="B20" s="19" t="s">
        <v>29</v>
      </c>
      <c r="C20" s="19"/>
      <c r="D20" s="19"/>
      <c r="E20" s="19">
        <v>10</v>
      </c>
      <c r="F20" s="19" t="s">
        <v>64</v>
      </c>
      <c r="G20" s="20"/>
    </row>
    <row r="21" spans="1:7" x14ac:dyDescent="0.25">
      <c r="A21" s="36"/>
      <c r="B21" s="19" t="s">
        <v>63</v>
      </c>
      <c r="C21" s="19"/>
      <c r="D21" s="19"/>
      <c r="E21" s="19">
        <v>1</v>
      </c>
      <c r="F21" s="19" t="s">
        <v>64</v>
      </c>
      <c r="G21" s="20"/>
    </row>
    <row r="22" spans="1:7" x14ac:dyDescent="0.25">
      <c r="A22" s="36"/>
      <c r="B22" s="19" t="s">
        <v>23</v>
      </c>
      <c r="C22" s="19"/>
      <c r="D22" s="19"/>
      <c r="E22" s="19">
        <v>1</v>
      </c>
      <c r="F22" s="19" t="s">
        <v>64</v>
      </c>
      <c r="G22" s="20"/>
    </row>
    <row r="23" spans="1:7" x14ac:dyDescent="0.25">
      <c r="A23" s="33"/>
      <c r="B23" s="19" t="s">
        <v>65</v>
      </c>
      <c r="C23" s="19"/>
      <c r="D23" s="19"/>
      <c r="E23" s="19">
        <v>2</v>
      </c>
      <c r="F23" s="19" t="s">
        <v>64</v>
      </c>
      <c r="G23" s="20"/>
    </row>
    <row r="24" spans="1:7" x14ac:dyDescent="0.25">
      <c r="A24" s="32">
        <v>46042</v>
      </c>
      <c r="B24" s="19" t="s">
        <v>66</v>
      </c>
      <c r="C24" s="19"/>
      <c r="D24" s="19"/>
      <c r="E24" s="19">
        <v>8</v>
      </c>
      <c r="F24" s="19" t="s">
        <v>68</v>
      </c>
      <c r="G24" s="20"/>
    </row>
    <row r="25" spans="1:7" x14ac:dyDescent="0.25">
      <c r="A25" s="36"/>
      <c r="B25" s="19" t="s">
        <v>16</v>
      </c>
      <c r="C25" s="19"/>
      <c r="D25" s="19"/>
      <c r="E25" s="19">
        <v>2</v>
      </c>
      <c r="F25" s="19" t="s">
        <v>68</v>
      </c>
      <c r="G25" s="20"/>
    </row>
    <row r="26" spans="1:7" x14ac:dyDescent="0.25">
      <c r="A26" s="33"/>
      <c r="B26" s="19" t="s">
        <v>67</v>
      </c>
      <c r="C26" s="19"/>
      <c r="D26" s="19"/>
      <c r="E26" s="19">
        <v>1</v>
      </c>
      <c r="F26" s="19" t="s">
        <v>68</v>
      </c>
      <c r="G26" s="20"/>
    </row>
    <row r="27" spans="1:7" x14ac:dyDescent="0.25">
      <c r="A27" s="34">
        <v>46043</v>
      </c>
      <c r="B27" s="19" t="s">
        <v>25</v>
      </c>
      <c r="C27" s="19"/>
      <c r="D27" s="19"/>
      <c r="E27" s="19">
        <v>4</v>
      </c>
      <c r="F27" s="19" t="s">
        <v>70</v>
      </c>
      <c r="G27" s="20"/>
    </row>
    <row r="28" spans="1:7" x14ac:dyDescent="0.25">
      <c r="A28" s="34"/>
      <c r="B28" s="19" t="s">
        <v>69</v>
      </c>
      <c r="C28" s="19"/>
      <c r="D28" s="19"/>
      <c r="E28" s="19">
        <v>1</v>
      </c>
      <c r="F28" s="19" t="s">
        <v>70</v>
      </c>
      <c r="G28" s="20"/>
    </row>
    <row r="29" spans="1:7" x14ac:dyDescent="0.25">
      <c r="A29" s="18">
        <v>46044</v>
      </c>
      <c r="B29" s="19" t="s">
        <v>66</v>
      </c>
      <c r="C29" s="19"/>
      <c r="D29" s="19">
        <v>8</v>
      </c>
      <c r="E29" s="19">
        <v>18</v>
      </c>
      <c r="F29" s="19" t="s">
        <v>71</v>
      </c>
      <c r="G29" s="20"/>
    </row>
    <row r="30" spans="1:7" x14ac:dyDescent="0.25">
      <c r="A30" s="32">
        <v>46045</v>
      </c>
      <c r="B30" s="19" t="s">
        <v>72</v>
      </c>
      <c r="C30" s="19"/>
      <c r="D30" s="19"/>
      <c r="E30" s="19">
        <v>12</v>
      </c>
      <c r="F30" s="19" t="s">
        <v>73</v>
      </c>
      <c r="G30" s="20"/>
    </row>
    <row r="31" spans="1:7" x14ac:dyDescent="0.25">
      <c r="A31" s="33"/>
      <c r="B31" s="19" t="s">
        <v>29</v>
      </c>
      <c r="C31" s="19"/>
      <c r="D31" s="19"/>
      <c r="E31" s="19">
        <v>10</v>
      </c>
      <c r="F31" s="19" t="s">
        <v>73</v>
      </c>
      <c r="G31" s="20"/>
    </row>
    <row r="32" spans="1:7" x14ac:dyDescent="0.25">
      <c r="A32" s="32">
        <v>46048</v>
      </c>
      <c r="B32" s="19" t="s">
        <v>16</v>
      </c>
      <c r="C32" s="19"/>
      <c r="D32" s="19"/>
      <c r="E32" s="19">
        <v>3</v>
      </c>
      <c r="F32" s="19" t="s">
        <v>74</v>
      </c>
      <c r="G32" s="20"/>
    </row>
    <row r="33" spans="1:7" x14ac:dyDescent="0.25">
      <c r="A33" s="36"/>
      <c r="B33" s="19" t="s">
        <v>75</v>
      </c>
      <c r="C33" s="19"/>
      <c r="D33" s="19"/>
      <c r="E33" s="19">
        <v>2</v>
      </c>
      <c r="F33" s="19" t="s">
        <v>74</v>
      </c>
      <c r="G33" s="20"/>
    </row>
    <row r="34" spans="1:7" x14ac:dyDescent="0.25">
      <c r="A34" s="33"/>
      <c r="B34" s="19" t="s">
        <v>53</v>
      </c>
      <c r="C34" s="19"/>
      <c r="D34" s="19"/>
      <c r="E34" s="19">
        <v>12</v>
      </c>
      <c r="F34" s="19" t="s">
        <v>74</v>
      </c>
      <c r="G34" s="20"/>
    </row>
    <row r="35" spans="1:7" x14ac:dyDescent="0.25">
      <c r="A35" s="34">
        <v>46049</v>
      </c>
      <c r="B35" s="19" t="s">
        <v>51</v>
      </c>
      <c r="C35" s="19"/>
      <c r="D35" s="19"/>
      <c r="E35" s="19">
        <v>6</v>
      </c>
      <c r="F35" s="19" t="s">
        <v>76</v>
      </c>
      <c r="G35" s="20"/>
    </row>
    <row r="36" spans="1:7" x14ac:dyDescent="0.25">
      <c r="A36" s="34"/>
      <c r="B36" s="19" t="s">
        <v>29</v>
      </c>
      <c r="C36" s="19"/>
      <c r="D36" s="19"/>
      <c r="E36" s="19">
        <v>10</v>
      </c>
      <c r="F36" s="19" t="s">
        <v>76</v>
      </c>
      <c r="G36" s="20"/>
    </row>
    <row r="37" spans="1:7" x14ac:dyDescent="0.25">
      <c r="A37" s="32">
        <v>46050</v>
      </c>
      <c r="B37" s="19" t="s">
        <v>24</v>
      </c>
      <c r="C37" s="19"/>
      <c r="D37" s="19"/>
      <c r="E37" s="19">
        <v>5</v>
      </c>
      <c r="F37" s="19" t="s">
        <v>78</v>
      </c>
      <c r="G37" s="20"/>
    </row>
    <row r="38" spans="1:7" x14ac:dyDescent="0.25">
      <c r="A38" s="33"/>
      <c r="B38" s="19" t="s">
        <v>77</v>
      </c>
      <c r="C38" s="19"/>
      <c r="D38" s="19"/>
      <c r="E38" s="19">
        <v>6</v>
      </c>
      <c r="F38" s="19" t="s">
        <v>78</v>
      </c>
      <c r="G38" s="20"/>
    </row>
    <row r="39" spans="1:7" x14ac:dyDescent="0.25">
      <c r="A39" s="19"/>
      <c r="B39" s="19"/>
      <c r="C39" s="19"/>
      <c r="D39" s="19"/>
      <c r="E39" s="19"/>
      <c r="F39" s="19"/>
      <c r="G39" s="20"/>
    </row>
    <row r="40" spans="1:7" x14ac:dyDescent="0.25">
      <c r="A40" s="19"/>
      <c r="B40" s="19"/>
      <c r="C40" s="19"/>
      <c r="D40" s="19"/>
      <c r="E40" s="19"/>
      <c r="F40" s="19"/>
      <c r="G40" s="20"/>
    </row>
    <row r="41" spans="1:7" x14ac:dyDescent="0.25">
      <c r="A41" s="19"/>
      <c r="B41" s="19"/>
      <c r="C41" s="19"/>
      <c r="D41" s="19"/>
      <c r="E41" s="19"/>
      <c r="F41" s="19"/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13">
    <mergeCell ref="A37:A38"/>
    <mergeCell ref="A35:A36"/>
    <mergeCell ref="A17:A18"/>
    <mergeCell ref="A2:A5"/>
    <mergeCell ref="A6:A7"/>
    <mergeCell ref="A8:A9"/>
    <mergeCell ref="A13:A14"/>
    <mergeCell ref="A15:A16"/>
    <mergeCell ref="A32:A34"/>
    <mergeCell ref="A30:A31"/>
    <mergeCell ref="A27:A28"/>
    <mergeCell ref="A24:A26"/>
    <mergeCell ref="A20:A2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abSelected="1" zoomScale="145" zoomScaleNormal="145" workbookViewId="0">
      <selection activeCell="K12" sqref="K12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64</v>
      </c>
      <c r="E3" s="4">
        <f>SUM('Nhập xuất tồn'!E3)</f>
        <v>58</v>
      </c>
      <c r="F3" s="4">
        <f>SUM(C3+D3-E3)</f>
        <v>13</v>
      </c>
      <c r="G3" s="6">
        <v>1</v>
      </c>
      <c r="H3" s="4">
        <f>SUM(F3-G3)</f>
        <v>12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72</v>
      </c>
      <c r="E4" s="4">
        <f>SUM('Nhập xuất tồn'!E4)</f>
        <v>177</v>
      </c>
      <c r="F4" s="4">
        <f>SUM(C4+D4-E4)</f>
        <v>39</v>
      </c>
      <c r="G4" s="6">
        <v>16</v>
      </c>
      <c r="H4" s="4">
        <f>SUM(F4-G4)</f>
        <v>23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16</v>
      </c>
      <c r="E7" s="4">
        <f>Xuất!AH7</f>
        <v>0</v>
      </c>
      <c r="F7" s="4">
        <f t="shared" si="0"/>
        <v>16</v>
      </c>
      <c r="G7" s="6">
        <v>0</v>
      </c>
      <c r="H7" s="4">
        <f t="shared" ref="H7:H17" si="1">SUM(F7-G7)</f>
        <v>16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3</v>
      </c>
      <c r="E8" s="4">
        <f>Xuất!AH8</f>
        <v>0</v>
      </c>
      <c r="F8" s="4">
        <f t="shared" si="0"/>
        <v>3</v>
      </c>
      <c r="G8" s="6">
        <v>0</v>
      </c>
      <c r="H8" s="4">
        <f t="shared" si="1"/>
        <v>3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1</v>
      </c>
      <c r="E14" s="4">
        <f>Xuất!AH19</f>
        <v>0</v>
      </c>
      <c r="F14" s="4">
        <f t="shared" si="0"/>
        <v>1</v>
      </c>
      <c r="G14" s="6"/>
      <c r="H14" s="4">
        <f t="shared" si="1"/>
        <v>1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157</v>
      </c>
      <c r="D18" s="12">
        <f t="shared" ref="D18:F18" si="2">SUM(D3:D17)</f>
        <v>176</v>
      </c>
      <c r="E18" s="12">
        <f t="shared" si="2"/>
        <v>235</v>
      </c>
      <c r="F18" s="12">
        <f t="shared" si="2"/>
        <v>98</v>
      </c>
      <c r="G18" s="13">
        <f t="shared" ref="G18" si="3">SUM(G3:G17)</f>
        <v>17</v>
      </c>
      <c r="H18" s="12">
        <f t="shared" ref="H18" si="4">SUM(H3:H17)</f>
        <v>81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2026-01-29T01:17:07Z</dcterms:modified>
</cp:coreProperties>
</file>