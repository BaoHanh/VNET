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3CBA410D-CD49-4005-815D-50BF2DAEFE89}" xr6:coauthVersionLast="47" xr6:coauthVersionMax="47" xr10:uidLastSave="{00000000-0000-0000-0000-000000000000}"/>
  <bookViews>
    <workbookView xWindow="0" yWindow="1170" windowWidth="21600" windowHeight="11835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<sst xmlns="http://schemas.openxmlformats.org/spreadsheetml/2006/main" count="185" uniqueCount="70">
  <si>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</si>
  <si>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</si>
  <si>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</si>
  <si>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</si>
  <si>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</si>
  <si>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</si>
  <si>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</si>
  <si>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</si>
  <si>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</si>
  <si>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</si>
  <si>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</si>
  <si>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</si>
  <si>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</si>
  <si>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</si>
  <si>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</si>
  <si>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</si>
  <si>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</si>
  <si>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</si>
  <si>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</si>
  <si>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</si>
  <si>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</si>
  <si>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</si>
  <si>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</si>
  <si>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</si>
  <si>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</si>
  <si>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</si>
  <si>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</si>
  <si>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</si>
  <si>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</si>
  <si>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</si>
  <si>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</si>
  <si>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</si>
  <si>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</si>
  <si>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</si>
  <si>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</si>
  <si>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</si>
  <si>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</si>
  <si>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</si>
  <si>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</si>
  <si>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</si>
  <si>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</si>
  <si>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</si>
  <si>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</si>
  <si>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</si>
  <si>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</si>
  <si>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</si>
  <si>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</si>
  <si>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</si>
  <si>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</si>
  <si>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</si>
  <si>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</si>
  <si>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</si>
  <si>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</si>
  <si>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</si>
  <si>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</si>
  <si>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</si>
  <si>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</si>
  <si>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</si>
  <si>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</si>
  <si>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</si>
  <si>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</si>
  <si>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</si>
  <si>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</si>
  <si>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</si>
  <si>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</si>
  <si>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</si>
  <si>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Chưa trả</t>
  </si>
  <si>
    <t>ĐL Anh Tuấn NB</t>
  </si>
  <si>
    <t>Skytech</t>
  </si>
  <si>
    <t>Đã trả (20/01/26)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</si>
</sst>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N10" sqref="N10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62</v>
      </c>
      <c r="F3" s="4">
        <f>C3+D3-E3</f>
        <v>-11</v>
      </c>
      <c r="G3" s="6">
        <v>1</v>
      </c>
      <c r="H3" s="4">
        <f>F3-G3</f>
        <v>-12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85</v>
      </c>
      <c r="F4" s="4">
        <f>C4+D4-E4</f>
        <v>59</v>
      </c>
      <c r="G4" s="6">
        <v>14</v>
      </c>
      <c r="H4" s="4">
        <f t="shared" ref="H4:H22" si="0">F4-G4</f>
        <v>45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67</v>
      </c>
      <c r="E23" s="4">
        <f t="shared" si="2"/>
        <v>147</v>
      </c>
      <c r="F23" s="4">
        <f t="shared" si="2"/>
        <v>77</v>
      </c>
      <c r="G23" s="4">
        <f t="shared" si="2"/>
        <v>15</v>
      </c>
      <c r="H23" s="4">
        <f t="shared" si="2"/>
        <v>62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Q24" sqref="Q24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44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W4" sqref="W4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20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62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85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8"/>
  <sheetViews>
    <sheetView tabSelected="1" topLeftCell="A13" workbookViewId="0">
      <selection activeCell="L18" sqref="L18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5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5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5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5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5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5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5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5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5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4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3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3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4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46315</v>
      </c>
      <c r="B24" s="19" t="s">
        <v>67</v>
      </c>
      <c r="C24" s="19"/>
      <c r="D24" s="19"/>
      <c r="E24" s="19">
        <v>10</v>
      </c>
      <c r="F24" s="19" t="s">
        <v>66</v>
      </c>
      <c r="G24" s="20"/>
    </row>
    <row r="25" spans="1:7" x14ac:dyDescent="0.25">
      <c r="A25" s="33"/>
      <c r="B25" s="19" t="s">
        <v>16</v>
      </c>
      <c r="C25" s="19"/>
      <c r="D25" s="19"/>
      <c r="E25" s="19">
        <v>2</v>
      </c>
      <c r="F25" s="19" t="s">
        <v>66</v>
      </c>
      <c r="G25" s="20"/>
    </row>
    <row r="26" spans="1:7" x14ac:dyDescent="0.25">
      <c r="A26" s="34"/>
      <c r="B26" s="19" t="s">
        <v>68</v>
      </c>
      <c r="C26" s="19"/>
      <c r="D26" s="19"/>
      <c r="E26" s="19">
        <v>1</v>
      </c>
      <c r="F26" s="19" t="s">
        <v>69</v>
      </c>
      <c r="G26" s="20"/>
    </row>
    <row r="27" spans="1:7" x14ac:dyDescent="0.25">
      <c r="A27" s="19"/>
      <c r="B27" s="19"/>
      <c r="C27" s="19"/>
      <c r="D27" s="19"/>
      <c r="E27" s="19"/>
      <c r="F27" s="19"/>
      <c r="G27" s="20"/>
    </row>
    <row r="28" spans="1:7" x14ac:dyDescent="0.25">
      <c r="A28" s="19"/>
      <c r="B28" s="19"/>
      <c r="C28" s="19"/>
      <c r="D28" s="19"/>
      <c r="E28" s="19"/>
      <c r="F28" s="19"/>
      <c r="G28" s="20"/>
    </row>
  </sheetData>
  <autoFilter ref="A1:F7" xr:uid="{171653DB-B967-4059-9CE3-FD13B7B63DBC}"/>
  <mergeCells count="8">
    <mergeCell ref="A20:A23"/>
    <mergeCell ref="A17:A18"/>
    <mergeCell ref="A2:A5"/>
    <mergeCell ref="A6:A7"/>
    <mergeCell ref="A8:A9"/>
    <mergeCell ref="A13:A14"/>
    <mergeCell ref="A15:A16"/>
    <mergeCell ref="A24:A2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G21" sqref="G21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62</v>
      </c>
      <c r="F3" s="4">
        <f>SUM(C3+D3-E3)</f>
        <v>-11</v>
      </c>
      <c r="G3" s="6">
        <v>1</v>
      </c>
      <c r="H3" s="4">
        <f>SUM(F3-G3)</f>
        <v>-12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85</v>
      </c>
      <c r="F4" s="4">
        <f>SUM(C4+D4-E4)</f>
        <v>59</v>
      </c>
      <c r="G4" s="6">
        <v>12</v>
      </c>
      <c r="H4" s="4">
        <f>SUM(F4-G4)</f>
        <v>47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67</v>
      </c>
      <c r="E18" s="12">
        <f t="shared" si="2"/>
        <v>147</v>
      </c>
      <c r="F18" s="12">
        <f t="shared" si="2"/>
        <v>77</v>
      </c>
      <c r="G18" s="13">
        <f t="shared" ref="G18" si="3">SUM(G3:G17)</f>
        <v>13</v>
      </c>
      <c r="H18" s="12">
        <f t="shared" ref="H18" si="4">SUM(H3:H17)</f>
        <v>64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2026-01-20T07:55:14Z</dcterms:modified>
</cp:coreProperties>
</file>