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8\02. Trả bảo hành\"/>
    </mc:Choice>
  </mc:AlternateContent>
  <xr:revisionPtr revIDLastSave="0" documentId="13_ncr:1_{AE276D7A-8388-4660-B316-006559E5E8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.TraBaoHanh" sheetId="1" r:id="rId1"/>
  </sheets>
  <definedNames>
    <definedName name="_xlnm.Print_Area" localSheetId="0">P.TraBaoHanh!$A$1:$I$29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1" l="1"/>
  <c r="XFD14" i="1"/>
  <c r="XFD19" i="1" l="1"/>
</calcChain>
</file>

<file path=xl/sharedStrings.xml><?xml version="1.0" encoding="utf-8"?>
<sst xmlns="http://schemas.openxmlformats.org/spreadsheetml/2006/main" count="70" uniqueCount="57">
  <si>
    <t>Công Ty Cổ Phần Công Nghệ Điện Tử &amp; Viễn Thông Việt Nam</t>
  </si>
  <si>
    <t>Địa chỉ: A46 TT19 KĐT Văn Quán, P. Văn Quán, Q. Hà Đông, TP. Hà Nội</t>
  </si>
  <si>
    <t>Điện thoại: 0243 6400 767</t>
  </si>
  <si>
    <t>Website: https://vnetgps.vn/</t>
  </si>
  <si>
    <t>PHIẾU TRẢ BẢO HÀNH</t>
  </si>
  <si>
    <t xml:space="preserve">Địa chỉ: </t>
  </si>
  <si>
    <t xml:space="preserve">Số điện thoại: </t>
  </si>
  <si>
    <t xml:space="preserve">Email: </t>
  </si>
  <si>
    <t xml:space="preserve">STT </t>
  </si>
  <si>
    <t>Model</t>
  </si>
  <si>
    <t>IMEI</t>
  </si>
  <si>
    <t>Phụ Kiện</t>
  </si>
  <si>
    <t>Bảo Hành</t>
  </si>
  <si>
    <t>Ghi Chú</t>
  </si>
  <si>
    <t>Lỗi Xác Định</t>
  </si>
  <si>
    <t>Giải Pháp Xử Lý</t>
  </si>
  <si>
    <t>Phí Sửa Chữa</t>
  </si>
  <si>
    <t>TBP. Bảo Hành</t>
  </si>
  <si>
    <t>Người Lập</t>
  </si>
  <si>
    <t>(Ký, ghi rõ họ tên)</t>
  </si>
  <si>
    <t>Nguyễn Minh Tùng</t>
  </si>
  <si>
    <t>Còn BH</t>
  </si>
  <si>
    <t>TG102LE-4G</t>
  </si>
  <si>
    <t>Dây nguồn TG102LE</t>
  </si>
  <si>
    <t>H</t>
  </si>
  <si>
    <t>Lỗi GPS</t>
  </si>
  <si>
    <t>Khách hàng/ người đại diện: Đại lý Thành Tâm Nha Trang</t>
  </si>
  <si>
    <t>003200706B</t>
  </si>
  <si>
    <t>007785070582518</t>
  </si>
  <si>
    <t>0032004CDA</t>
  </si>
  <si>
    <t>00320007F6</t>
  </si>
  <si>
    <t>SL: 1</t>
  </si>
  <si>
    <t>005694061425554</t>
  </si>
  <si>
    <t>005694061008020</t>
  </si>
  <si>
    <t>006011074331307</t>
  </si>
  <si>
    <t>VNSH02</t>
  </si>
  <si>
    <t>ESIM: 01388296651</t>
  </si>
  <si>
    <t>ESIM: 0842603293</t>
  </si>
  <si>
    <t>ESIM: 0842603926</t>
  </si>
  <si>
    <t>ID mới: 003200DB5C</t>
  </si>
  <si>
    <t>ESIM: 01388616230</t>
  </si>
  <si>
    <t xml:space="preserve">TB hoạt động bình thường </t>
  </si>
  <si>
    <t>Test lại thiết bị</t>
  </si>
  <si>
    <t>Thường xuyên mất GPS</t>
  </si>
  <si>
    <t>Thay module GPS</t>
  </si>
  <si>
    <t>Mất nguồn</t>
  </si>
  <si>
    <t>Thay diot nguồn</t>
  </si>
  <si>
    <t>Nạp lại FW module sim</t>
  </si>
  <si>
    <t>Lỗi IC flat, không chốt GPS</t>
  </si>
  <si>
    <t>Thay IC Flat + IC khuếch đại tín hiệu</t>
  </si>
  <si>
    <t>Lỗi Mainboard</t>
  </si>
  <si>
    <t>Đổi bảo hành</t>
  </si>
  <si>
    <t>Lỏng chân kết nối</t>
  </si>
  <si>
    <t>Thay chân kết nối</t>
  </si>
  <si>
    <t>Tổng</t>
  </si>
  <si>
    <t>Hà Nội, ngày 13 tháng 08  năm 2026</t>
  </si>
  <si>
    <t>Trần Văn Hậu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</si>
</sst>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8">
    <font>
      <sz val="11"/>
      <color theme="1"/>
      <name val="Calibri"/>
      <charset val="134"/>
      <scheme val="minor"/>
    </font>
    <font>
      <b/>
      <sz val="13"/>
      <color theme="1"/>
      <name val="Times New Roman"/>
      <charset val="134"/>
    </font>
    <font>
      <sz val="13"/>
      <color theme="1"/>
      <name val="Times New Roman"/>
      <charset val="134"/>
    </font>
    <font>
      <sz val="10"/>
      <name val="Times New Roman"/>
      <charset val="134"/>
    </font>
    <font>
      <u/>
      <sz val="10"/>
      <name val="Times New Roman"/>
      <charset val="134"/>
    </font>
    <font>
      <b/>
      <sz val="14"/>
      <name val="Times New Roman"/>
      <charset val="134"/>
    </font>
    <font>
      <b/>
      <sz val="11"/>
      <name val="Times New Roman"/>
      <charset val="134"/>
    </font>
    <font>
      <b/>
      <i/>
      <sz val="11"/>
      <color theme="1"/>
      <name val="Times New Roman"/>
      <charset val="134"/>
    </font>
    <font>
      <b/>
      <i/>
      <sz val="13"/>
      <color theme="1"/>
      <name val="Times New Roman"/>
      <charset val="134"/>
    </font>
    <font>
      <u/>
      <sz val="9.35"/>
      <color theme="10"/>
      <name val="Calibri"/>
      <charset val="134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b/>
      <i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10"/>
      <name val="Times New Roman"/>
      <family val="1"/>
    </font>
    <font>
      <i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7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3" fontId="2" fillId="0" borderId="0" xfId="0" applyNumberFormat="1" applyFont="1"/>
    <xf numFmtId="0" fontId="2" fillId="0" borderId="0" xfId="0" applyFont="1" applyAlignment="1">
      <alignment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indent="18"/>
    </xf>
    <xf numFmtId="0" fontId="7" fillId="0" borderId="0" xfId="0" applyFont="1" applyAlignment="1">
      <alignment horizontal="left" vertical="center" indent="13"/>
    </xf>
    <xf numFmtId="0" fontId="7" fillId="0" borderId="0" xfId="0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3"/>
    </xf>
    <xf numFmtId="0" fontId="11" fillId="0" borderId="0" xfId="0" applyFont="1" applyAlignment="1">
      <alignment horizontal="left" vertical="center" indent="18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vertical="center"/>
    </xf>
    <xf numFmtId="0" fontId="13" fillId="0" borderId="0" xfId="0" applyFont="1"/>
    <xf numFmtId="0" fontId="13" fillId="0" borderId="0" xfId="0" applyFont="1" applyAlignment="1">
      <alignment horizontal="left" vertical="center" indent="18"/>
    </xf>
    <xf numFmtId="0" fontId="13" fillId="0" borderId="0" xfId="0" applyFont="1" applyAlignment="1">
      <alignment horizontal="center" vertical="center"/>
    </xf>
    <xf numFmtId="3" fontId="13" fillId="0" borderId="0" xfId="0" applyNumberFormat="1" applyFont="1" applyAlignment="1">
      <alignment vertical="center"/>
    </xf>
    <xf numFmtId="0" fontId="10" fillId="0" borderId="0" xfId="0" applyFont="1"/>
    <xf numFmtId="0" fontId="13" fillId="0" borderId="0" xfId="0" applyFont="1" applyAlignment="1">
      <alignment horizontal="center"/>
    </xf>
    <xf numFmtId="3" fontId="13" fillId="0" borderId="0" xfId="0" applyNumberFormat="1" applyFont="1"/>
    <xf numFmtId="0" fontId="14" fillId="0" borderId="0" xfId="0" applyFont="1" applyAlignment="1">
      <alignment vertical="center"/>
    </xf>
    <xf numFmtId="0" fontId="15" fillId="0" borderId="0" xfId="0" applyFont="1"/>
    <xf numFmtId="164" fontId="13" fillId="0" borderId="0" xfId="0" applyNumberFormat="1" applyFont="1"/>
    <xf numFmtId="49" fontId="16" fillId="0" borderId="0" xfId="0" applyNumberFormat="1" applyFont="1" applyAlignment="1">
      <alignment vertical="center" wrapText="1"/>
    </xf>
    <xf numFmtId="49" fontId="16" fillId="0" borderId="0" xfId="0" applyNumberFormat="1" applyFont="1" applyAlignment="1">
      <alignment vertical="center"/>
    </xf>
    <xf numFmtId="0" fontId="10" fillId="0" borderId="11" xfId="0" applyFont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3" fontId="10" fillId="2" borderId="11" xfId="0" applyNumberFormat="1" applyFont="1" applyFill="1" applyBorder="1" applyAlignment="1">
      <alignment horizontal="center" vertical="center" wrapText="1"/>
    </xf>
    <xf numFmtId="49" fontId="15" fillId="0" borderId="0" xfId="0" applyNumberFormat="1" applyFont="1" applyAlignment="1">
      <alignment horizontal="right" vertical="center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 readingOrder="1"/>
    </xf>
    <xf numFmtId="3" fontId="13" fillId="2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4" fillId="0" borderId="7" xfId="1" applyNumberFormat="1" applyFont="1" applyFill="1" applyBorder="1" applyAlignment="1" applyProtection="1">
      <alignment horizontal="center" vertical="center" wrapText="1"/>
    </xf>
    <xf numFmtId="49" fontId="4" fillId="0" borderId="8" xfId="1" applyNumberFormat="1" applyFont="1" applyFill="1" applyBorder="1" applyAlignment="1" applyProtection="1">
      <alignment horizontal="center" vertical="center" wrapText="1"/>
    </xf>
    <xf numFmtId="49" fontId="4" fillId="0" borderId="9" xfId="1" applyNumberFormat="1" applyFont="1" applyFill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left" indent="1"/>
    </xf>
    <xf numFmtId="0" fontId="1" fillId="0" borderId="1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13" fillId="3" borderId="1" xfId="0" quotePrefix="1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 wrapText="1"/>
    </xf>
    <xf numFmtId="3" fontId="13" fillId="3" borderId="1" xfId="0" applyNumberFormat="1" applyFont="1" applyFill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237007</xdr:colOff>
      <xdr:row>0</xdr:row>
      <xdr:rowOff>156827</xdr:rowOff>
    </xdr:from>
    <xdr:to>
      <xdr:col>2</xdr:col>
      <xdr:colOff>984354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007" y="156827"/>
          <a:ext cx="1998021" cy="5811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70"/>
  <sheetViews>
    <sheetView tabSelected="1" view="pageBreakPreview" topLeftCell="A12" zoomScale="130" zoomScaleNormal="85" zoomScaleSheetLayoutView="130" workbookViewId="0">
      <selection activeCell="N18" sqref="N18"/>
    </sheetView>
  </sheetViews>
  <sheetFormatPr defaultColWidth="9.140625" defaultRowHeight="16.5"/>
  <cols>
    <col min="1" max="1" width="5.7109375" style="1" customWidth="1"/>
    <col min="2" max="2" width="13" style="2" customWidth="1"/>
    <col min="3" max="3" width="18.140625" style="2" customWidth="1"/>
    <col min="4" max="4" width="10.85546875" style="2" customWidth="1"/>
    <col min="5" max="5" width="11.5703125" style="2" customWidth="1"/>
    <col min="6" max="6" width="15.85546875" style="2" customWidth="1"/>
    <col min="7" max="7" width="19.28515625" style="3" customWidth="1"/>
    <col min="8" max="8" width="22.7109375" style="4" customWidth="1"/>
    <col min="9" max="9" width="14" style="5" customWidth="1"/>
    <col min="10" max="12" width="9.140625" style="2"/>
    <col min="13" max="13" width="9.140625" style="2" hidden="1" customWidth="1"/>
    <col min="14" max="16384" width="9.140625" style="2"/>
  </cols>
  <sheetData>
    <row r="1" spans="1:10 16384:16384" ht="21.95" customHeight="1">
      <c r="A1" s="54"/>
      <c r="B1" s="54"/>
      <c r="C1" s="54"/>
      <c r="D1" s="59" t="s">
        <v>0</v>
      </c>
      <c r="E1" s="59"/>
      <c r="F1" s="59"/>
      <c r="G1" s="59"/>
      <c r="H1" s="59"/>
      <c r="I1" s="59"/>
    </row>
    <row r="2" spans="1:10 16384:16384" ht="15.95" customHeight="1">
      <c r="A2" s="54"/>
      <c r="B2" s="54"/>
      <c r="C2" s="54"/>
      <c r="D2" s="60" t="s">
        <v>1</v>
      </c>
      <c r="E2" s="61"/>
      <c r="F2" s="61"/>
      <c r="G2" s="61"/>
      <c r="H2" s="61"/>
      <c r="I2" s="62"/>
    </row>
    <row r="3" spans="1:10 16384:16384" ht="15.95" customHeight="1">
      <c r="A3" s="54"/>
      <c r="B3" s="54"/>
      <c r="C3" s="54"/>
      <c r="D3" s="45" t="s">
        <v>2</v>
      </c>
      <c r="E3" s="46"/>
      <c r="F3" s="46"/>
      <c r="G3" s="46"/>
      <c r="H3" s="46"/>
      <c r="I3" s="47"/>
    </row>
    <row r="4" spans="1:10 16384:16384" ht="15.95" customHeight="1">
      <c r="A4" s="54"/>
      <c r="B4" s="54"/>
      <c r="C4" s="54"/>
      <c r="D4" s="48" t="s">
        <v>3</v>
      </c>
      <c r="E4" s="49"/>
      <c r="F4" s="49"/>
      <c r="G4" s="49"/>
      <c r="H4" s="49"/>
      <c r="I4" s="50"/>
    </row>
    <row r="5" spans="1:10 16384:16384" ht="21.95" customHeight="1">
      <c r="A5" s="51" t="s">
        <v>4</v>
      </c>
      <c r="B5" s="51"/>
      <c r="C5" s="51"/>
      <c r="D5" s="52"/>
      <c r="E5" s="52"/>
      <c r="F5" s="52"/>
      <c r="G5" s="52"/>
      <c r="H5" s="52"/>
      <c r="I5" s="52"/>
    </row>
    <row r="6" spans="1:10 16384:16384" ht="15.95" customHeight="1">
      <c r="A6" s="58" t="s">
        <v>26</v>
      </c>
      <c r="B6" s="58"/>
      <c r="C6" s="58"/>
      <c r="D6" s="58"/>
      <c r="E6" s="33"/>
      <c r="F6" s="34"/>
      <c r="G6" s="34"/>
      <c r="H6" s="34"/>
      <c r="I6" s="39" t="s">
        <v>55</v>
      </c>
    </row>
    <row r="7" spans="1:10 16384:16384" ht="15.95" customHeight="1">
      <c r="A7" s="58" t="s">
        <v>5</v>
      </c>
      <c r="B7" s="58"/>
      <c r="C7" s="58"/>
      <c r="D7" s="58"/>
      <c r="E7" s="33"/>
      <c r="F7" s="35"/>
      <c r="G7" s="35"/>
      <c r="H7" s="35"/>
      <c r="I7" s="35"/>
    </row>
    <row r="8" spans="1:10 16384:16384" ht="15.95" customHeight="1">
      <c r="A8" s="58" t="s">
        <v>6</v>
      </c>
      <c r="B8" s="58"/>
      <c r="C8" s="58"/>
      <c r="D8" s="58"/>
      <c r="E8" s="33"/>
      <c r="F8" s="34"/>
      <c r="G8" s="34"/>
      <c r="H8" s="34"/>
      <c r="I8" s="34"/>
    </row>
    <row r="9" spans="1:10 16384:16384" ht="15.95" customHeight="1">
      <c r="A9" s="58" t="s">
        <v>7</v>
      </c>
      <c r="B9" s="58"/>
      <c r="C9" s="58"/>
      <c r="D9" s="58"/>
      <c r="E9" s="33"/>
      <c r="F9" s="34"/>
      <c r="G9" s="34"/>
      <c r="H9" s="34"/>
      <c r="I9" s="34"/>
    </row>
    <row r="10" spans="1:10 16384:16384" ht="15.95" customHeight="1">
      <c r="A10" s="36" t="s">
        <v>8</v>
      </c>
      <c r="B10" s="36" t="s">
        <v>9</v>
      </c>
      <c r="C10" s="37" t="s">
        <v>10</v>
      </c>
      <c r="D10" s="37" t="s">
        <v>11</v>
      </c>
      <c r="E10" s="37" t="s">
        <v>12</v>
      </c>
      <c r="F10" s="37" t="s">
        <v>13</v>
      </c>
      <c r="G10" s="37" t="s">
        <v>14</v>
      </c>
      <c r="H10" s="37" t="s">
        <v>15</v>
      </c>
      <c r="I10" s="38" t="s">
        <v>16</v>
      </c>
      <c r="J10" s="6"/>
    </row>
    <row r="11" spans="1:10 16384:16384" ht="27.95" customHeight="1">
      <c r="A11" s="43">
        <v>1</v>
      </c>
      <c r="B11" s="43" t="s">
        <v>22</v>
      </c>
      <c r="C11" s="63" t="s">
        <v>32</v>
      </c>
      <c r="D11" s="40"/>
      <c r="E11" s="44" t="s">
        <v>21</v>
      </c>
      <c r="F11" s="44" t="s">
        <v>40</v>
      </c>
      <c r="G11" s="44" t="s">
        <v>41</v>
      </c>
      <c r="H11" s="44" t="s">
        <v>42</v>
      </c>
      <c r="I11" s="66"/>
      <c r="J11" s="6"/>
    </row>
    <row r="12" spans="1:10 16384:16384" ht="27.95" customHeight="1">
      <c r="A12" s="43">
        <v>2</v>
      </c>
      <c r="B12" s="43" t="s">
        <v>35</v>
      </c>
      <c r="C12" s="63" t="s">
        <v>27</v>
      </c>
      <c r="D12" s="40"/>
      <c r="E12" s="44" t="s">
        <v>24</v>
      </c>
      <c r="F12" s="44"/>
      <c r="G12" s="44" t="s">
        <v>43</v>
      </c>
      <c r="H12" s="44" t="s">
        <v>44</v>
      </c>
      <c r="I12" s="66">
        <v>260000</v>
      </c>
      <c r="J12" s="6"/>
    </row>
    <row r="13" spans="1:10 16384:16384" ht="27.95" customHeight="1">
      <c r="A13" s="43">
        <v>3</v>
      </c>
      <c r="B13" s="43" t="s">
        <v>22</v>
      </c>
      <c r="C13" s="63" t="s">
        <v>33</v>
      </c>
      <c r="D13" s="40"/>
      <c r="E13" s="44" t="s">
        <v>24</v>
      </c>
      <c r="F13" s="44" t="s">
        <v>36</v>
      </c>
      <c r="G13" s="44" t="s">
        <v>45</v>
      </c>
      <c r="H13" s="44" t="s">
        <v>46</v>
      </c>
      <c r="I13" s="66"/>
      <c r="J13" s="6"/>
    </row>
    <row r="14" spans="1:10 16384:16384" ht="27.95" customHeight="1">
      <c r="A14" s="43">
        <v>4</v>
      </c>
      <c r="B14" s="43" t="s">
        <v>22</v>
      </c>
      <c r="C14" s="63" t="s">
        <v>34</v>
      </c>
      <c r="D14" s="40"/>
      <c r="E14" s="44" t="s">
        <v>24</v>
      </c>
      <c r="F14" s="44" t="s">
        <v>37</v>
      </c>
      <c r="G14" s="44" t="s">
        <v>25</v>
      </c>
      <c r="H14" s="44" t="s">
        <v>47</v>
      </c>
      <c r="I14" s="66"/>
      <c r="J14" s="6"/>
      <c r="XFD14" s="2">
        <f>MAX(A14:XFC14)</f>
        <v>4</v>
      </c>
    </row>
    <row r="15" spans="1:10 16384:16384" ht="27.95" customHeight="1">
      <c r="A15" s="43">
        <v>5</v>
      </c>
      <c r="B15" s="43" t="s">
        <v>22</v>
      </c>
      <c r="C15" s="63" t="s">
        <v>28</v>
      </c>
      <c r="D15" s="40"/>
      <c r="E15" s="44" t="s">
        <v>24</v>
      </c>
      <c r="F15" s="44" t="s">
        <v>38</v>
      </c>
      <c r="G15" s="44" t="s">
        <v>48</v>
      </c>
      <c r="H15" s="44" t="s">
        <v>49</v>
      </c>
      <c r="I15" s="66"/>
      <c r="J15" s="6"/>
    </row>
    <row r="16" spans="1:10 16384:16384" ht="27.95" customHeight="1">
      <c r="A16" s="43">
        <v>6</v>
      </c>
      <c r="B16" s="43" t="s">
        <v>35</v>
      </c>
      <c r="C16" s="63" t="s">
        <v>29</v>
      </c>
      <c r="D16" s="40"/>
      <c r="E16" s="44" t="s">
        <v>24</v>
      </c>
      <c r="F16" s="44"/>
      <c r="G16" s="44" t="s">
        <v>43</v>
      </c>
      <c r="H16" s="44" t="s">
        <v>44</v>
      </c>
      <c r="I16" s="66">
        <v>260000</v>
      </c>
      <c r="J16" s="6"/>
    </row>
    <row r="17" spans="1:10 16384:16384" ht="27.95" customHeight="1">
      <c r="A17" s="43">
        <v>7</v>
      </c>
      <c r="B17" s="43" t="s">
        <v>35</v>
      </c>
      <c r="C17" s="63" t="s">
        <v>30</v>
      </c>
      <c r="D17" s="40"/>
      <c r="E17" s="44" t="s">
        <v>21</v>
      </c>
      <c r="F17" s="44" t="s">
        <v>39</v>
      </c>
      <c r="G17" s="44" t="s">
        <v>50</v>
      </c>
      <c r="H17" s="44" t="s">
        <v>51</v>
      </c>
      <c r="I17" s="42"/>
      <c r="J17" s="6"/>
    </row>
    <row r="18" spans="1:10 16384:16384" ht="27.95" customHeight="1">
      <c r="A18" s="43">
        <v>8</v>
      </c>
      <c r="B18" s="43" t="s">
        <v>23</v>
      </c>
      <c r="C18" s="44" t="s">
        <v>31</v>
      </c>
      <c r="D18" s="40"/>
      <c r="E18" s="44"/>
      <c r="F18" s="41"/>
      <c r="G18" s="44" t="s">
        <v>52</v>
      </c>
      <c r="H18" s="44" t="s">
        <v>53</v>
      </c>
      <c r="I18" s="42"/>
      <c r="J18" s="6"/>
    </row>
    <row r="19" spans="1:10 16384:16384" ht="15.95" customHeight="1">
      <c r="A19" s="67"/>
      <c r="B19" s="68"/>
      <c r="C19" s="68"/>
      <c r="D19" s="68"/>
      <c r="E19" s="68"/>
      <c r="F19" s="68"/>
      <c r="G19" s="69"/>
      <c r="H19" s="64" t="s">
        <v>54</v>
      </c>
      <c r="I19" s="65">
        <f>SUM(I11:I18)</f>
        <v>520000</v>
      </c>
      <c r="J19" s="6"/>
      <c r="XFD19" s="2">
        <f>SUM(XFD14:XFD18)</f>
        <v>4</v>
      </c>
    </row>
    <row r="20" spans="1:10 16384:16384" ht="15.95" customHeight="1">
      <c r="A20" s="9"/>
      <c r="B20" s="10"/>
      <c r="C20" s="10"/>
      <c r="D20" s="7"/>
      <c r="E20" s="7"/>
      <c r="F20" s="12"/>
      <c r="G20" s="8"/>
      <c r="H20" s="7"/>
      <c r="I20" s="11"/>
    </row>
    <row r="21" spans="1:10 16384:16384" ht="15.95" customHeight="1">
      <c r="A21" s="55" t="s">
        <v>17</v>
      </c>
      <c r="B21" s="55"/>
      <c r="C21" s="55"/>
      <c r="D21" s="55"/>
      <c r="E21" s="14"/>
      <c r="F21" s="15"/>
      <c r="G21" s="56" t="s">
        <v>18</v>
      </c>
      <c r="H21" s="56"/>
      <c r="I21" s="56"/>
    </row>
    <row r="22" spans="1:10 16384:16384" ht="15.95" customHeight="1">
      <c r="A22" s="57" t="s">
        <v>19</v>
      </c>
      <c r="B22" s="57"/>
      <c r="C22" s="57"/>
      <c r="D22" s="57"/>
      <c r="E22" s="31"/>
      <c r="F22" s="32"/>
      <c r="G22" s="57" t="s">
        <v>19</v>
      </c>
      <c r="H22" s="57"/>
      <c r="I22" s="57"/>
    </row>
    <row r="23" spans="1:10 16384:16384" ht="15.95" customHeight="1">
      <c r="A23" s="17"/>
      <c r="B23" s="13"/>
      <c r="C23" s="13"/>
      <c r="D23" s="13"/>
      <c r="E23" s="13"/>
      <c r="F23" s="15"/>
      <c r="G23" s="18"/>
      <c r="H23" s="16"/>
      <c r="I23" s="16"/>
    </row>
    <row r="24" spans="1:10 16384:16384" ht="15.95" customHeight="1">
      <c r="A24" s="19"/>
      <c r="B24" s="20"/>
      <c r="C24" s="20"/>
      <c r="D24" s="16"/>
      <c r="E24" s="16"/>
      <c r="F24" s="15"/>
      <c r="G24" s="18"/>
      <c r="H24" s="16"/>
      <c r="I24" s="21"/>
    </row>
    <row r="25" spans="1:10 16384:16384" ht="15.95" customHeight="1">
      <c r="A25" s="19"/>
      <c r="B25" s="20"/>
      <c r="C25" s="20"/>
      <c r="D25" s="16"/>
      <c r="E25" s="16"/>
      <c r="F25" s="22"/>
      <c r="G25" s="18"/>
      <c r="H25" s="16"/>
      <c r="I25" s="21"/>
    </row>
    <row r="26" spans="1:10 16384:16384" ht="15.95" customHeight="1">
      <c r="A26" s="19"/>
      <c r="B26" s="20"/>
      <c r="C26" s="20"/>
      <c r="D26" s="16"/>
      <c r="E26" s="16"/>
      <c r="F26" s="22"/>
      <c r="G26" s="18"/>
      <c r="H26" s="16"/>
      <c r="I26" s="21"/>
    </row>
    <row r="27" spans="1:10 16384:16384" ht="15.95" customHeight="1">
      <c r="A27" s="17"/>
      <c r="B27" s="23"/>
      <c r="C27" s="23"/>
      <c r="D27" s="23"/>
      <c r="E27" s="23"/>
      <c r="F27" s="24"/>
      <c r="G27" s="25"/>
      <c r="H27" s="26"/>
      <c r="I27" s="27"/>
    </row>
    <row r="28" spans="1:10 16384:16384" ht="15.95" customHeight="1">
      <c r="A28" s="55" t="s">
        <v>20</v>
      </c>
      <c r="B28" s="55"/>
      <c r="C28" s="55"/>
      <c r="D28" s="55"/>
      <c r="E28" s="14"/>
      <c r="F28" s="28"/>
      <c r="G28" s="55" t="s">
        <v>56</v>
      </c>
      <c r="H28" s="55"/>
      <c r="I28" s="55"/>
    </row>
    <row r="29" spans="1:10 16384:16384" ht="15.95" customHeight="1">
      <c r="A29" s="28"/>
      <c r="B29" s="24"/>
      <c r="C29" s="24"/>
      <c r="D29" s="24"/>
      <c r="E29" s="24"/>
      <c r="F29" s="24"/>
      <c r="G29" s="26"/>
      <c r="H29" s="29"/>
      <c r="I29" s="30"/>
    </row>
    <row r="31" spans="1:10 16384:16384" ht="17.25">
      <c r="B31" s="53"/>
      <c r="C31" s="53"/>
    </row>
    <row r="70" ht="20.25" customHeight="1"/>
  </sheetData>
  <mergeCells count="18">
    <mergeCell ref="D2:I2"/>
    <mergeCell ref="A19:G19"/>
    <mergeCell ref="D3:I3"/>
    <mergeCell ref="D4:I4"/>
    <mergeCell ref="A5:I5"/>
    <mergeCell ref="B31:C31"/>
    <mergeCell ref="A1:C4"/>
    <mergeCell ref="A21:D21"/>
    <mergeCell ref="G21:I21"/>
    <mergeCell ref="A22:D22"/>
    <mergeCell ref="G22:I22"/>
    <mergeCell ref="A28:D28"/>
    <mergeCell ref="G28:I28"/>
    <mergeCell ref="A6:D6"/>
    <mergeCell ref="A7:D7"/>
    <mergeCell ref="A8:D8"/>
    <mergeCell ref="A9:D9"/>
    <mergeCell ref="D1:I1"/>
  </mergeCells>
  <pageMargins left="0.70866141732283472" right="0.70866141732283472" top="0.55118110236220474" bottom="0.74803149606299213" header="0.31496062992125984" footer="0.31496062992125984"/>
  <pageSetup paperSize="9" scale="9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2026-08-13T07:11:26Z</cp:lastPrinted>
  <dcterms:created xsi:type="dcterms:W3CDTF">2014-07-04T07:04:00Z</dcterms:created>
  <dcterms:modified xsi:type="dcterms:W3CDTF">2026-08-13T07:18:56Z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EAE7E1CF443646E4AA89E190634A9689_12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