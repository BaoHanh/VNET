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1. Báo giá sửa chữa\"/>
    </mc:Choice>
  </mc:AlternateContent>
  <xr:revisionPtr revIDLastSave="0" documentId="13_ncr:1_{6A66DD0B-6F89-41E8-9373-EE2A46F0CE3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BG!$A$1:$K$38</definedName>
  </definedNames>
  <calcPr calcId="181029"/>
</workbook>
</file>

<file path=xl/calcChain.xml><?xml version="1.0" encoding="utf-8"?>
<calcChain xmlns="http://schemas.openxmlformats.org/spreadsheetml/2006/main">
  <c r="K19" i="1" l="1"/>
  <c r="K20" i="1"/>
  <c r="K21" i="1"/>
  <c r="K22" i="1"/>
  <c r="K23" i="1"/>
  <c r="K24" i="1"/>
  <c r="K25" i="1"/>
  <c r="K26" i="1"/>
  <c r="K11" i="1" l="1"/>
  <c r="K12" i="1"/>
  <c r="K13" i="1"/>
  <c r="K14" i="1"/>
  <c r="K15" i="1"/>
  <c r="K16" i="1"/>
  <c r="K17" i="1"/>
  <c r="K18" i="1"/>
  <c r="K27" i="1"/>
  <c r="K28" i="1"/>
  <c r="K10" i="1"/>
  <c r="K9" i="1"/>
</calcChain>
</file>

<file path=xl/sharedStrings.xml><?xml version="1.0" encoding="utf-8"?>
<sst xmlns="http://schemas.openxmlformats.org/spreadsheetml/2006/main" count="147" uniqueCount="87">
  <si>
    <t xml:space="preserve">STT </t>
  </si>
  <si>
    <t xml:space="preserve"> </t>
  </si>
  <si>
    <t>Công Ty CP Công Nghệ Điện Tử &amp; Viễn Thông Việt Nam</t>
  </si>
  <si>
    <t>Nguyễn Minh Tùng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</si>
  <si>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</si>
  <si>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</si>
  <si>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</si>
  <si>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</si>
  <si>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Người Lập</t>
  </si>
  <si>
    <t>Đơn Vị Tính</t>
  </si>
  <si>
    <t>Số Lượng</t>
  </si>
  <si>
    <t>Đơn Giá</t>
  </si>
  <si>
    <t>Thành Tiền</t>
  </si>
  <si>
    <t>Xác Định Lỗi</t>
  </si>
  <si>
    <t>Mô Tả Linh 
Kiện Thay Thế</t>
  </si>
  <si>
    <t>Model</t>
  </si>
  <si>
    <t>Khách Hàng</t>
  </si>
  <si>
    <t>IMEI</t>
  </si>
  <si>
    <t>Ghi Chú</t>
  </si>
  <si>
    <t>Họ tên người lập: Nguyễn Minh Tùng</t>
  </si>
  <si>
    <t>Phòng ban/ Bộ phận: PKT/ BH-SX</t>
  </si>
  <si>
    <t>TP. Kỹ Thuật</t>
  </si>
  <si>
    <t>Đào Văn Thông</t>
  </si>
  <si>
    <t>TP. KTTH</t>
  </si>
  <si>
    <t>Trần Thị Thu Hà</t>
  </si>
  <si>
    <t>Giám Đốc</t>
  </si>
  <si>
    <t>Nguyễn Hải</t>
  </si>
  <si>
    <t>Hà Nội, ngày 28 tháng 08 năm 2026</t>
  </si>
  <si>
    <t>TỔNG HỢP PHÍ DỊCH VỤ SỬA CHỮA BẢO HÀNH THÁNG 8/2026</t>
  </si>
  <si>
    <t>TG102LE-4G</t>
  </si>
  <si>
    <t>006080056250512</t>
  </si>
  <si>
    <t>006011074343088</t>
  </si>
  <si>
    <t>Module SIM oxi hoá, 
lỗi GSM, GPS</t>
  </si>
  <si>
    <t>Module SIM (GPS)</t>
  </si>
  <si>
    <t>Lỗi GPS</t>
  </si>
  <si>
    <t>Chiếc</t>
  </si>
  <si>
    <t>VNSH02</t>
  </si>
  <si>
    <t>0032003F82</t>
  </si>
  <si>
    <t>0032002B3E</t>
  </si>
  <si>
    <t>006011074320466</t>
  </si>
  <si>
    <t>Lỗi khay sim</t>
  </si>
  <si>
    <t>Khay sim nano</t>
  </si>
  <si>
    <t>Module sim (GPS)</t>
  </si>
  <si>
    <t>0032004A24</t>
  </si>
  <si>
    <t>Lỗi khay SIM</t>
  </si>
  <si>
    <t>Khay Nano SIM</t>
  </si>
  <si>
    <t>0032002775</t>
  </si>
  <si>
    <t>00320013AF</t>
  </si>
  <si>
    <t>0032004329</t>
  </si>
  <si>
    <t>VNSH01</t>
  </si>
  <si>
    <t>00BD000993</t>
  </si>
  <si>
    <t>Module GPS</t>
  </si>
  <si>
    <t>00BD000CC2</t>
  </si>
  <si>
    <t>Lỗi nguồn</t>
  </si>
  <si>
    <t>IC điều khiển nguồn</t>
  </si>
  <si>
    <t>006011074328386</t>
  </si>
  <si>
    <t>0032001125</t>
  </si>
  <si>
    <t>Lỗi Module GPS</t>
  </si>
  <si>
    <t>Thay Module GPS</t>
  </si>
  <si>
    <t>006011074343138</t>
  </si>
  <si>
    <t>003200137D</t>
  </si>
  <si>
    <t>Không quay được số</t>
  </si>
  <si>
    <t>Thay Module SIM</t>
  </si>
  <si>
    <t>Phí sửa chữa đã thanh toán cho kế toán (25/08/2026)</t>
  </si>
  <si>
    <t>007785070558377</t>
  </si>
  <si>
    <t>007785070554368</t>
  </si>
  <si>
    <t>Không có dịch vụ mạng</t>
  </si>
  <si>
    <t>Kích hoạt lại dịch vụ eSIM</t>
  </si>
  <si>
    <t>003200706B</t>
  </si>
  <si>
    <t>0032004CDA</t>
  </si>
  <si>
    <t>Thường xuyên mất GPS</t>
  </si>
  <si>
    <t>Thay module GPS</t>
  </si>
  <si>
    <t>Công nợ ghi 
CSKH Hương</t>
  </si>
  <si>
    <t>003200126C</t>
  </si>
  <si>
    <t>Đại lý Anh 
Hồng Phú Thọ</t>
  </si>
  <si>
    <t>Đại lý Anh Trực</t>
  </si>
  <si>
    <t>Đại lý Anh 
Tuấn Bắc Giang</t>
  </si>
  <si>
    <t>Đại lý Anh 
Tuấn Ninh Bình</t>
  </si>
  <si>
    <t>Đại lý Gia Thành</t>
  </si>
  <si>
    <t>Đại lý Hoàng Anh Nghệ An</t>
  </si>
  <si>
    <t>Đại lý Ngọc Hoàn</t>
  </si>
  <si>
    <t>Đại lý SEA</t>
  </si>
  <si>
    <t>Đại lý Thành 
Tâm Nha Trang</t>
  </si>
  <si>
    <t>Đại lý Victory</t>
  </si>
  <si>
    <t>Công nợ ghi 
kinh doanh</t>
  </si>
  <si>
    <t>Công nợ 
ghi kinh doanh</t>
  </si>
  <si>
    <t>Đại lý Nguyễn Cương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</si>
</sst>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sz val="13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3" fontId="7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14" fillId="0" borderId="0" xfId="0" applyFont="1"/>
    <xf numFmtId="0" fontId="11" fillId="0" borderId="1" xfId="0" quotePrefix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3" xfId="0" quotePrefix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1" fillId="0" borderId="0" xfId="0" applyFont="1" applyAlignment="1">
      <alignment horizontal="left" indent="1"/>
    </xf>
    <xf numFmtId="0" fontId="11" fillId="0" borderId="5" xfId="0" applyFont="1" applyBorder="1" applyAlignment="1">
      <alignment horizontal="left" indent="1"/>
    </xf>
    <xf numFmtId="0" fontId="1" fillId="2" borderId="1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328414</xdr:colOff>
      <xdr:row>0</xdr:row>
      <xdr:rowOff>161192</xdr:rowOff>
    </xdr:from>
    <xdr:to>
      <xdr:col>3</xdr:col>
      <xdr:colOff>388325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433" y="161192"/>
          <a:ext cx="2089469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57"/>
  <sheetViews>
    <sheetView tabSelected="1" view="pageBreakPreview" topLeftCell="A19" zoomScale="130" zoomScaleNormal="84" zoomScaleSheetLayoutView="130" workbookViewId="0">
      <selection activeCell="H34" sqref="H34"/>
    </sheetView>
  </sheetViews>
  <sheetFormatPr defaultColWidth="9.140625" defaultRowHeight="16.5" outlineLevelCol="1" x14ac:dyDescent="0.25"/>
  <cols>
    <col min="1" max="1" width="5.42578125" style="1" customWidth="1"/>
    <col min="2" max="2" width="16" style="1" customWidth="1"/>
    <col min="3" max="3" width="14.42578125" style="1" customWidth="1"/>
    <col min="4" max="4" width="17.140625" style="1" customWidth="1"/>
    <col min="5" max="5" width="15.42578125" style="1" customWidth="1"/>
    <col min="6" max="6" width="19.28515625" style="1" customWidth="1"/>
    <col min="7" max="7" width="20.42578125" style="3" customWidth="1"/>
    <col min="8" max="8" width="11.7109375" style="1" customWidth="1"/>
    <col min="9" max="9" width="11.7109375" style="3" customWidth="1" outlineLevel="1"/>
    <col min="10" max="10" width="12.140625" style="3" customWidth="1" outlineLevel="1"/>
    <col min="11" max="11" width="12.5703125" style="24" customWidth="1"/>
    <col min="12" max="13" width="9.140625" style="1"/>
    <col min="14" max="15" width="11.42578125" style="1" bestFit="1" customWidth="1"/>
    <col min="16" max="26" width="9.140625" style="1"/>
    <col min="27" max="27" width="14" style="1" customWidth="1"/>
    <col min="28" max="28" width="19.28515625" style="1" customWidth="1"/>
    <col min="29" max="16384" width="9.140625" style="1"/>
  </cols>
  <sheetData>
    <row r="1" spans="1:28" x14ac:dyDescent="0.25">
      <c r="A1" s="52"/>
      <c r="B1" s="52"/>
      <c r="C1" s="52"/>
      <c r="D1" s="52"/>
      <c r="E1" s="53" t="s">
        <v>2</v>
      </c>
      <c r="F1" s="54"/>
      <c r="G1" s="54"/>
      <c r="H1" s="54"/>
      <c r="I1" s="54"/>
      <c r="J1" s="54"/>
      <c r="K1" s="55"/>
    </row>
    <row r="2" spans="1:28" x14ac:dyDescent="0.25">
      <c r="A2" s="52"/>
      <c r="B2" s="52"/>
      <c r="C2" s="52"/>
      <c r="D2" s="52"/>
      <c r="E2" s="56" t="s">
        <v>5</v>
      </c>
      <c r="F2" s="57"/>
      <c r="G2" s="57"/>
      <c r="H2" s="57"/>
      <c r="I2" s="57"/>
      <c r="J2" s="57"/>
      <c r="K2" s="58"/>
    </row>
    <row r="3" spans="1:28" x14ac:dyDescent="0.25">
      <c r="A3" s="52"/>
      <c r="B3" s="52"/>
      <c r="C3" s="52"/>
      <c r="D3" s="52"/>
      <c r="E3" s="59" t="s">
        <v>6</v>
      </c>
      <c r="F3" s="60"/>
      <c r="G3" s="60"/>
      <c r="H3" s="60"/>
      <c r="I3" s="60"/>
      <c r="J3" s="60"/>
      <c r="K3" s="61"/>
    </row>
    <row r="4" spans="1:28" x14ac:dyDescent="0.25">
      <c r="A4" s="52"/>
      <c r="B4" s="52"/>
      <c r="C4" s="52"/>
      <c r="D4" s="52"/>
      <c r="E4" s="62" t="s">
        <v>7</v>
      </c>
      <c r="F4" s="63"/>
      <c r="G4" s="63"/>
      <c r="H4" s="63"/>
      <c r="I4" s="63"/>
      <c r="J4" s="63"/>
      <c r="K4" s="64"/>
    </row>
    <row r="5" spans="1:28" ht="20.100000000000001" customHeight="1" x14ac:dyDescent="0.25">
      <c r="A5" s="47" t="s">
        <v>28</v>
      </c>
      <c r="B5" s="48"/>
      <c r="C5" s="48"/>
      <c r="D5" s="48"/>
      <c r="E5" s="48"/>
      <c r="F5" s="48"/>
      <c r="G5" s="48"/>
      <c r="H5" s="48"/>
      <c r="I5" s="48"/>
      <c r="J5" s="48"/>
      <c r="K5" s="49"/>
    </row>
    <row r="6" spans="1:28" x14ac:dyDescent="0.25">
      <c r="A6" s="51" t="s">
        <v>19</v>
      </c>
      <c r="B6" s="51"/>
      <c r="C6" s="51"/>
      <c r="D6" s="51"/>
      <c r="E6" s="8"/>
      <c r="F6" s="8"/>
      <c r="G6" s="8"/>
      <c r="H6" s="13"/>
      <c r="I6" s="8"/>
      <c r="J6" s="8"/>
      <c r="K6" s="26" t="s">
        <v>27</v>
      </c>
    </row>
    <row r="7" spans="1:28" x14ac:dyDescent="0.25">
      <c r="A7" s="50" t="s">
        <v>20</v>
      </c>
      <c r="B7" s="50"/>
      <c r="C7" s="50"/>
      <c r="D7" s="8"/>
      <c r="E7" s="8"/>
      <c r="F7" s="8"/>
      <c r="G7" s="8"/>
      <c r="H7" s="13"/>
      <c r="I7" s="8"/>
      <c r="J7" s="8"/>
      <c r="K7" s="27"/>
    </row>
    <row r="8" spans="1:28" ht="24" x14ac:dyDescent="0.25">
      <c r="A8" s="22" t="s">
        <v>0</v>
      </c>
      <c r="B8" s="22" t="s">
        <v>16</v>
      </c>
      <c r="C8" s="22" t="s">
        <v>15</v>
      </c>
      <c r="D8" s="22" t="s">
        <v>17</v>
      </c>
      <c r="E8" s="22" t="s">
        <v>18</v>
      </c>
      <c r="F8" s="22" t="s">
        <v>13</v>
      </c>
      <c r="G8" s="23" t="s">
        <v>14</v>
      </c>
      <c r="H8" s="22" t="s">
        <v>9</v>
      </c>
      <c r="I8" s="22" t="s">
        <v>10</v>
      </c>
      <c r="J8" s="22" t="s">
        <v>11</v>
      </c>
      <c r="K8" s="28" t="s">
        <v>12</v>
      </c>
      <c r="AB8" s="2"/>
    </row>
    <row r="9" spans="1:28" ht="24" x14ac:dyDescent="0.25">
      <c r="A9" s="19">
        <v>1</v>
      </c>
      <c r="B9" s="39" t="s">
        <v>74</v>
      </c>
      <c r="C9" s="19" t="s">
        <v>29</v>
      </c>
      <c r="D9" s="33" t="s">
        <v>30</v>
      </c>
      <c r="E9" s="39" t="s">
        <v>84</v>
      </c>
      <c r="F9" s="34" t="s">
        <v>32</v>
      </c>
      <c r="G9" s="20" t="s">
        <v>33</v>
      </c>
      <c r="H9" s="19" t="s">
        <v>35</v>
      </c>
      <c r="I9" s="19">
        <v>1</v>
      </c>
      <c r="J9" s="21">
        <v>200000</v>
      </c>
      <c r="K9" s="21">
        <f>SUM(I9*J9)</f>
        <v>200000</v>
      </c>
      <c r="AB9" s="2"/>
    </row>
    <row r="10" spans="1:28" x14ac:dyDescent="0.25">
      <c r="A10" s="19">
        <v>2</v>
      </c>
      <c r="B10" s="41"/>
      <c r="C10" s="19" t="s">
        <v>29</v>
      </c>
      <c r="D10" s="33" t="s">
        <v>31</v>
      </c>
      <c r="E10" s="42"/>
      <c r="F10" s="34" t="s">
        <v>34</v>
      </c>
      <c r="G10" s="20" t="s">
        <v>33</v>
      </c>
      <c r="H10" s="19" t="s">
        <v>35</v>
      </c>
      <c r="I10" s="19">
        <v>1</v>
      </c>
      <c r="J10" s="21">
        <v>200000</v>
      </c>
      <c r="K10" s="21">
        <f>SUM(I10*J10)</f>
        <v>200000</v>
      </c>
      <c r="AB10" s="2"/>
    </row>
    <row r="11" spans="1:28" x14ac:dyDescent="0.25">
      <c r="A11" s="19">
        <v>3</v>
      </c>
      <c r="B11" s="39" t="s">
        <v>75</v>
      </c>
      <c r="C11" s="20" t="s">
        <v>36</v>
      </c>
      <c r="D11" s="19" t="s">
        <v>37</v>
      </c>
      <c r="E11" s="42"/>
      <c r="F11" s="37" t="s">
        <v>40</v>
      </c>
      <c r="G11" s="20" t="s">
        <v>41</v>
      </c>
      <c r="H11" s="19" t="s">
        <v>35</v>
      </c>
      <c r="I11" s="19">
        <v>1</v>
      </c>
      <c r="J11" s="21">
        <v>130000</v>
      </c>
      <c r="K11" s="21">
        <f t="shared" ref="K11:K28" si="0">SUM(I11*J11)</f>
        <v>130000</v>
      </c>
      <c r="AB11" s="2"/>
    </row>
    <row r="12" spans="1:28" x14ac:dyDescent="0.25">
      <c r="A12" s="19">
        <v>4</v>
      </c>
      <c r="B12" s="40"/>
      <c r="C12" s="20" t="s">
        <v>36</v>
      </c>
      <c r="D12" s="19" t="s">
        <v>38</v>
      </c>
      <c r="E12" s="42"/>
      <c r="F12" s="37" t="s">
        <v>40</v>
      </c>
      <c r="G12" s="20" t="s">
        <v>41</v>
      </c>
      <c r="H12" s="19" t="s">
        <v>35</v>
      </c>
      <c r="I12" s="19">
        <v>1</v>
      </c>
      <c r="J12" s="21">
        <v>130000</v>
      </c>
      <c r="K12" s="21">
        <f t="shared" si="0"/>
        <v>130000</v>
      </c>
      <c r="AB12" s="2"/>
    </row>
    <row r="13" spans="1:28" x14ac:dyDescent="0.25">
      <c r="A13" s="19">
        <v>5</v>
      </c>
      <c r="B13" s="41"/>
      <c r="C13" s="19" t="s">
        <v>29</v>
      </c>
      <c r="D13" s="38" t="s">
        <v>39</v>
      </c>
      <c r="E13" s="42"/>
      <c r="F13" s="20" t="s">
        <v>34</v>
      </c>
      <c r="G13" s="20" t="s">
        <v>42</v>
      </c>
      <c r="H13" s="19" t="s">
        <v>35</v>
      </c>
      <c r="I13" s="19">
        <v>1</v>
      </c>
      <c r="J13" s="21">
        <v>200000</v>
      </c>
      <c r="K13" s="21">
        <f t="shared" si="0"/>
        <v>200000</v>
      </c>
      <c r="L13" s="32"/>
      <c r="AB13" s="2"/>
    </row>
    <row r="14" spans="1:28" ht="24" x14ac:dyDescent="0.25">
      <c r="A14" s="19">
        <v>6</v>
      </c>
      <c r="B14" s="20" t="s">
        <v>76</v>
      </c>
      <c r="C14" s="19" t="s">
        <v>36</v>
      </c>
      <c r="D14" s="35" t="s">
        <v>43</v>
      </c>
      <c r="E14" s="42"/>
      <c r="F14" s="34" t="s">
        <v>44</v>
      </c>
      <c r="G14" s="20" t="s">
        <v>45</v>
      </c>
      <c r="H14" s="19" t="s">
        <v>35</v>
      </c>
      <c r="I14" s="19">
        <v>1</v>
      </c>
      <c r="J14" s="21">
        <v>130000</v>
      </c>
      <c r="K14" s="21">
        <f t="shared" si="0"/>
        <v>130000</v>
      </c>
      <c r="AB14" s="2"/>
    </row>
    <row r="15" spans="1:28" ht="24" customHeight="1" x14ac:dyDescent="0.25">
      <c r="A15" s="19">
        <v>7</v>
      </c>
      <c r="B15" s="39" t="s">
        <v>77</v>
      </c>
      <c r="C15" s="19" t="s">
        <v>36</v>
      </c>
      <c r="D15" s="36" t="s">
        <v>46</v>
      </c>
      <c r="E15" s="42"/>
      <c r="F15" s="35" t="s">
        <v>44</v>
      </c>
      <c r="G15" s="20" t="s">
        <v>45</v>
      </c>
      <c r="H15" s="19" t="s">
        <v>35</v>
      </c>
      <c r="I15" s="19">
        <v>1</v>
      </c>
      <c r="J15" s="21">
        <v>130000</v>
      </c>
      <c r="K15" s="21">
        <f t="shared" si="0"/>
        <v>130000</v>
      </c>
      <c r="AB15" s="2"/>
    </row>
    <row r="16" spans="1:28" x14ac:dyDescent="0.25">
      <c r="A16" s="19">
        <v>8</v>
      </c>
      <c r="B16" s="40"/>
      <c r="C16" s="19" t="s">
        <v>36</v>
      </c>
      <c r="D16" s="36" t="s">
        <v>47</v>
      </c>
      <c r="E16" s="42"/>
      <c r="F16" s="35" t="s">
        <v>44</v>
      </c>
      <c r="G16" s="20" t="s">
        <v>45</v>
      </c>
      <c r="H16" s="19" t="s">
        <v>35</v>
      </c>
      <c r="I16" s="19">
        <v>1</v>
      </c>
      <c r="J16" s="21">
        <v>130000</v>
      </c>
      <c r="K16" s="21">
        <f t="shared" si="0"/>
        <v>130000</v>
      </c>
      <c r="AB16" s="2"/>
    </row>
    <row r="17" spans="1:28" ht="24" customHeight="1" x14ac:dyDescent="0.25">
      <c r="A17" s="19">
        <v>9</v>
      </c>
      <c r="B17" s="40"/>
      <c r="C17" s="35" t="s">
        <v>36</v>
      </c>
      <c r="D17" s="36" t="s">
        <v>48</v>
      </c>
      <c r="E17" s="42"/>
      <c r="F17" s="34" t="s">
        <v>44</v>
      </c>
      <c r="G17" s="20" t="s">
        <v>45</v>
      </c>
      <c r="H17" s="19" t="s">
        <v>35</v>
      </c>
      <c r="I17" s="19">
        <v>1</v>
      </c>
      <c r="J17" s="21">
        <v>130000</v>
      </c>
      <c r="K17" s="21">
        <f t="shared" si="0"/>
        <v>130000</v>
      </c>
      <c r="AB17" s="2"/>
    </row>
    <row r="18" spans="1:28" x14ac:dyDescent="0.25">
      <c r="A18" s="19">
        <v>10</v>
      </c>
      <c r="B18" s="41"/>
      <c r="C18" s="35" t="s">
        <v>49</v>
      </c>
      <c r="D18" s="35" t="s">
        <v>50</v>
      </c>
      <c r="E18" s="42"/>
      <c r="F18" s="34" t="s">
        <v>34</v>
      </c>
      <c r="G18" s="20" t="s">
        <v>51</v>
      </c>
      <c r="H18" s="19" t="s">
        <v>35</v>
      </c>
      <c r="I18" s="19">
        <v>1</v>
      </c>
      <c r="J18" s="21">
        <v>230000</v>
      </c>
      <c r="K18" s="21">
        <f t="shared" si="0"/>
        <v>230000</v>
      </c>
      <c r="AB18" s="2"/>
    </row>
    <row r="19" spans="1:28" x14ac:dyDescent="0.25">
      <c r="A19" s="19">
        <v>11</v>
      </c>
      <c r="B19" s="20" t="s">
        <v>78</v>
      </c>
      <c r="C19" s="35" t="s">
        <v>49</v>
      </c>
      <c r="D19" s="35" t="s">
        <v>52</v>
      </c>
      <c r="E19" s="42"/>
      <c r="F19" s="34" t="s">
        <v>53</v>
      </c>
      <c r="G19" s="20" t="s">
        <v>54</v>
      </c>
      <c r="H19" s="19" t="s">
        <v>35</v>
      </c>
      <c r="I19" s="19">
        <v>1</v>
      </c>
      <c r="J19" s="21">
        <v>150000</v>
      </c>
      <c r="K19" s="21">
        <f t="shared" si="0"/>
        <v>150000</v>
      </c>
      <c r="AB19" s="2"/>
    </row>
    <row r="20" spans="1:28" ht="24" x14ac:dyDescent="0.25">
      <c r="A20" s="19">
        <v>12</v>
      </c>
      <c r="B20" s="20" t="s">
        <v>79</v>
      </c>
      <c r="C20" s="35" t="s">
        <v>29</v>
      </c>
      <c r="D20" s="36" t="s">
        <v>55</v>
      </c>
      <c r="E20" s="42"/>
      <c r="F20" s="34" t="s">
        <v>34</v>
      </c>
      <c r="G20" s="20" t="s">
        <v>33</v>
      </c>
      <c r="H20" s="19" t="s">
        <v>35</v>
      </c>
      <c r="I20" s="19">
        <v>1</v>
      </c>
      <c r="J20" s="21">
        <v>200000</v>
      </c>
      <c r="K20" s="21">
        <f t="shared" si="0"/>
        <v>200000</v>
      </c>
      <c r="AB20" s="2"/>
    </row>
    <row r="21" spans="1:28" x14ac:dyDescent="0.25">
      <c r="A21" s="19">
        <v>13</v>
      </c>
      <c r="B21" s="20" t="s">
        <v>80</v>
      </c>
      <c r="C21" s="35" t="s">
        <v>36</v>
      </c>
      <c r="D21" s="36" t="s">
        <v>56</v>
      </c>
      <c r="E21" s="42"/>
      <c r="F21" s="34" t="s">
        <v>57</v>
      </c>
      <c r="G21" s="20" t="s">
        <v>58</v>
      </c>
      <c r="H21" s="19" t="s">
        <v>35</v>
      </c>
      <c r="I21" s="19">
        <v>1</v>
      </c>
      <c r="J21" s="21">
        <v>260000</v>
      </c>
      <c r="K21" s="21">
        <f t="shared" si="0"/>
        <v>260000</v>
      </c>
      <c r="AB21" s="2"/>
    </row>
    <row r="22" spans="1:28" ht="24" x14ac:dyDescent="0.25">
      <c r="A22" s="19">
        <v>14</v>
      </c>
      <c r="B22" s="20" t="s">
        <v>86</v>
      </c>
      <c r="C22" s="35" t="s">
        <v>29</v>
      </c>
      <c r="D22" s="36" t="s">
        <v>59</v>
      </c>
      <c r="E22" s="43"/>
      <c r="F22" s="34" t="s">
        <v>34</v>
      </c>
      <c r="G22" s="20" t="s">
        <v>33</v>
      </c>
      <c r="H22" s="19" t="s">
        <v>35</v>
      </c>
      <c r="I22" s="19">
        <v>1</v>
      </c>
      <c r="J22" s="21">
        <v>200000</v>
      </c>
      <c r="K22" s="21">
        <f t="shared" si="0"/>
        <v>200000</v>
      </c>
      <c r="AB22" s="2"/>
    </row>
    <row r="23" spans="1:28" ht="36" x14ac:dyDescent="0.25">
      <c r="A23" s="19">
        <v>15</v>
      </c>
      <c r="B23" s="20" t="s">
        <v>81</v>
      </c>
      <c r="C23" s="35" t="s">
        <v>36</v>
      </c>
      <c r="D23" s="35" t="s">
        <v>60</v>
      </c>
      <c r="E23" s="20" t="s">
        <v>63</v>
      </c>
      <c r="F23" s="34" t="s">
        <v>61</v>
      </c>
      <c r="G23" s="20" t="s">
        <v>62</v>
      </c>
      <c r="H23" s="19" t="s">
        <v>35</v>
      </c>
      <c r="I23" s="19">
        <v>1</v>
      </c>
      <c r="J23" s="21">
        <v>600000</v>
      </c>
      <c r="K23" s="21">
        <f t="shared" si="0"/>
        <v>600000</v>
      </c>
      <c r="AB23" s="2"/>
    </row>
    <row r="24" spans="1:28" x14ac:dyDescent="0.25">
      <c r="A24" s="19">
        <v>16</v>
      </c>
      <c r="B24" s="39" t="s">
        <v>82</v>
      </c>
      <c r="C24" s="35" t="s">
        <v>29</v>
      </c>
      <c r="D24" s="36" t="s">
        <v>64</v>
      </c>
      <c r="E24" s="39" t="s">
        <v>72</v>
      </c>
      <c r="F24" s="35" t="s">
        <v>66</v>
      </c>
      <c r="G24" s="20" t="s">
        <v>67</v>
      </c>
      <c r="H24" s="19" t="s">
        <v>35</v>
      </c>
      <c r="I24" s="19">
        <v>1</v>
      </c>
      <c r="J24" s="21">
        <v>50000</v>
      </c>
      <c r="K24" s="21">
        <f t="shared" si="0"/>
        <v>50000</v>
      </c>
      <c r="AB24" s="2"/>
    </row>
    <row r="25" spans="1:28" x14ac:dyDescent="0.25">
      <c r="A25" s="19">
        <v>17</v>
      </c>
      <c r="B25" s="40"/>
      <c r="C25" s="35" t="s">
        <v>29</v>
      </c>
      <c r="D25" s="36" t="s">
        <v>65</v>
      </c>
      <c r="E25" s="40"/>
      <c r="F25" s="35" t="s">
        <v>66</v>
      </c>
      <c r="G25" s="20" t="s">
        <v>67</v>
      </c>
      <c r="H25" s="19" t="s">
        <v>35</v>
      </c>
      <c r="I25" s="19">
        <v>1</v>
      </c>
      <c r="J25" s="21">
        <v>50000</v>
      </c>
      <c r="K25" s="21">
        <f t="shared" si="0"/>
        <v>50000</v>
      </c>
      <c r="AB25" s="2"/>
    </row>
    <row r="26" spans="1:28" x14ac:dyDescent="0.25">
      <c r="A26" s="19">
        <v>18</v>
      </c>
      <c r="B26" s="40"/>
      <c r="C26" s="35" t="s">
        <v>36</v>
      </c>
      <c r="D26" s="36" t="s">
        <v>68</v>
      </c>
      <c r="E26" s="40"/>
      <c r="F26" s="35" t="s">
        <v>70</v>
      </c>
      <c r="G26" s="20" t="s">
        <v>71</v>
      </c>
      <c r="H26" s="19" t="s">
        <v>35</v>
      </c>
      <c r="I26" s="19">
        <v>1</v>
      </c>
      <c r="J26" s="21">
        <v>260000</v>
      </c>
      <c r="K26" s="21">
        <f t="shared" si="0"/>
        <v>260000</v>
      </c>
      <c r="AB26" s="2"/>
    </row>
    <row r="27" spans="1:28" x14ac:dyDescent="0.25">
      <c r="A27" s="19">
        <v>19</v>
      </c>
      <c r="B27" s="41"/>
      <c r="C27" s="35" t="s">
        <v>36</v>
      </c>
      <c r="D27" s="36" t="s">
        <v>69</v>
      </c>
      <c r="E27" s="41"/>
      <c r="F27" s="35" t="s">
        <v>70</v>
      </c>
      <c r="G27" s="20" t="s">
        <v>71</v>
      </c>
      <c r="H27" s="19" t="s">
        <v>35</v>
      </c>
      <c r="I27" s="19">
        <v>1</v>
      </c>
      <c r="J27" s="21">
        <v>260000</v>
      </c>
      <c r="K27" s="21">
        <f t="shared" si="0"/>
        <v>260000</v>
      </c>
      <c r="AB27" s="2"/>
    </row>
    <row r="28" spans="1:28" ht="24" x14ac:dyDescent="0.25">
      <c r="A28" s="19">
        <v>20</v>
      </c>
      <c r="B28" s="20" t="s">
        <v>83</v>
      </c>
      <c r="C28" s="19" t="s">
        <v>36</v>
      </c>
      <c r="D28" s="19" t="s">
        <v>73</v>
      </c>
      <c r="E28" s="20" t="s">
        <v>85</v>
      </c>
      <c r="F28" s="20" t="s">
        <v>44</v>
      </c>
      <c r="G28" s="20" t="s">
        <v>45</v>
      </c>
      <c r="H28" s="19" t="s">
        <v>35</v>
      </c>
      <c r="I28" s="19">
        <v>1</v>
      </c>
      <c r="J28" s="21">
        <v>130000</v>
      </c>
      <c r="K28" s="21">
        <f t="shared" si="0"/>
        <v>130000</v>
      </c>
      <c r="AB28" s="2"/>
    </row>
    <row r="29" spans="1:28" x14ac:dyDescent="0.25">
      <c r="A29" s="25"/>
      <c r="B29" s="25"/>
      <c r="C29" s="25"/>
      <c r="D29" s="25"/>
      <c r="E29" s="25"/>
      <c r="F29" s="25"/>
      <c r="G29" s="9"/>
      <c r="H29" s="9"/>
      <c r="I29" s="9"/>
      <c r="J29" s="9"/>
      <c r="K29" s="10"/>
      <c r="AB29" s="2"/>
    </row>
    <row r="30" spans="1:28" x14ac:dyDescent="0.25">
      <c r="A30" s="5"/>
      <c r="B30" s="5"/>
      <c r="C30" s="5"/>
      <c r="D30" s="5"/>
      <c r="E30" s="5"/>
      <c r="F30" s="5"/>
      <c r="G30" s="12"/>
      <c r="H30" s="12"/>
      <c r="I30" s="12"/>
      <c r="J30" s="12"/>
      <c r="K30" s="26"/>
      <c r="AB30" s="2"/>
    </row>
    <row r="31" spans="1:28" x14ac:dyDescent="0.25">
      <c r="A31" s="44" t="s">
        <v>25</v>
      </c>
      <c r="B31" s="44"/>
      <c r="C31" s="44"/>
      <c r="D31" s="44" t="s">
        <v>23</v>
      </c>
      <c r="E31" s="44"/>
      <c r="F31" s="44" t="s">
        <v>21</v>
      </c>
      <c r="G31" s="44"/>
      <c r="H31" s="44" t="s">
        <v>8</v>
      </c>
      <c r="I31" s="44"/>
      <c r="J31" s="44"/>
      <c r="K31" s="44"/>
      <c r="AB31" s="2"/>
    </row>
    <row r="32" spans="1:28" x14ac:dyDescent="0.25">
      <c r="A32" s="45" t="s">
        <v>4</v>
      </c>
      <c r="B32" s="45"/>
      <c r="C32" s="45"/>
      <c r="D32" s="45" t="s">
        <v>4</v>
      </c>
      <c r="E32" s="45"/>
      <c r="F32" s="45" t="s">
        <v>4</v>
      </c>
      <c r="G32" s="45"/>
      <c r="H32" s="45" t="s">
        <v>4</v>
      </c>
      <c r="I32" s="45"/>
      <c r="J32" s="45"/>
      <c r="K32" s="45"/>
      <c r="AB32" s="2"/>
    </row>
    <row r="33" spans="1:28" x14ac:dyDescent="0.25">
      <c r="A33" s="18"/>
      <c r="B33" s="18"/>
      <c r="C33" s="16"/>
      <c r="D33" s="16"/>
      <c r="E33" s="16"/>
      <c r="F33" s="16"/>
      <c r="G33" s="16"/>
      <c r="H33" s="17"/>
      <c r="I33" s="16"/>
      <c r="J33" s="16"/>
      <c r="K33" s="29"/>
      <c r="AB33" s="2"/>
    </row>
    <row r="34" spans="1:28" x14ac:dyDescent="0.25">
      <c r="A34" s="15"/>
      <c r="B34" s="15"/>
      <c r="C34" s="7"/>
      <c r="D34" s="7"/>
      <c r="E34" s="7"/>
      <c r="F34" s="7"/>
      <c r="G34" s="7" t="s">
        <v>1</v>
      </c>
      <c r="H34" s="14"/>
      <c r="I34" s="7"/>
      <c r="J34" s="7"/>
      <c r="K34" s="30"/>
      <c r="AB34" s="2"/>
    </row>
    <row r="35" spans="1:28" x14ac:dyDescent="0.25">
      <c r="A35" s="15"/>
      <c r="B35" s="15"/>
      <c r="C35" s="7"/>
      <c r="D35" s="7"/>
      <c r="E35" s="7"/>
      <c r="F35" s="7"/>
      <c r="G35" s="7"/>
      <c r="H35" s="14"/>
      <c r="I35" s="7"/>
      <c r="J35" s="7"/>
      <c r="K35" s="30"/>
      <c r="AB35" s="2"/>
    </row>
    <row r="36" spans="1:28" x14ac:dyDescent="0.25">
      <c r="A36" s="15"/>
      <c r="B36" s="15"/>
      <c r="C36" s="7"/>
      <c r="D36" s="7"/>
      <c r="E36" s="7"/>
      <c r="F36" s="7"/>
      <c r="G36" s="7"/>
      <c r="H36" s="14"/>
      <c r="I36" s="7"/>
      <c r="J36" s="7"/>
      <c r="K36" s="30"/>
      <c r="AB36" s="2"/>
    </row>
    <row r="37" spans="1:28" x14ac:dyDescent="0.25">
      <c r="A37" s="46" t="s">
        <v>26</v>
      </c>
      <c r="B37" s="46"/>
      <c r="C37" s="46"/>
      <c r="D37" s="46" t="s">
        <v>24</v>
      </c>
      <c r="E37" s="46"/>
      <c r="F37" s="46" t="s">
        <v>22</v>
      </c>
      <c r="G37" s="46"/>
      <c r="H37" s="46" t="s">
        <v>3</v>
      </c>
      <c r="I37" s="46"/>
      <c r="J37" s="46"/>
      <c r="K37" s="46"/>
      <c r="L37" s="11"/>
      <c r="AB37" s="2"/>
    </row>
    <row r="38" spans="1:28" ht="17.25" x14ac:dyDescent="0.25">
      <c r="A38" s="5"/>
      <c r="B38" s="5"/>
      <c r="C38" s="5"/>
      <c r="D38" s="5"/>
      <c r="E38" s="5"/>
      <c r="F38" s="5"/>
      <c r="G38" s="5"/>
      <c r="H38" s="6"/>
      <c r="I38" s="6"/>
      <c r="J38" s="6"/>
      <c r="K38" s="31"/>
      <c r="AB38" s="2"/>
    </row>
    <row r="39" spans="1:28" ht="17.25" x14ac:dyDescent="0.3">
      <c r="G39" s="4"/>
      <c r="AB39" s="2"/>
    </row>
    <row r="40" spans="1:28" x14ac:dyDescent="0.25">
      <c r="AB40" s="2"/>
    </row>
    <row r="41" spans="1:28" x14ac:dyDescent="0.25">
      <c r="AB41" s="2"/>
    </row>
    <row r="42" spans="1:28" x14ac:dyDescent="0.25">
      <c r="AB42" s="2"/>
    </row>
    <row r="43" spans="1:28" x14ac:dyDescent="0.25">
      <c r="AB43" s="2"/>
    </row>
    <row r="44" spans="1:28" x14ac:dyDescent="0.25">
      <c r="AB44" s="2"/>
    </row>
    <row r="45" spans="1:28" x14ac:dyDescent="0.25">
      <c r="AB45" s="2"/>
    </row>
    <row r="46" spans="1:28" x14ac:dyDescent="0.25">
      <c r="AB46" s="2"/>
    </row>
    <row r="47" spans="1:28" x14ac:dyDescent="0.25">
      <c r="AB47" s="2"/>
    </row>
    <row r="48" spans="1:28" x14ac:dyDescent="0.25">
      <c r="AB48" s="2"/>
    </row>
    <row r="49" spans="28:28" x14ac:dyDescent="0.25">
      <c r="AB49" s="2"/>
    </row>
    <row r="50" spans="28:28" x14ac:dyDescent="0.25">
      <c r="AB50" s="2"/>
    </row>
    <row r="51" spans="28:28" x14ac:dyDescent="0.25">
      <c r="AB51" s="2"/>
    </row>
    <row r="52" spans="28:28" x14ac:dyDescent="0.25">
      <c r="AB52" s="2"/>
    </row>
    <row r="53" spans="28:28" x14ac:dyDescent="0.25">
      <c r="AB53" s="2"/>
    </row>
    <row r="54" spans="28:28" x14ac:dyDescent="0.25">
      <c r="AB54" s="2"/>
    </row>
    <row r="55" spans="28:28" x14ac:dyDescent="0.25">
      <c r="AB55" s="2"/>
    </row>
    <row r="56" spans="28:28" x14ac:dyDescent="0.25">
      <c r="AB56" s="2"/>
    </row>
    <row r="57" spans="28:28" x14ac:dyDescent="0.25">
      <c r="AB57" s="2"/>
    </row>
  </sheetData>
  <dataConsolidate/>
  <mergeCells count="26">
    <mergeCell ref="A5:K5"/>
    <mergeCell ref="A7:C7"/>
    <mergeCell ref="A6:D6"/>
    <mergeCell ref="A1:D4"/>
    <mergeCell ref="E1:K1"/>
    <mergeCell ref="E2:K2"/>
    <mergeCell ref="E3:K3"/>
    <mergeCell ref="E4:K4"/>
    <mergeCell ref="H32:K32"/>
    <mergeCell ref="F31:G31"/>
    <mergeCell ref="F32:G32"/>
    <mergeCell ref="H37:K37"/>
    <mergeCell ref="H31:K31"/>
    <mergeCell ref="F37:G37"/>
    <mergeCell ref="D31:E31"/>
    <mergeCell ref="D32:E32"/>
    <mergeCell ref="D37:E37"/>
    <mergeCell ref="A37:C37"/>
    <mergeCell ref="A31:C31"/>
    <mergeCell ref="A32:C32"/>
    <mergeCell ref="E24:E27"/>
    <mergeCell ref="B9:B10"/>
    <mergeCell ref="B11:B13"/>
    <mergeCell ref="B15:B18"/>
    <mergeCell ref="B24:B27"/>
    <mergeCell ref="E9:E22"/>
  </mergeCells>
  <hyperlinks>
    <hyperlink ref="E4" r:id="rId1" display="http://vnetgps.vn" xr:uid="{00000000-0004-0000-0000-000000000000}"/>
  </hyperlinks>
  <pageMargins left="1" right="1" top="0.3" bottom="0.3" header="0" footer="0"/>
  <pageSetup paperSize="9" scale="7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2026-09-03T07:05:07Z</cp:lastPrinted>
  <dcterms:created xsi:type="dcterms:W3CDTF">2014-07-04T07:04:14Z</dcterms:created>
  <dcterms:modified xsi:type="dcterms:W3CDTF">2026-09-03T07:08:46Z</dcterms:modified>
</cp:coreProperties>
</file>