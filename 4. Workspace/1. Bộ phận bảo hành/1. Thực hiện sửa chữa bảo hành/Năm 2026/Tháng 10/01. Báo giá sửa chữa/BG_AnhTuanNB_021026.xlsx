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7F4C44D9-7B6A-4B62-B25A-30D0D5E2AF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BG!$A$1:$J$47</definedName>
  </definedNames>
  <calcPr calcId="181029"/>
</workbook>
</file>

<file path=xl/calcChain.xml><?xml version="1.0" encoding="utf-8"?>
<calcChain xmlns="http://schemas.openxmlformats.org/spreadsheetml/2006/main">
  <c r="J34" i="1" l="1"/>
  <c r="J18" i="1"/>
  <c r="J25" i="1"/>
  <c r="J24" i="1"/>
  <c r="J23" i="1"/>
  <c r="J22" i="1"/>
  <c r="J21" i="1"/>
  <c r="J12" i="1"/>
  <c r="J15" i="1"/>
  <c r="J11" i="1"/>
  <c r="J39" i="1" l="1"/>
</calcChain>
</file>

<file path=xl/sharedStrings.xml><?xml version="1.0" encoding="utf-8"?>
<sst xmlns="http://schemas.openxmlformats.org/spreadsheetml/2006/main" count="213" uniqueCount="70">
  <si>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</si>
  <si>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</si>
  <si>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</si>
  <si>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</si>
  <si>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</si>
  <si>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</si>
  <si>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</si>
  <si>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</si>
  <si>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</si>
  <si>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</si>
  <si>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</si>
  <si>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</si>
  <si>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</si>
  <si>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</si>
  <si>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</si>
  <si>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</si>
  <si>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</si>
  <si>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</si>
  <si>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</si>
  <si>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</si>
  <si>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Tổng</t>
  </si>
  <si>
    <t>Chiếc</t>
  </si>
  <si>
    <t>Model</t>
  </si>
  <si>
    <t>Hết BH</t>
  </si>
  <si>
    <t>Tên cty/ cá nhân: Đại lý Anh Tuấn Ninh Bình</t>
  </si>
  <si>
    <t>1</t>
  </si>
  <si>
    <t>TG102LE-4G</t>
  </si>
  <si>
    <t>Hà Nội, ngày 02 tháng 10 năm 2026</t>
  </si>
  <si>
    <t>005694061487687</t>
  </si>
  <si>
    <t>005694061486465</t>
  </si>
  <si>
    <t>005694061437609</t>
  </si>
  <si>
    <t>005694061499252</t>
  </si>
  <si>
    <t>005694061008731</t>
  </si>
  <si>
    <t>005694061494204</t>
  </si>
  <si>
    <t>005694061427337</t>
  </si>
  <si>
    <t>005694061493107</t>
  </si>
  <si>
    <t>005694061489758</t>
  </si>
  <si>
    <t>005694061483793</t>
  </si>
  <si>
    <t>005694061489717</t>
  </si>
  <si>
    <t>005694061490954</t>
  </si>
  <si>
    <t>005694060387474</t>
  </si>
  <si>
    <t>005694061002692</t>
  </si>
  <si>
    <t>005694061423047</t>
  </si>
  <si>
    <t>005694061430893</t>
  </si>
  <si>
    <t>005694061491440</t>
  </si>
  <si>
    <t>005694061422510</t>
  </si>
  <si>
    <t>005694060379802</t>
  </si>
  <si>
    <t>Còn BH</t>
  </si>
  <si>
    <t>Ghi chú</t>
  </si>
  <si>
    <t>Chuyển qua dùng 
eSIM theo yêu cầu khách hàng</t>
  </si>
  <si>
    <t>Chip eSIM</t>
  </si>
  <si>
    <t>Mô Tả Linh 
Kiện Thay Thế/ Dịch Vụ</t>
  </si>
  <si>
    <t>Phí hoà mạng</t>
  </si>
  <si>
    <t>70,000</t>
  </si>
  <si>
    <t>60,000</t>
  </si>
  <si>
    <t>16</t>
  </si>
  <si>
    <t>17</t>
  </si>
  <si>
    <t>18</t>
  </si>
  <si>
    <t>19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</si>
  <si>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</si>
  <si>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</si>
  <si>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</si>
  <si>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</si>
  <si>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</si>
  <si>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</si>
  <si>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</si>
  <si>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</si>
  <si>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</si>
  <si>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</si>
  <si>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Gói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</si>
</sst>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0"/>
    </xf>
    <xf numFmtId="0" fontId="8" fillId="0" borderId="0" xfId="0" applyFont="1" applyAlignment="1">
      <alignment horizontal="left" vertical="center" indent="13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5" xfId="0" applyFont="1" applyBorder="1" applyAlignment="1">
      <alignment horizontal="left" vertical="center" indent="1"/>
    </xf>
    <xf numFmtId="0" fontId="9" fillId="0" borderId="5" xfId="0" applyFont="1" applyBorder="1" applyAlignment="1">
      <alignment vertical="center"/>
    </xf>
    <xf numFmtId="0" fontId="9" fillId="0" borderId="8" xfId="0" applyFont="1" applyBorder="1" applyAlignment="1">
      <alignment horizontal="left" vertical="center" indent="1"/>
    </xf>
    <xf numFmtId="0" fontId="9" fillId="0" borderId="8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right" vertical="center" indent="1"/>
    </xf>
    <xf numFmtId="0" fontId="10" fillId="0" borderId="10" xfId="0" applyFont="1" applyBorder="1" applyAlignment="1">
      <alignment horizontal="right" vertical="center" indent="1"/>
    </xf>
    <xf numFmtId="0" fontId="10" fillId="0" borderId="12" xfId="0" applyFont="1" applyBorder="1" applyAlignment="1">
      <alignment horizontal="righ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8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49" fontId="9" fillId="0" borderId="13" xfId="0" applyNumberFormat="1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3" fontId="9" fillId="0" borderId="13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64646</xdr:colOff>
      <xdr:row>0</xdr:row>
      <xdr:rowOff>168518</xdr:rowOff>
    </xdr:from>
    <xdr:to>
      <xdr:col>2</xdr:col>
      <xdr:colOff>1230923</xdr:colOff>
      <xdr:row>3</xdr:row>
      <xdr:rowOff>21980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65" y="168518"/>
          <a:ext cx="211145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view="pageBreakPreview" topLeftCell="A10" zoomScale="130" zoomScaleNormal="84" zoomScaleSheetLayoutView="130" workbookViewId="0">
      <selection activeCell="L13" sqref="L13"/>
    </sheetView>
  </sheetViews>
  <sheetFormatPr defaultColWidth="9.140625" defaultRowHeight="16.5" outlineLevelCol="1" x14ac:dyDescent="0.25"/>
  <cols>
    <col min="1" max="1" width="5.42578125" style="1" customWidth="1"/>
    <col min="2" max="2" width="14.140625" style="1" customWidth="1"/>
    <col min="3" max="3" width="19" style="68" customWidth="1"/>
    <col min="4" max="4" width="10.5703125" style="1" customWidth="1"/>
    <col min="5" max="5" width="19" style="1" customWidth="1"/>
    <col min="6" max="6" width="20.42578125" style="3" customWidth="1"/>
    <col min="7" max="7" width="12.855468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3"/>
      <c r="B1" s="44"/>
      <c r="C1" s="44"/>
      <c r="D1" s="45"/>
      <c r="E1" s="49" t="s">
        <v>2</v>
      </c>
      <c r="F1" s="50"/>
      <c r="G1" s="50"/>
      <c r="H1" s="50"/>
      <c r="I1" s="50"/>
      <c r="J1" s="51"/>
    </row>
    <row r="2" spans="1:27" x14ac:dyDescent="0.25">
      <c r="A2" s="43"/>
      <c r="B2" s="44"/>
      <c r="C2" s="44"/>
      <c r="D2" s="45"/>
      <c r="E2" s="52" t="s">
        <v>10</v>
      </c>
      <c r="F2" s="53"/>
      <c r="G2" s="53"/>
      <c r="H2" s="53"/>
      <c r="I2" s="53"/>
      <c r="J2" s="54"/>
    </row>
    <row r="3" spans="1:27" x14ac:dyDescent="0.25">
      <c r="A3" s="43"/>
      <c r="B3" s="44"/>
      <c r="C3" s="44"/>
      <c r="D3" s="45"/>
      <c r="E3" s="55" t="s">
        <v>11</v>
      </c>
      <c r="F3" s="56"/>
      <c r="G3" s="56"/>
      <c r="H3" s="56"/>
      <c r="I3" s="56"/>
      <c r="J3" s="57"/>
    </row>
    <row r="4" spans="1:27" x14ac:dyDescent="0.25">
      <c r="A4" s="46"/>
      <c r="B4" s="47"/>
      <c r="C4" s="47"/>
      <c r="D4" s="48"/>
      <c r="E4" s="58" t="s">
        <v>12</v>
      </c>
      <c r="F4" s="59"/>
      <c r="G4" s="59"/>
      <c r="H4" s="59"/>
      <c r="I4" s="59"/>
      <c r="J4" s="60"/>
    </row>
    <row r="5" spans="1:27" ht="20.100000000000001" customHeight="1" x14ac:dyDescent="0.25">
      <c r="A5" s="40" t="s">
        <v>13</v>
      </c>
      <c r="B5" s="41"/>
      <c r="C5" s="41"/>
      <c r="D5" s="41"/>
      <c r="E5" s="41"/>
      <c r="F5" s="41"/>
      <c r="G5" s="41"/>
      <c r="H5" s="41"/>
      <c r="I5" s="41"/>
      <c r="J5" s="42"/>
    </row>
    <row r="6" spans="1:27" x14ac:dyDescent="0.25">
      <c r="A6" s="25" t="s">
        <v>24</v>
      </c>
      <c r="B6" s="26"/>
      <c r="C6" s="61"/>
      <c r="D6" s="26"/>
      <c r="E6" s="7"/>
      <c r="F6" s="7"/>
      <c r="G6" s="10"/>
      <c r="H6" s="7"/>
      <c r="I6" s="7"/>
      <c r="J6" s="29" t="s">
        <v>27</v>
      </c>
    </row>
    <row r="7" spans="1:27" x14ac:dyDescent="0.25">
      <c r="A7" s="24" t="s">
        <v>5</v>
      </c>
      <c r="B7" s="22"/>
      <c r="C7" s="62"/>
      <c r="D7" s="23"/>
      <c r="E7" s="7"/>
      <c r="F7" s="7"/>
      <c r="G7" s="10"/>
      <c r="H7" s="7"/>
      <c r="I7" s="7"/>
      <c r="J7" s="7"/>
    </row>
    <row r="8" spans="1:27" x14ac:dyDescent="0.25">
      <c r="A8" s="24" t="s">
        <v>6</v>
      </c>
      <c r="B8" s="22"/>
      <c r="C8" s="62"/>
      <c r="D8" s="24"/>
      <c r="E8" s="18"/>
      <c r="F8" s="18" t="s">
        <v>1</v>
      </c>
      <c r="G8" s="19"/>
      <c r="H8" s="18"/>
      <c r="I8" s="18"/>
      <c r="J8" s="18"/>
      <c r="AA8" s="2"/>
    </row>
    <row r="9" spans="1:27" x14ac:dyDescent="0.25">
      <c r="A9" s="27" t="s">
        <v>7</v>
      </c>
      <c r="B9" s="28"/>
      <c r="C9" s="63"/>
      <c r="D9" s="24"/>
      <c r="E9" s="18"/>
      <c r="F9" s="18"/>
      <c r="G9" s="19"/>
      <c r="H9" s="18"/>
      <c r="I9" s="18"/>
      <c r="J9" s="18"/>
      <c r="K9" s="22"/>
      <c r="AA9" s="2"/>
    </row>
    <row r="10" spans="1:27" ht="24" x14ac:dyDescent="0.25">
      <c r="A10" s="20" t="s">
        <v>0</v>
      </c>
      <c r="B10" s="20" t="s">
        <v>22</v>
      </c>
      <c r="C10" s="64" t="s">
        <v>8</v>
      </c>
      <c r="D10" s="20" t="s">
        <v>3</v>
      </c>
      <c r="E10" s="20" t="s">
        <v>48</v>
      </c>
      <c r="F10" s="21" t="s">
        <v>51</v>
      </c>
      <c r="G10" s="20" t="s">
        <v>16</v>
      </c>
      <c r="H10" s="20" t="s">
        <v>17</v>
      </c>
      <c r="I10" s="20" t="s">
        <v>18</v>
      </c>
      <c r="J10" s="20" t="s">
        <v>19</v>
      </c>
      <c r="K10" s="22"/>
      <c r="AA10" s="2"/>
    </row>
    <row r="11" spans="1:27" x14ac:dyDescent="0.25">
      <c r="A11" s="30">
        <v>1</v>
      </c>
      <c r="B11" s="30" t="s">
        <v>26</v>
      </c>
      <c r="C11" s="30" t="s">
        <v>28</v>
      </c>
      <c r="D11" s="30" t="s">
        <v>47</v>
      </c>
      <c r="E11" s="71" t="s">
        <v>49</v>
      </c>
      <c r="F11" s="31" t="s">
        <v>52</v>
      </c>
      <c r="G11" s="32" t="s">
        <v>21</v>
      </c>
      <c r="H11" s="32" t="s">
        <v>25</v>
      </c>
      <c r="I11" s="32" t="s">
        <v>54</v>
      </c>
      <c r="J11" s="17">
        <f>SUM(H11*I11)</f>
        <v>60000</v>
      </c>
      <c r="K11" s="22"/>
      <c r="AA11" s="2"/>
    </row>
    <row r="12" spans="1:27" x14ac:dyDescent="0.25">
      <c r="A12" s="30">
        <v>2</v>
      </c>
      <c r="B12" s="30" t="s">
        <v>26</v>
      </c>
      <c r="C12" s="30" t="s">
        <v>29</v>
      </c>
      <c r="D12" s="30" t="s">
        <v>47</v>
      </c>
      <c r="E12" s="72"/>
      <c r="F12" s="31" t="s">
        <v>52</v>
      </c>
      <c r="G12" s="32" t="s">
        <v>21</v>
      </c>
      <c r="H12" s="32" t="s">
        <v>25</v>
      </c>
      <c r="I12" s="32" t="s">
        <v>54</v>
      </c>
      <c r="J12" s="17">
        <f t="shared" ref="J12:J15" si="0">SUM(H12*I12)</f>
        <v>60000</v>
      </c>
      <c r="K12" s="22"/>
      <c r="AA12" s="2"/>
    </row>
    <row r="13" spans="1:27" x14ac:dyDescent="0.25">
      <c r="A13" s="69">
        <v>3</v>
      </c>
      <c r="B13" s="69" t="s">
        <v>26</v>
      </c>
      <c r="C13" s="69" t="s">
        <v>30</v>
      </c>
      <c r="D13" s="69" t="s">
        <v>23</v>
      </c>
      <c r="E13" s="72"/>
      <c r="F13" s="31" t="s">
        <v>50</v>
      </c>
      <c r="G13" s="32" t="s">
        <v>21</v>
      </c>
      <c r="H13" s="32" t="s">
        <v>25</v>
      </c>
      <c r="I13" s="32" t="s">
        <v>53</v>
      </c>
      <c r="J13" s="74">
        <v>130000</v>
      </c>
      <c r="K13" s="22"/>
      <c r="AA13" s="2"/>
    </row>
    <row r="14" spans="1:27" x14ac:dyDescent="0.25">
      <c r="A14" s="70"/>
      <c r="B14" s="70"/>
      <c r="C14" s="70"/>
      <c r="D14" s="70"/>
      <c r="E14" s="72"/>
      <c r="F14" s="31" t="s">
        <v>52</v>
      </c>
      <c r="G14" s="32" t="s">
        <v>69</v>
      </c>
      <c r="H14" s="32" t="s">
        <v>25</v>
      </c>
      <c r="I14" s="32" t="s">
        <v>54</v>
      </c>
      <c r="J14" s="75"/>
      <c r="K14" s="22"/>
      <c r="AA14" s="2"/>
    </row>
    <row r="15" spans="1:27" x14ac:dyDescent="0.25">
      <c r="A15" s="30">
        <v>4</v>
      </c>
      <c r="B15" s="30" t="s">
        <v>26</v>
      </c>
      <c r="C15" s="30" t="s">
        <v>31</v>
      </c>
      <c r="D15" s="30" t="s">
        <v>47</v>
      </c>
      <c r="E15" s="72"/>
      <c r="F15" s="31" t="s">
        <v>52</v>
      </c>
      <c r="G15" s="32" t="s">
        <v>21</v>
      </c>
      <c r="H15" s="32" t="s">
        <v>25</v>
      </c>
      <c r="I15" s="32" t="s">
        <v>54</v>
      </c>
      <c r="J15" s="17">
        <f t="shared" si="0"/>
        <v>60000</v>
      </c>
      <c r="K15" s="22"/>
      <c r="AA15" s="2"/>
    </row>
    <row r="16" spans="1:27" x14ac:dyDescent="0.25">
      <c r="A16" s="69">
        <v>5</v>
      </c>
      <c r="B16" s="69" t="s">
        <v>26</v>
      </c>
      <c r="C16" s="69" t="s">
        <v>32</v>
      </c>
      <c r="D16" s="69" t="s">
        <v>23</v>
      </c>
      <c r="E16" s="72"/>
      <c r="F16" s="31" t="s">
        <v>50</v>
      </c>
      <c r="G16" s="32" t="s">
        <v>21</v>
      </c>
      <c r="H16" s="32" t="s">
        <v>25</v>
      </c>
      <c r="I16" s="32" t="s">
        <v>53</v>
      </c>
      <c r="J16" s="74">
        <v>130000</v>
      </c>
      <c r="K16" s="22"/>
      <c r="AA16" s="2"/>
    </row>
    <row r="17" spans="1:27" x14ac:dyDescent="0.25">
      <c r="A17" s="70"/>
      <c r="B17" s="70"/>
      <c r="C17" s="70"/>
      <c r="D17" s="70"/>
      <c r="E17" s="72"/>
      <c r="F17" s="31" t="s">
        <v>52</v>
      </c>
      <c r="G17" s="32" t="s">
        <v>69</v>
      </c>
      <c r="H17" s="32" t="s">
        <v>25</v>
      </c>
      <c r="I17" s="32" t="s">
        <v>54</v>
      </c>
      <c r="J17" s="75"/>
      <c r="K17" s="22"/>
      <c r="AA17" s="2"/>
    </row>
    <row r="18" spans="1:27" x14ac:dyDescent="0.25">
      <c r="A18" s="30" t="s">
        <v>59</v>
      </c>
      <c r="B18" s="30" t="s">
        <v>26</v>
      </c>
      <c r="C18" s="30" t="s">
        <v>33</v>
      </c>
      <c r="D18" s="30" t="s">
        <v>47</v>
      </c>
      <c r="E18" s="72"/>
      <c r="F18" s="31" t="s">
        <v>52</v>
      </c>
      <c r="G18" s="32" t="s">
        <v>21</v>
      </c>
      <c r="H18" s="32" t="s">
        <v>25</v>
      </c>
      <c r="I18" s="32" t="s">
        <v>54</v>
      </c>
      <c r="J18" s="17">
        <f t="shared" ref="J18" si="1">SUM(H18*I18)</f>
        <v>60000</v>
      </c>
      <c r="K18" s="22"/>
      <c r="AA18" s="2"/>
    </row>
    <row r="19" spans="1:27" x14ac:dyDescent="0.25">
      <c r="A19" s="69" t="s">
        <v>60</v>
      </c>
      <c r="B19" s="69" t="s">
        <v>26</v>
      </c>
      <c r="C19" s="69" t="s">
        <v>34</v>
      </c>
      <c r="D19" s="69" t="s">
        <v>23</v>
      </c>
      <c r="E19" s="72"/>
      <c r="F19" s="31" t="s">
        <v>50</v>
      </c>
      <c r="G19" s="32" t="s">
        <v>21</v>
      </c>
      <c r="H19" s="32" t="s">
        <v>25</v>
      </c>
      <c r="I19" s="32" t="s">
        <v>53</v>
      </c>
      <c r="J19" s="74">
        <v>130000</v>
      </c>
      <c r="K19" s="22"/>
      <c r="AA19" s="2"/>
    </row>
    <row r="20" spans="1:27" x14ac:dyDescent="0.25">
      <c r="A20" s="70"/>
      <c r="B20" s="70"/>
      <c r="C20" s="70"/>
      <c r="D20" s="70"/>
      <c r="E20" s="72"/>
      <c r="F20" s="31" t="s">
        <v>52</v>
      </c>
      <c r="G20" s="32" t="s">
        <v>69</v>
      </c>
      <c r="H20" s="32" t="s">
        <v>25</v>
      </c>
      <c r="I20" s="32" t="s">
        <v>54</v>
      </c>
      <c r="J20" s="75"/>
      <c r="K20" s="22"/>
      <c r="AA20" s="2"/>
    </row>
    <row r="21" spans="1:27" x14ac:dyDescent="0.25">
      <c r="A21" s="30" t="s">
        <v>61</v>
      </c>
      <c r="B21" s="30" t="s">
        <v>26</v>
      </c>
      <c r="C21" s="30" t="s">
        <v>35</v>
      </c>
      <c r="D21" s="30" t="s">
        <v>47</v>
      </c>
      <c r="E21" s="72"/>
      <c r="F21" s="31" t="s">
        <v>52</v>
      </c>
      <c r="G21" s="32" t="s">
        <v>21</v>
      </c>
      <c r="H21" s="32" t="s">
        <v>25</v>
      </c>
      <c r="I21" s="32" t="s">
        <v>54</v>
      </c>
      <c r="J21" s="17">
        <f t="shared" ref="J21:J25" si="2">SUM(H21*I21)</f>
        <v>60000</v>
      </c>
      <c r="K21" s="22"/>
      <c r="AA21" s="2"/>
    </row>
    <row r="22" spans="1:27" x14ac:dyDescent="0.25">
      <c r="A22" s="30" t="s">
        <v>62</v>
      </c>
      <c r="B22" s="30" t="s">
        <v>26</v>
      </c>
      <c r="C22" s="30" t="s">
        <v>36</v>
      </c>
      <c r="D22" s="30" t="s">
        <v>47</v>
      </c>
      <c r="E22" s="72"/>
      <c r="F22" s="31" t="s">
        <v>52</v>
      </c>
      <c r="G22" s="32" t="s">
        <v>21</v>
      </c>
      <c r="H22" s="32" t="s">
        <v>25</v>
      </c>
      <c r="I22" s="32" t="s">
        <v>54</v>
      </c>
      <c r="J22" s="17">
        <f t="shared" si="2"/>
        <v>60000</v>
      </c>
      <c r="K22" s="22"/>
      <c r="AA22" s="2"/>
    </row>
    <row r="23" spans="1:27" x14ac:dyDescent="0.25">
      <c r="A23" s="30" t="s">
        <v>63</v>
      </c>
      <c r="B23" s="30" t="s">
        <v>26</v>
      </c>
      <c r="C23" s="30" t="s">
        <v>37</v>
      </c>
      <c r="D23" s="30" t="s">
        <v>47</v>
      </c>
      <c r="E23" s="72"/>
      <c r="F23" s="31" t="s">
        <v>52</v>
      </c>
      <c r="G23" s="32" t="s">
        <v>21</v>
      </c>
      <c r="H23" s="32" t="s">
        <v>25</v>
      </c>
      <c r="I23" s="32" t="s">
        <v>54</v>
      </c>
      <c r="J23" s="17">
        <f t="shared" si="2"/>
        <v>60000</v>
      </c>
      <c r="K23" s="22"/>
      <c r="AA23" s="2"/>
    </row>
    <row r="24" spans="1:27" x14ac:dyDescent="0.25">
      <c r="A24" s="30" t="s">
        <v>64</v>
      </c>
      <c r="B24" s="30" t="s">
        <v>26</v>
      </c>
      <c r="C24" s="30" t="s">
        <v>38</v>
      </c>
      <c r="D24" s="30" t="s">
        <v>47</v>
      </c>
      <c r="E24" s="72"/>
      <c r="F24" s="31" t="s">
        <v>52</v>
      </c>
      <c r="G24" s="32" t="s">
        <v>21</v>
      </c>
      <c r="H24" s="32" t="s">
        <v>25</v>
      </c>
      <c r="I24" s="32" t="s">
        <v>54</v>
      </c>
      <c r="J24" s="17">
        <f t="shared" si="2"/>
        <v>60000</v>
      </c>
      <c r="K24" s="22"/>
      <c r="AA24" s="2"/>
    </row>
    <row r="25" spans="1:27" x14ac:dyDescent="0.25">
      <c r="A25" s="30" t="s">
        <v>65</v>
      </c>
      <c r="B25" s="30" t="s">
        <v>26</v>
      </c>
      <c r="C25" s="30" t="s">
        <v>39</v>
      </c>
      <c r="D25" s="30" t="s">
        <v>47</v>
      </c>
      <c r="E25" s="72"/>
      <c r="F25" s="31" t="s">
        <v>52</v>
      </c>
      <c r="G25" s="32" t="s">
        <v>21</v>
      </c>
      <c r="H25" s="32" t="s">
        <v>25</v>
      </c>
      <c r="I25" s="32" t="s">
        <v>54</v>
      </c>
      <c r="J25" s="17">
        <f t="shared" si="2"/>
        <v>60000</v>
      </c>
      <c r="K25" s="22"/>
      <c r="AA25" s="2"/>
    </row>
    <row r="26" spans="1:27" x14ac:dyDescent="0.25">
      <c r="A26" s="69" t="s">
        <v>66</v>
      </c>
      <c r="B26" s="69" t="s">
        <v>26</v>
      </c>
      <c r="C26" s="69" t="s">
        <v>40</v>
      </c>
      <c r="D26" s="69" t="s">
        <v>23</v>
      </c>
      <c r="E26" s="72"/>
      <c r="F26" s="31" t="s">
        <v>50</v>
      </c>
      <c r="G26" s="32" t="s">
        <v>21</v>
      </c>
      <c r="H26" s="32" t="s">
        <v>25</v>
      </c>
      <c r="I26" s="32" t="s">
        <v>53</v>
      </c>
      <c r="J26" s="74">
        <v>130000</v>
      </c>
      <c r="K26" s="22"/>
      <c r="AA26" s="2"/>
    </row>
    <row r="27" spans="1:27" x14ac:dyDescent="0.25">
      <c r="A27" s="70"/>
      <c r="B27" s="70"/>
      <c r="C27" s="70"/>
      <c r="D27" s="70"/>
      <c r="E27" s="72"/>
      <c r="F27" s="31" t="s">
        <v>52</v>
      </c>
      <c r="G27" s="32" t="s">
        <v>69</v>
      </c>
      <c r="H27" s="32" t="s">
        <v>25</v>
      </c>
      <c r="I27" s="32" t="s">
        <v>54</v>
      </c>
      <c r="J27" s="75"/>
      <c r="K27" s="22"/>
      <c r="AA27" s="2"/>
    </row>
    <row r="28" spans="1:27" x14ac:dyDescent="0.25">
      <c r="A28" s="69" t="s">
        <v>67</v>
      </c>
      <c r="B28" s="69" t="s">
        <v>26</v>
      </c>
      <c r="C28" s="69" t="s">
        <v>41</v>
      </c>
      <c r="D28" s="69" t="s">
        <v>23</v>
      </c>
      <c r="E28" s="72"/>
      <c r="F28" s="31" t="s">
        <v>50</v>
      </c>
      <c r="G28" s="32" t="s">
        <v>21</v>
      </c>
      <c r="H28" s="32" t="s">
        <v>25</v>
      </c>
      <c r="I28" s="32" t="s">
        <v>53</v>
      </c>
      <c r="J28" s="74">
        <v>130000</v>
      </c>
      <c r="K28" s="22"/>
      <c r="AA28" s="2"/>
    </row>
    <row r="29" spans="1:27" x14ac:dyDescent="0.25">
      <c r="A29" s="70"/>
      <c r="B29" s="70"/>
      <c r="C29" s="70"/>
      <c r="D29" s="70"/>
      <c r="E29" s="72"/>
      <c r="F29" s="31" t="s">
        <v>52</v>
      </c>
      <c r="G29" s="32" t="s">
        <v>69</v>
      </c>
      <c r="H29" s="32" t="s">
        <v>25</v>
      </c>
      <c r="I29" s="32" t="s">
        <v>54</v>
      </c>
      <c r="J29" s="75"/>
      <c r="K29" s="22"/>
      <c r="AA29" s="2"/>
    </row>
    <row r="30" spans="1:27" x14ac:dyDescent="0.25">
      <c r="A30" s="69" t="s">
        <v>68</v>
      </c>
      <c r="B30" s="69" t="s">
        <v>26</v>
      </c>
      <c r="C30" s="69" t="s">
        <v>42</v>
      </c>
      <c r="D30" s="69" t="s">
        <v>23</v>
      </c>
      <c r="E30" s="72"/>
      <c r="F30" s="31" t="s">
        <v>50</v>
      </c>
      <c r="G30" s="32" t="s">
        <v>21</v>
      </c>
      <c r="H30" s="32" t="s">
        <v>25</v>
      </c>
      <c r="I30" s="32" t="s">
        <v>53</v>
      </c>
      <c r="J30" s="74">
        <v>130000</v>
      </c>
      <c r="K30" s="22"/>
      <c r="AA30" s="2"/>
    </row>
    <row r="31" spans="1:27" x14ac:dyDescent="0.25">
      <c r="A31" s="70"/>
      <c r="B31" s="70"/>
      <c r="C31" s="70"/>
      <c r="D31" s="70"/>
      <c r="E31" s="72"/>
      <c r="F31" s="31" t="s">
        <v>52</v>
      </c>
      <c r="G31" s="32" t="s">
        <v>69</v>
      </c>
      <c r="H31" s="32" t="s">
        <v>25</v>
      </c>
      <c r="I31" s="32" t="s">
        <v>54</v>
      </c>
      <c r="J31" s="75"/>
      <c r="K31" s="22"/>
      <c r="AA31" s="2"/>
    </row>
    <row r="32" spans="1:27" x14ac:dyDescent="0.25">
      <c r="A32" s="69" t="s">
        <v>55</v>
      </c>
      <c r="B32" s="69" t="s">
        <v>26</v>
      </c>
      <c r="C32" s="69" t="s">
        <v>43</v>
      </c>
      <c r="D32" s="69" t="s">
        <v>23</v>
      </c>
      <c r="E32" s="72"/>
      <c r="F32" s="31" t="s">
        <v>50</v>
      </c>
      <c r="G32" s="32" t="s">
        <v>21</v>
      </c>
      <c r="H32" s="32" t="s">
        <v>25</v>
      </c>
      <c r="I32" s="32" t="s">
        <v>53</v>
      </c>
      <c r="J32" s="74">
        <v>130000</v>
      </c>
      <c r="K32" s="22"/>
      <c r="AA32" s="2"/>
    </row>
    <row r="33" spans="1:27" x14ac:dyDescent="0.25">
      <c r="A33" s="70"/>
      <c r="B33" s="70"/>
      <c r="C33" s="70"/>
      <c r="D33" s="70"/>
      <c r="E33" s="72"/>
      <c r="F33" s="31" t="s">
        <v>52</v>
      </c>
      <c r="G33" s="32" t="s">
        <v>69</v>
      </c>
      <c r="H33" s="32" t="s">
        <v>25</v>
      </c>
      <c r="I33" s="32" t="s">
        <v>54</v>
      </c>
      <c r="J33" s="75"/>
      <c r="K33" s="22"/>
      <c r="AA33" s="2"/>
    </row>
    <row r="34" spans="1:27" x14ac:dyDescent="0.25">
      <c r="A34" s="30" t="s">
        <v>56</v>
      </c>
      <c r="B34" s="30" t="s">
        <v>26</v>
      </c>
      <c r="C34" s="30" t="s">
        <v>44</v>
      </c>
      <c r="D34" s="30" t="s">
        <v>47</v>
      </c>
      <c r="E34" s="72"/>
      <c r="F34" s="31" t="s">
        <v>52</v>
      </c>
      <c r="G34" s="32" t="s">
        <v>21</v>
      </c>
      <c r="H34" s="32" t="s">
        <v>25</v>
      </c>
      <c r="I34" s="32" t="s">
        <v>54</v>
      </c>
      <c r="J34" s="17">
        <f t="shared" ref="J34" si="3">SUM(H34*I34)</f>
        <v>60000</v>
      </c>
      <c r="K34" s="22"/>
      <c r="AA34" s="2"/>
    </row>
    <row r="35" spans="1:27" x14ac:dyDescent="0.25">
      <c r="A35" s="69" t="s">
        <v>57</v>
      </c>
      <c r="B35" s="69" t="s">
        <v>26</v>
      </c>
      <c r="C35" s="69" t="s">
        <v>45</v>
      </c>
      <c r="D35" s="69" t="s">
        <v>23</v>
      </c>
      <c r="E35" s="72"/>
      <c r="F35" s="31" t="s">
        <v>50</v>
      </c>
      <c r="G35" s="32" t="s">
        <v>21</v>
      </c>
      <c r="H35" s="32" t="s">
        <v>25</v>
      </c>
      <c r="I35" s="32" t="s">
        <v>53</v>
      </c>
      <c r="J35" s="74">
        <v>130000</v>
      </c>
      <c r="K35" s="22"/>
      <c r="AA35" s="2"/>
    </row>
    <row r="36" spans="1:27" x14ac:dyDescent="0.25">
      <c r="A36" s="70"/>
      <c r="B36" s="70"/>
      <c r="C36" s="70"/>
      <c r="D36" s="70"/>
      <c r="E36" s="72"/>
      <c r="F36" s="31" t="s">
        <v>52</v>
      </c>
      <c r="G36" s="32" t="s">
        <v>69</v>
      </c>
      <c r="H36" s="32" t="s">
        <v>25</v>
      </c>
      <c r="I36" s="32" t="s">
        <v>54</v>
      </c>
      <c r="J36" s="75"/>
      <c r="K36" s="22"/>
      <c r="AA36" s="2"/>
    </row>
    <row r="37" spans="1:27" x14ac:dyDescent="0.25">
      <c r="A37" s="69" t="s">
        <v>58</v>
      </c>
      <c r="B37" s="69" t="s">
        <v>26</v>
      </c>
      <c r="C37" s="69" t="s">
        <v>46</v>
      </c>
      <c r="D37" s="69" t="s">
        <v>23</v>
      </c>
      <c r="E37" s="72"/>
      <c r="F37" s="31" t="s">
        <v>50</v>
      </c>
      <c r="G37" s="32" t="s">
        <v>21</v>
      </c>
      <c r="H37" s="32" t="s">
        <v>25</v>
      </c>
      <c r="I37" s="32" t="s">
        <v>53</v>
      </c>
      <c r="J37" s="74">
        <v>130000</v>
      </c>
      <c r="K37" s="22"/>
      <c r="AA37" s="2"/>
    </row>
    <row r="38" spans="1:27" x14ac:dyDescent="0.25">
      <c r="A38" s="70"/>
      <c r="B38" s="70"/>
      <c r="C38" s="70"/>
      <c r="D38" s="70"/>
      <c r="E38" s="73"/>
      <c r="F38" s="31" t="s">
        <v>52</v>
      </c>
      <c r="G38" s="32" t="s">
        <v>69</v>
      </c>
      <c r="H38" s="32" t="s">
        <v>25</v>
      </c>
      <c r="I38" s="32" t="s">
        <v>54</v>
      </c>
      <c r="J38" s="75"/>
      <c r="K38" s="22"/>
      <c r="AA38" s="2"/>
    </row>
    <row r="39" spans="1:27" x14ac:dyDescent="0.25">
      <c r="A39" s="34" t="s">
        <v>20</v>
      </c>
      <c r="B39" s="35"/>
      <c r="C39" s="35"/>
      <c r="D39" s="35"/>
      <c r="E39" s="35"/>
      <c r="F39" s="35"/>
      <c r="G39" s="35"/>
      <c r="H39" s="35"/>
      <c r="I39" s="36"/>
      <c r="J39" s="33">
        <f>SUM(J11:J38)</f>
        <v>1770000</v>
      </c>
      <c r="K39" s="22"/>
      <c r="AA39" s="2"/>
    </row>
    <row r="40" spans="1:27" x14ac:dyDescent="0.25">
      <c r="A40" s="5"/>
      <c r="B40" s="5"/>
      <c r="C40" s="65"/>
      <c r="D40" s="5"/>
      <c r="E40" s="5"/>
      <c r="F40" s="9"/>
      <c r="G40" s="9"/>
      <c r="H40" s="9"/>
      <c r="I40" s="9"/>
      <c r="J40" s="13"/>
      <c r="AA40" s="2"/>
    </row>
    <row r="41" spans="1:27" x14ac:dyDescent="0.25">
      <c r="A41" s="37" t="s">
        <v>14</v>
      </c>
      <c r="B41" s="37"/>
      <c r="C41" s="37"/>
      <c r="D41" s="37"/>
      <c r="E41" s="37"/>
      <c r="F41" s="37" t="s">
        <v>15</v>
      </c>
      <c r="G41" s="37"/>
      <c r="H41" s="37"/>
      <c r="I41" s="37"/>
      <c r="J41" s="37"/>
      <c r="AA41" s="2"/>
    </row>
    <row r="42" spans="1:27" x14ac:dyDescent="0.25">
      <c r="A42" s="38" t="s">
        <v>9</v>
      </c>
      <c r="B42" s="38"/>
      <c r="C42" s="38"/>
      <c r="D42" s="38"/>
      <c r="E42" s="38"/>
      <c r="F42" s="38" t="s">
        <v>9</v>
      </c>
      <c r="G42" s="38"/>
      <c r="H42" s="38"/>
      <c r="I42" s="38"/>
      <c r="J42" s="38"/>
      <c r="AA42" s="2"/>
    </row>
    <row r="43" spans="1:27" x14ac:dyDescent="0.25">
      <c r="A43" s="16"/>
      <c r="B43" s="16"/>
      <c r="C43" s="66"/>
      <c r="D43" s="14"/>
      <c r="E43" s="14"/>
      <c r="F43" s="14"/>
      <c r="G43" s="15"/>
      <c r="H43" s="14"/>
      <c r="I43" s="14"/>
      <c r="J43" s="14"/>
      <c r="AA43" s="2"/>
    </row>
    <row r="44" spans="1:27" x14ac:dyDescent="0.25">
      <c r="A44" s="12"/>
      <c r="B44" s="12"/>
      <c r="C44" s="67"/>
      <c r="D44" s="6"/>
      <c r="E44" s="6"/>
      <c r="F44" s="6" t="s">
        <v>1</v>
      </c>
      <c r="G44" s="11"/>
      <c r="H44" s="6"/>
      <c r="I44" s="6"/>
      <c r="J44" s="6"/>
      <c r="AA44" s="2"/>
    </row>
    <row r="45" spans="1:27" x14ac:dyDescent="0.25">
      <c r="A45" s="12"/>
      <c r="B45" s="12"/>
      <c r="C45" s="67"/>
      <c r="D45" s="6"/>
      <c r="E45" s="6"/>
      <c r="F45" s="6"/>
      <c r="G45" s="11"/>
      <c r="H45" s="6"/>
      <c r="I45" s="6"/>
      <c r="J45" s="6"/>
      <c r="AA45" s="2"/>
    </row>
    <row r="46" spans="1:27" x14ac:dyDescent="0.25">
      <c r="A46" s="12"/>
      <c r="B46" s="12"/>
      <c r="C46" s="67"/>
      <c r="D46" s="6"/>
      <c r="E46" s="6"/>
      <c r="F46" s="6"/>
      <c r="G46" s="11"/>
      <c r="H46" s="6"/>
      <c r="I46" s="6"/>
      <c r="J46" s="6"/>
      <c r="AA46" s="2"/>
    </row>
    <row r="47" spans="1:27" x14ac:dyDescent="0.25">
      <c r="A47" s="39" t="s">
        <v>4</v>
      </c>
      <c r="B47" s="39"/>
      <c r="C47" s="39"/>
      <c r="D47" s="39"/>
      <c r="E47" s="39"/>
      <c r="F47" s="39" t="s">
        <v>4</v>
      </c>
      <c r="G47" s="39"/>
      <c r="H47" s="39"/>
      <c r="I47" s="39"/>
      <c r="J47" s="39"/>
      <c r="K47" s="8"/>
      <c r="AA47" s="2"/>
    </row>
    <row r="48" spans="1:27" ht="17.25" x14ac:dyDescent="0.3">
      <c r="F48" s="4"/>
      <c r="AA48" s="2"/>
    </row>
    <row r="49" spans="27:27" x14ac:dyDescent="0.25">
      <c r="AA49" s="2"/>
    </row>
    <row r="50" spans="27:27" x14ac:dyDescent="0.25">
      <c r="AA50" s="2"/>
    </row>
    <row r="51" spans="27:27" x14ac:dyDescent="0.25">
      <c r="AA51" s="2"/>
    </row>
    <row r="52" spans="27:27" x14ac:dyDescent="0.25">
      <c r="AA52" s="2"/>
    </row>
    <row r="53" spans="27:27" x14ac:dyDescent="0.25">
      <c r="AA53" s="2"/>
    </row>
    <row r="54" spans="27:27" x14ac:dyDescent="0.25">
      <c r="AA54" s="2"/>
    </row>
    <row r="55" spans="27:27" x14ac:dyDescent="0.25">
      <c r="AA55" s="2"/>
    </row>
    <row r="56" spans="27:27" x14ac:dyDescent="0.25">
      <c r="AA56" s="2"/>
    </row>
    <row r="57" spans="27:27" x14ac:dyDescent="0.25">
      <c r="AA57" s="2"/>
    </row>
    <row r="58" spans="27:27" x14ac:dyDescent="0.25">
      <c r="AA58" s="2"/>
    </row>
    <row r="59" spans="27:27" x14ac:dyDescent="0.25">
      <c r="AA59" s="2"/>
    </row>
    <row r="60" spans="27:27" x14ac:dyDescent="0.25">
      <c r="AA60" s="2"/>
    </row>
    <row r="61" spans="27:27" x14ac:dyDescent="0.25">
      <c r="AA61" s="2"/>
    </row>
    <row r="62" spans="27:27" x14ac:dyDescent="0.25">
      <c r="AA62" s="2"/>
    </row>
    <row r="63" spans="27:27" x14ac:dyDescent="0.25">
      <c r="AA63" s="2"/>
    </row>
    <row r="64" spans="27:27" x14ac:dyDescent="0.25">
      <c r="AA64" s="2"/>
    </row>
    <row r="65" spans="27:27" x14ac:dyDescent="0.25">
      <c r="AA65" s="2"/>
    </row>
    <row r="66" spans="27:27" x14ac:dyDescent="0.25">
      <c r="AA66" s="2"/>
    </row>
  </sheetData>
  <dataConsolidate/>
  <mergeCells count="59">
    <mergeCell ref="A13:A14"/>
    <mergeCell ref="J37:J38"/>
    <mergeCell ref="B13:B14"/>
    <mergeCell ref="C13:C14"/>
    <mergeCell ref="D13:D14"/>
    <mergeCell ref="J13:J14"/>
    <mergeCell ref="J28:J29"/>
    <mergeCell ref="J30:J31"/>
    <mergeCell ref="J32:J33"/>
    <mergeCell ref="J35:J36"/>
    <mergeCell ref="B37:B38"/>
    <mergeCell ref="C37:C38"/>
    <mergeCell ref="D37:D38"/>
    <mergeCell ref="A16:A17"/>
    <mergeCell ref="A19:A20"/>
    <mergeCell ref="A26:A27"/>
    <mergeCell ref="A28:A29"/>
    <mergeCell ref="A30:A31"/>
    <mergeCell ref="A32:A33"/>
    <mergeCell ref="A35:A36"/>
    <mergeCell ref="A37:A38"/>
    <mergeCell ref="B30:B31"/>
    <mergeCell ref="C30:C31"/>
    <mergeCell ref="D30:D31"/>
    <mergeCell ref="J16:J17"/>
    <mergeCell ref="J19:J20"/>
    <mergeCell ref="B26:B27"/>
    <mergeCell ref="C26:C27"/>
    <mergeCell ref="D26:D27"/>
    <mergeCell ref="J26:J27"/>
    <mergeCell ref="E11:E38"/>
    <mergeCell ref="B16:B17"/>
    <mergeCell ref="C16:C17"/>
    <mergeCell ref="D16:D17"/>
    <mergeCell ref="B19:B20"/>
    <mergeCell ref="C19:C20"/>
    <mergeCell ref="D19:D20"/>
    <mergeCell ref="B28:B29"/>
    <mergeCell ref="C28:C29"/>
    <mergeCell ref="D28:D29"/>
    <mergeCell ref="B32:B33"/>
    <mergeCell ref="C32:C33"/>
    <mergeCell ref="D32:D33"/>
    <mergeCell ref="B35:B36"/>
    <mergeCell ref="C35:C36"/>
    <mergeCell ref="D35:D36"/>
    <mergeCell ref="A5:J5"/>
    <mergeCell ref="A1:D4"/>
    <mergeCell ref="E1:J1"/>
    <mergeCell ref="E2:J2"/>
    <mergeCell ref="E3:J3"/>
    <mergeCell ref="E4:J4"/>
    <mergeCell ref="A39:I39"/>
    <mergeCell ref="A41:E41"/>
    <mergeCell ref="A42:E42"/>
    <mergeCell ref="A47:E47"/>
    <mergeCell ref="F41:J41"/>
    <mergeCell ref="F42:J42"/>
    <mergeCell ref="F47:J47"/>
  </mergeCells>
  <phoneticPr fontId="13" type="noConversion"/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2026-10-02T06:57:52Z</dcterms:modified>
</cp:coreProperties>
</file>