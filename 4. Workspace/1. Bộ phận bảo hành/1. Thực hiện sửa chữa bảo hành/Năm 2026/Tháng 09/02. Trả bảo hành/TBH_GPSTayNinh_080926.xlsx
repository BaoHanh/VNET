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7749E26E-F71D-4228-88D7-E4F8C478E8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20" i="1" l="1"/>
  <c r="XFD15" i="1"/>
  <c r="XFD21" i="1" l="1"/>
</calcChain>
</file>

<file path=xl/sharedStrings.xml><?xml version="1.0" encoding="utf-8"?>
<sst xmlns="http://schemas.openxmlformats.org/spreadsheetml/2006/main" count="82" uniqueCount="59">
  <si>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</si>
  <si>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</si>
  <si>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</si>
  <si>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</si>
  <si>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</si>
  <si>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</si>
  <si>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</si>
  <si>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</si>
  <si>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</si>
  <si>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</si>
  <si>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</si>
  <si>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</si>
  <si>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</si>
  <si>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</si>
  <si>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</si>
  <si>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</si>
  <si>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</si>
  <si>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TBP. Bảo Hành</t>
  </si>
  <si>
    <t>Người Lập</t>
  </si>
  <si>
    <t>(Ký, ghi rõ họ tên)</t>
  </si>
  <si>
    <t>Nguyễn Minh Tùng</t>
  </si>
  <si>
    <t>Còn BH</t>
  </si>
  <si>
    <t>TG102LE-4G</t>
  </si>
  <si>
    <t>Khách hàng/ người đại diện: Đại lý GPS Tây Ninh</t>
  </si>
  <si>
    <t>Không nhận sim</t>
  </si>
  <si>
    <t>Chập nguồn</t>
  </si>
  <si>
    <t>Thay diot nguồn</t>
  </si>
  <si>
    <t>Trần Văn Hậu</t>
  </si>
  <si>
    <t>005185070125698</t>
  </si>
  <si>
    <t>861881051083757</t>
  </si>
  <si>
    <t>862205051236844</t>
  </si>
  <si>
    <t>861881051088061</t>
  </si>
  <si>
    <t>005505051180935</t>
  </si>
  <si>
    <t>862205051170472</t>
  </si>
  <si>
    <t>862205051233387</t>
  </si>
  <si>
    <t>005505051235440</t>
  </si>
  <si>
    <t>005694061490798</t>
  </si>
  <si>
    <t>008080056227767</t>
  </si>
  <si>
    <t>SIM</t>
  </si>
  <si>
    <t>ID mới: 005181051083757</t>
  </si>
  <si>
    <t>ID mới: 005105051236844</t>
  </si>
  <si>
    <t>ID mới: 005181051088061</t>
  </si>
  <si>
    <t>ID mới: 005505051170472</t>
  </si>
  <si>
    <t>ID mới: 005505051233387</t>
  </si>
  <si>
    <t>Mất giao tiếp</t>
  </si>
  <si>
    <t>Nạp lại FW</t>
  </si>
  <si>
    <t>Gãy chân nguồn, thiết bị treo</t>
  </si>
  <si>
    <t>Thay chân nguồn</t>
  </si>
  <si>
    <t>Không nhận sim, mất ID</t>
  </si>
  <si>
    <t>Nạp lại IAP+FW thiết bị</t>
  </si>
  <si>
    <t>Xử lý lại khay sim</t>
  </si>
  <si>
    <t>Lỗi quẹt thẻ, mất giao tiếp</t>
  </si>
  <si>
    <t>Nạp lại FW, xử lý IC quẹt thẻ</t>
  </si>
  <si>
    <t>Mất giao tiếp giữa MCU và module sim</t>
  </si>
  <si>
    <t>Thay IC MCU</t>
  </si>
  <si>
    <t>Đứt dây nguồn</t>
  </si>
  <si>
    <t>Thay dây nguồn</t>
  </si>
  <si>
    <t>Hà Nội, ngày 08 tháng 09 năm 2026</t>
  </si>
  <si>
    <t>Hết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</si>
</sst>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>
    <font>
      <sz val="11"/>
      <color theme="1"/>
      <name val="Calibri"/>
      <charset val="134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  <font>
      <b/>
      <i/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3"/>
    </xf>
    <xf numFmtId="0" fontId="7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 indent="18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0" fontId="10" fillId="0" borderId="0" xfId="0" applyFont="1"/>
    <xf numFmtId="0" fontId="13" fillId="0" borderId="0" xfId="0" applyFont="1" applyAlignment="1">
      <alignment horizontal="center"/>
    </xf>
    <xf numFmtId="3" fontId="13" fillId="0" borderId="0" xfId="0" applyNumberFormat="1" applyFont="1"/>
    <xf numFmtId="0" fontId="14" fillId="0" borderId="0" xfId="0" applyFont="1" applyAlignment="1">
      <alignment vertical="center"/>
    </xf>
    <xf numFmtId="0" fontId="15" fillId="0" borderId="0" xfId="0" applyFont="1"/>
    <xf numFmtId="164" fontId="13" fillId="0" borderId="0" xfId="0" applyNumberFormat="1" applyFont="1"/>
    <xf numFmtId="49" fontId="16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right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3" fontId="17" fillId="2" borderId="1" xfId="0" applyNumberFormat="1" applyFont="1" applyFill="1" applyBorder="1" applyAlignment="1">
      <alignment horizontal="center" vertical="center" wrapText="1"/>
    </xf>
    <xf numFmtId="49" fontId="17" fillId="2" borderId="1" xfId="0" quotePrefix="1" applyNumberFormat="1" applyFont="1" applyFill="1" applyBorder="1" applyAlignment="1">
      <alignment horizontal="center" vertical="center" wrapText="1" readingOrder="1"/>
    </xf>
    <xf numFmtId="0" fontId="17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left" indent="1"/>
    </xf>
    <xf numFmtId="0" fontId="13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237007</xdr:colOff>
      <xdr:row>0</xdr:row>
      <xdr:rowOff>156827</xdr:rowOff>
    </xdr:from>
    <xdr:to>
      <xdr:col>2</xdr:col>
      <xdr:colOff>984354</xdr:colOff>
      <xdr:row>3</xdr:row>
      <xdr:rowOff>103695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07" y="156827"/>
          <a:ext cx="1998021" cy="58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3"/>
  <sheetViews>
    <sheetView tabSelected="1" view="pageBreakPreview" topLeftCell="A25" zoomScale="130" zoomScaleNormal="85" zoomScaleSheetLayoutView="130" workbookViewId="0">
      <selection activeCell="H14" sqref="H14"/>
    </sheetView>
  </sheetViews>
  <sheetFormatPr defaultColWidth="9.140625" defaultRowHeight="16.5"/>
  <cols>
    <col min="1" max="1" width="5.7109375" style="1" customWidth="1"/>
    <col min="2" max="2" width="13" style="2" customWidth="1"/>
    <col min="3" max="3" width="18.140625" style="2" customWidth="1"/>
    <col min="4" max="4" width="6.28515625" style="2" customWidth="1"/>
    <col min="5" max="5" width="9.140625" style="2" customWidth="1"/>
    <col min="6" max="6" width="16.28515625" style="2" customWidth="1"/>
    <col min="7" max="7" width="21" style="3" customWidth="1"/>
    <col min="8" max="8" width="23.7109375" style="4" customWidth="1"/>
    <col min="9" max="9" width="11.85546875" style="5" customWidth="1"/>
    <col min="10" max="12" width="9.140625" style="2"/>
    <col min="13" max="13" width="9.140625" style="2" hidden="1" customWidth="1"/>
    <col min="14" max="16384" width="9.140625" style="2"/>
  </cols>
  <sheetData>
    <row r="1" spans="1:10 16384:16384">
      <c r="A1" s="61"/>
      <c r="B1" s="61"/>
      <c r="C1" s="61"/>
      <c r="D1" s="48" t="s">
        <v>0</v>
      </c>
      <c r="E1" s="48"/>
      <c r="F1" s="48"/>
      <c r="G1" s="48"/>
      <c r="H1" s="48"/>
      <c r="I1" s="48"/>
    </row>
    <row r="2" spans="1:10 16384:16384">
      <c r="A2" s="61"/>
      <c r="B2" s="61"/>
      <c r="C2" s="61"/>
      <c r="D2" s="49" t="s">
        <v>1</v>
      </c>
      <c r="E2" s="50"/>
      <c r="F2" s="50"/>
      <c r="G2" s="50"/>
      <c r="H2" s="50"/>
      <c r="I2" s="51"/>
    </row>
    <row r="3" spans="1:10 16384:16384">
      <c r="A3" s="61"/>
      <c r="B3" s="61"/>
      <c r="C3" s="61"/>
      <c r="D3" s="52" t="s">
        <v>2</v>
      </c>
      <c r="E3" s="53"/>
      <c r="F3" s="53"/>
      <c r="G3" s="53"/>
      <c r="H3" s="53"/>
      <c r="I3" s="54"/>
    </row>
    <row r="4" spans="1:10 16384:16384">
      <c r="A4" s="61"/>
      <c r="B4" s="61"/>
      <c r="C4" s="61"/>
      <c r="D4" s="55" t="s">
        <v>3</v>
      </c>
      <c r="E4" s="56"/>
      <c r="F4" s="56"/>
      <c r="G4" s="56"/>
      <c r="H4" s="56"/>
      <c r="I4" s="57"/>
    </row>
    <row r="5" spans="1:10 16384:16384" ht="18.75">
      <c r="A5" s="58" t="s">
        <v>4</v>
      </c>
      <c r="B5" s="58"/>
      <c r="C5" s="58"/>
      <c r="D5" s="59"/>
      <c r="E5" s="59"/>
      <c r="F5" s="59"/>
      <c r="G5" s="59"/>
      <c r="H5" s="59"/>
      <c r="I5" s="59"/>
    </row>
    <row r="6" spans="1:10 16384:16384">
      <c r="A6" s="65" t="s">
        <v>23</v>
      </c>
      <c r="B6" s="65"/>
      <c r="C6" s="65"/>
      <c r="D6" s="65"/>
      <c r="E6" s="34"/>
      <c r="F6" s="35"/>
      <c r="G6" s="35"/>
      <c r="H6" s="35"/>
      <c r="I6" s="40" t="s">
        <v>57</v>
      </c>
    </row>
    <row r="7" spans="1:10 16384:16384">
      <c r="A7" s="65" t="s">
        <v>5</v>
      </c>
      <c r="B7" s="65"/>
      <c r="C7" s="65"/>
      <c r="D7" s="65"/>
      <c r="E7" s="34"/>
      <c r="F7" s="36"/>
      <c r="G7" s="36"/>
      <c r="H7" s="36"/>
      <c r="I7" s="36"/>
    </row>
    <row r="8" spans="1:10 16384:16384">
      <c r="A8" s="65" t="s">
        <v>6</v>
      </c>
      <c r="B8" s="65"/>
      <c r="C8" s="65"/>
      <c r="D8" s="65"/>
      <c r="E8" s="34"/>
      <c r="F8" s="35"/>
      <c r="G8" s="35"/>
      <c r="H8" s="35"/>
      <c r="I8" s="35"/>
    </row>
    <row r="9" spans="1:10 16384:16384">
      <c r="A9" s="65" t="s">
        <v>7</v>
      </c>
      <c r="B9" s="65"/>
      <c r="C9" s="65"/>
      <c r="D9" s="65"/>
      <c r="E9" s="34"/>
      <c r="F9" s="35"/>
      <c r="G9" s="35"/>
      <c r="H9" s="35"/>
      <c r="I9" s="35"/>
    </row>
    <row r="10" spans="1:10 16384:16384" ht="25.5">
      <c r="A10" s="37" t="s">
        <v>8</v>
      </c>
      <c r="B10" s="37" t="s">
        <v>9</v>
      </c>
      <c r="C10" s="38" t="s">
        <v>10</v>
      </c>
      <c r="D10" s="38" t="s">
        <v>11</v>
      </c>
      <c r="E10" s="38" t="s">
        <v>12</v>
      </c>
      <c r="F10" s="38" t="s">
        <v>13</v>
      </c>
      <c r="G10" s="38" t="s">
        <v>14</v>
      </c>
      <c r="H10" s="38" t="s">
        <v>15</v>
      </c>
      <c r="I10" s="39" t="s">
        <v>16</v>
      </c>
      <c r="J10" s="6"/>
    </row>
    <row r="11" spans="1:10 16384:16384">
      <c r="A11" s="42">
        <v>1</v>
      </c>
      <c r="B11" s="43" t="s">
        <v>22</v>
      </c>
      <c r="C11" s="44" t="s">
        <v>28</v>
      </c>
      <c r="D11" s="43"/>
      <c r="E11" s="41" t="s">
        <v>58</v>
      </c>
      <c r="F11" s="66"/>
      <c r="G11" s="41" t="s">
        <v>44</v>
      </c>
      <c r="H11" s="41" t="s">
        <v>45</v>
      </c>
      <c r="I11" s="45"/>
      <c r="J11" s="6"/>
    </row>
    <row r="12" spans="1:10 16384:16384" ht="30">
      <c r="A12" s="42">
        <v>2</v>
      </c>
      <c r="B12" s="43" t="s">
        <v>22</v>
      </c>
      <c r="C12" s="44" t="s">
        <v>29</v>
      </c>
      <c r="D12" s="43"/>
      <c r="E12" s="41" t="s">
        <v>58</v>
      </c>
      <c r="F12" s="41" t="s">
        <v>39</v>
      </c>
      <c r="G12" s="41" t="s">
        <v>46</v>
      </c>
      <c r="H12" s="41" t="s">
        <v>47</v>
      </c>
      <c r="I12" s="45"/>
      <c r="J12" s="6"/>
    </row>
    <row r="13" spans="1:10 16384:16384" ht="30">
      <c r="A13" s="42">
        <v>3</v>
      </c>
      <c r="B13" s="43" t="s">
        <v>22</v>
      </c>
      <c r="C13" s="44" t="s">
        <v>30</v>
      </c>
      <c r="D13" s="43"/>
      <c r="E13" s="41" t="s">
        <v>58</v>
      </c>
      <c r="F13" s="41" t="s">
        <v>40</v>
      </c>
      <c r="G13" s="41" t="s">
        <v>44</v>
      </c>
      <c r="H13" s="41" t="s">
        <v>45</v>
      </c>
      <c r="I13" s="45"/>
      <c r="J13" s="6"/>
    </row>
    <row r="14" spans="1:10 16384:16384" ht="30">
      <c r="A14" s="42">
        <v>4</v>
      </c>
      <c r="B14" s="43" t="s">
        <v>22</v>
      </c>
      <c r="C14" s="44" t="s">
        <v>31</v>
      </c>
      <c r="D14" s="43" t="s">
        <v>38</v>
      </c>
      <c r="E14" s="41" t="s">
        <v>58</v>
      </c>
      <c r="F14" s="41" t="s">
        <v>41</v>
      </c>
      <c r="G14" s="41" t="s">
        <v>48</v>
      </c>
      <c r="H14" s="41" t="s">
        <v>49</v>
      </c>
      <c r="I14" s="45"/>
      <c r="J14" s="6"/>
    </row>
    <row r="15" spans="1:10 16384:16384">
      <c r="A15" s="42">
        <v>5</v>
      </c>
      <c r="B15" s="43" t="s">
        <v>22</v>
      </c>
      <c r="C15" s="46" t="s">
        <v>32</v>
      </c>
      <c r="D15" s="43"/>
      <c r="E15" s="41" t="s">
        <v>58</v>
      </c>
      <c r="F15" s="66"/>
      <c r="G15" s="41" t="s">
        <v>44</v>
      </c>
      <c r="H15" s="41" t="s">
        <v>45</v>
      </c>
      <c r="I15" s="45"/>
      <c r="J15" s="6"/>
      <c r="XFD15" s="2">
        <f>MAX(A15:XFC15)</f>
        <v>5</v>
      </c>
    </row>
    <row r="16" spans="1:10 16384:16384" ht="30">
      <c r="A16" s="42">
        <v>6</v>
      </c>
      <c r="B16" s="43" t="s">
        <v>22</v>
      </c>
      <c r="C16" s="46" t="s">
        <v>33</v>
      </c>
      <c r="D16" s="43"/>
      <c r="E16" s="41" t="s">
        <v>58</v>
      </c>
      <c r="F16" s="41" t="s">
        <v>42</v>
      </c>
      <c r="G16" s="41" t="s">
        <v>24</v>
      </c>
      <c r="H16" s="41" t="s">
        <v>50</v>
      </c>
      <c r="I16" s="45"/>
      <c r="J16" s="6"/>
    </row>
    <row r="17" spans="1:10 16384:16384" ht="30">
      <c r="A17" s="42">
        <v>7</v>
      </c>
      <c r="B17" s="43" t="s">
        <v>22</v>
      </c>
      <c r="C17" s="46" t="s">
        <v>34</v>
      </c>
      <c r="D17" s="43"/>
      <c r="E17" s="41" t="s">
        <v>58</v>
      </c>
      <c r="F17" s="41" t="s">
        <v>43</v>
      </c>
      <c r="G17" s="41" t="s">
        <v>51</v>
      </c>
      <c r="H17" s="41" t="s">
        <v>52</v>
      </c>
      <c r="I17" s="45"/>
      <c r="J17" s="6"/>
    </row>
    <row r="18" spans="1:10 16384:16384" ht="30">
      <c r="A18" s="42">
        <v>8</v>
      </c>
      <c r="B18" s="43" t="s">
        <v>22</v>
      </c>
      <c r="C18" s="46" t="s">
        <v>35</v>
      </c>
      <c r="D18" s="43"/>
      <c r="E18" s="41" t="s">
        <v>58</v>
      </c>
      <c r="F18" s="66"/>
      <c r="G18" s="41" t="s">
        <v>53</v>
      </c>
      <c r="H18" s="41" t="s">
        <v>54</v>
      </c>
      <c r="I18" s="45"/>
      <c r="J18" s="6"/>
    </row>
    <row r="19" spans="1:10 16384:16384">
      <c r="A19" s="42">
        <v>9</v>
      </c>
      <c r="B19" s="43" t="s">
        <v>22</v>
      </c>
      <c r="C19" s="46" t="s">
        <v>36</v>
      </c>
      <c r="D19" s="43"/>
      <c r="E19" s="41" t="s">
        <v>21</v>
      </c>
      <c r="F19" s="47"/>
      <c r="G19" s="41" t="s">
        <v>25</v>
      </c>
      <c r="H19" s="41" t="s">
        <v>26</v>
      </c>
      <c r="I19" s="45"/>
      <c r="J19" s="6"/>
    </row>
    <row r="20" spans="1:10 16384:16384">
      <c r="A20" s="42">
        <v>10</v>
      </c>
      <c r="B20" s="43" t="s">
        <v>22</v>
      </c>
      <c r="C20" s="46" t="s">
        <v>37</v>
      </c>
      <c r="D20" s="43" t="s">
        <v>38</v>
      </c>
      <c r="E20" s="41" t="s">
        <v>58</v>
      </c>
      <c r="F20" s="42"/>
      <c r="G20" s="41" t="s">
        <v>55</v>
      </c>
      <c r="H20" s="41" t="s">
        <v>56</v>
      </c>
      <c r="I20" s="45"/>
      <c r="J20" s="6"/>
      <c r="XFD20" s="2">
        <f>MAX(A20:XFC20)</f>
        <v>10</v>
      </c>
    </row>
    <row r="21" spans="1:10 16384:16384">
      <c r="A21" s="10"/>
      <c r="B21" s="11"/>
      <c r="C21" s="11"/>
      <c r="D21" s="7"/>
      <c r="E21" s="7"/>
      <c r="F21" s="8"/>
      <c r="G21" s="9"/>
      <c r="H21" s="7"/>
      <c r="I21" s="12"/>
      <c r="J21" s="6"/>
      <c r="XFD21" s="2">
        <f>SUM(XFD15:XFD20)</f>
        <v>15</v>
      </c>
    </row>
    <row r="22" spans="1:10 16384:16384">
      <c r="A22" s="10"/>
      <c r="B22" s="11"/>
      <c r="C22" s="11"/>
      <c r="D22" s="7"/>
      <c r="E22" s="7"/>
      <c r="F22" s="13"/>
      <c r="G22" s="9"/>
      <c r="H22" s="7"/>
      <c r="I22" s="12"/>
    </row>
    <row r="23" spans="1:10 16384:16384">
      <c r="A23" s="62" t="s">
        <v>17</v>
      </c>
      <c r="B23" s="62"/>
      <c r="C23" s="62"/>
      <c r="D23" s="62"/>
      <c r="E23" s="15"/>
      <c r="F23" s="16"/>
      <c r="G23" s="63" t="s">
        <v>18</v>
      </c>
      <c r="H23" s="63"/>
      <c r="I23" s="63"/>
    </row>
    <row r="24" spans="1:10 16384:16384">
      <c r="A24" s="64" t="s">
        <v>19</v>
      </c>
      <c r="B24" s="64"/>
      <c r="C24" s="64"/>
      <c r="D24" s="64"/>
      <c r="E24" s="32"/>
      <c r="F24" s="33"/>
      <c r="G24" s="64" t="s">
        <v>19</v>
      </c>
      <c r="H24" s="64"/>
      <c r="I24" s="64"/>
    </row>
    <row r="25" spans="1:10 16384:16384">
      <c r="A25" s="18"/>
      <c r="B25" s="14"/>
      <c r="C25" s="14"/>
      <c r="D25" s="14"/>
      <c r="E25" s="14"/>
      <c r="F25" s="16"/>
      <c r="G25" s="19"/>
      <c r="H25" s="17"/>
      <c r="I25" s="17"/>
    </row>
    <row r="26" spans="1:10 16384:16384">
      <c r="A26" s="20"/>
      <c r="B26" s="21"/>
      <c r="C26" s="21"/>
      <c r="D26" s="17"/>
      <c r="E26" s="17"/>
      <c r="F26" s="16"/>
      <c r="G26" s="19"/>
      <c r="H26" s="17"/>
      <c r="I26" s="22"/>
    </row>
    <row r="27" spans="1:10 16384:16384">
      <c r="A27" s="20"/>
      <c r="B27" s="21"/>
      <c r="C27" s="21"/>
      <c r="D27" s="17"/>
      <c r="E27" s="17"/>
      <c r="F27" s="23"/>
      <c r="G27" s="19"/>
      <c r="H27" s="17"/>
      <c r="I27" s="22"/>
    </row>
    <row r="28" spans="1:10 16384:16384">
      <c r="A28" s="20"/>
      <c r="B28" s="21"/>
      <c r="C28" s="21"/>
      <c r="D28" s="17"/>
      <c r="E28" s="17"/>
      <c r="F28" s="23"/>
      <c r="G28" s="19"/>
      <c r="H28" s="17"/>
      <c r="I28" s="22"/>
    </row>
    <row r="29" spans="1:10 16384:16384">
      <c r="A29" s="18"/>
      <c r="B29" s="24"/>
      <c r="C29" s="24"/>
      <c r="D29" s="24"/>
      <c r="E29" s="24"/>
      <c r="F29" s="25"/>
      <c r="G29" s="26"/>
      <c r="H29" s="27"/>
      <c r="I29" s="28"/>
    </row>
    <row r="30" spans="1:10 16384:16384">
      <c r="A30" s="62" t="s">
        <v>20</v>
      </c>
      <c r="B30" s="62"/>
      <c r="C30" s="62"/>
      <c r="D30" s="62"/>
      <c r="E30" s="15"/>
      <c r="F30" s="29"/>
      <c r="G30" s="62" t="s">
        <v>27</v>
      </c>
      <c r="H30" s="62"/>
      <c r="I30" s="62"/>
    </row>
    <row r="31" spans="1:10 16384:16384">
      <c r="A31" s="29"/>
      <c r="B31" s="25"/>
      <c r="C31" s="25"/>
      <c r="D31" s="25"/>
      <c r="E31" s="25"/>
      <c r="F31" s="25"/>
      <c r="G31" s="27"/>
      <c r="H31" s="30"/>
      <c r="I31" s="31"/>
    </row>
    <row r="33" spans="2:3" ht="17.25">
      <c r="B33" s="60"/>
      <c r="C33" s="60"/>
    </row>
  </sheetData>
  <mergeCells count="17">
    <mergeCell ref="B33:C33"/>
    <mergeCell ref="A1:C4"/>
    <mergeCell ref="A23:D23"/>
    <mergeCell ref="G23:I23"/>
    <mergeCell ref="A24:D24"/>
    <mergeCell ref="G24:I24"/>
    <mergeCell ref="A30:D30"/>
    <mergeCell ref="G30:I30"/>
    <mergeCell ref="A6:D6"/>
    <mergeCell ref="A7:D7"/>
    <mergeCell ref="A8:D8"/>
    <mergeCell ref="A9:D9"/>
    <mergeCell ref="D1:I1"/>
    <mergeCell ref="D2:I2"/>
    <mergeCell ref="D3:I3"/>
    <mergeCell ref="D4:I4"/>
    <mergeCell ref="A5:I5"/>
  </mergeCells>
  <pageMargins left="1.299212598425197" right="1.299212598425197" top="0.55118110236220474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2026-09-08T09:54:08Z</cp:lastPrinted>
  <dcterms:created xsi:type="dcterms:W3CDTF">2014-07-04T07:04:00Z</dcterms:created>
  <dcterms:modified xsi:type="dcterms:W3CDTF">2026-09-08T10:00:19Z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